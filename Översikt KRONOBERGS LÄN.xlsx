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45845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45845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45845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45845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45845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45845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45845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45845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45845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45845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45845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45845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45845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45845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45845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45845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45845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45845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45845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45845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45845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45845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45845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45845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45845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45845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45845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45845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45845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45845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45845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45845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45845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45845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45845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45845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45845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45845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45845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45845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45845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45845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45845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45845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45845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45845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45845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45845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45845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45845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45845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45845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45845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45845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45845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45845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45845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45845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45845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45845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45845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45845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45845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45845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45845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45845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45845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45845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45845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45845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45845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45845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45845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45845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45845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45845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45845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45845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45845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45845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45845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45845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45845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45845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45845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45845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45845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45845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45845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45845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45845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45845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45845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45845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45845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45845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45845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45845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45845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45845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45845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45845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45845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45845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45845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45845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45845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45845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45845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45845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45845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45845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45845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45845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45845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45845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45845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45845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45845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45845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45845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45845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45845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45845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45845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45845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45845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45845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45845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45845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45845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45845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45845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45845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45845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45845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45845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45845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45845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45845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45845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45845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45845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45845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45845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45845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45845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45845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45845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45845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45845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45845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45845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45845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45845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45845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45845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45845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45845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45845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45845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45845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45845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45845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45845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45845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45845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45845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45845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45845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45845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45845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45845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45845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45845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45845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45845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45845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45845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45845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45845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45845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45845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45845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45845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45845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45845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45845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45845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45845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45845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45845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45845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45845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45845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45845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45845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45845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45845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45845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45845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45845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45845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45845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45845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45845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45845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45845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45845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45845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45845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45845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45845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45845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45845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45845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45845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45845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45845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45845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45845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45845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45845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45845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45845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45845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45845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45845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45845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45845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45845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45845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45845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45845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45845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45845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45845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45845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45845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45845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45845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45845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45845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45845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45845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45845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45845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45845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45845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45845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45845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45845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45845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45845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45845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45845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45845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45845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45845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45845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45845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45845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45845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45845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45845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45845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45845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45845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45845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45845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45845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45845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45845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45845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45845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45845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45845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45845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45845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45845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45845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45845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45845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45845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45845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45845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45845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45845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45845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45845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45845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45845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45845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45845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45845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45845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45845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45845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45845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45845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45845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45845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33730-2025</t>
        </is>
      </c>
      <c r="B355" s="1" t="n">
        <v>45842</v>
      </c>
      <c r="C355" s="1" t="n">
        <v>45845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Backmåra</t>
        </is>
      </c>
      <c r="S355">
        <f>HYPERLINK("https://klasma.github.io/Logging_070763/artfynd/A 33730-2025 artfynd.xlsx", "A 33730-2025")</f>
        <v/>
      </c>
      <c r="T355">
        <f>HYPERLINK("https://klasma.github.io/Logging_070763/kartor/A 33730-2025 karta.png", "A 33730-2025")</f>
        <v/>
      </c>
      <c r="V355">
        <f>HYPERLINK("https://klasma.github.io/Logging_070763/klagomål/A 33730-2025 FSC-klagomål.docx", "A 33730-2025")</f>
        <v/>
      </c>
      <c r="W355">
        <f>HYPERLINK("https://klasma.github.io/Logging_070763/klagomålsmail/A 33730-2025 FSC-klagomål mail.docx", "A 33730-2025")</f>
        <v/>
      </c>
      <c r="X355">
        <f>HYPERLINK("https://klasma.github.io/Logging_070763/tillsyn/A 33730-2025 tillsynsbegäran.docx", "A 33730-2025")</f>
        <v/>
      </c>
      <c r="Y355">
        <f>HYPERLINK("https://klasma.github.io/Logging_070763/tillsynsmail/A 33730-2025 tillsynsbegäran mail.docx", "A 33730-2025")</f>
        <v/>
      </c>
    </row>
    <row r="356" ht="15" customHeight="1">
      <c r="A356" t="inlineStr">
        <is>
          <t>A 17746-2019</t>
        </is>
      </c>
      <c r="B356" s="1" t="n">
        <v>43556</v>
      </c>
      <c r="C356" s="1" t="n">
        <v>45845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17832-2019</t>
        </is>
      </c>
      <c r="B357" s="1" t="n">
        <v>43556</v>
      </c>
      <c r="C357" s="1" t="n">
        <v>45845</v>
      </c>
      <c r="D357" t="inlineStr">
        <is>
          <t>KRONOBERGS LÄN</t>
        </is>
      </c>
      <c r="E357" t="inlineStr">
        <is>
          <t>UPPVIDINGE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17840-2019</t>
        </is>
      </c>
      <c r="B358" s="1" t="n">
        <v>43556</v>
      </c>
      <c r="C358" s="1" t="n">
        <v>45845</v>
      </c>
      <c r="D358" t="inlineStr">
        <is>
          <t>KRONOBERGS LÄN</t>
        </is>
      </c>
      <c r="E358" t="inlineStr">
        <is>
          <t>ÄLMHULT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17709-2019</t>
        </is>
      </c>
      <c r="B359" s="1" t="n">
        <v>43556</v>
      </c>
      <c r="C359" s="1" t="n">
        <v>45845</v>
      </c>
      <c r="D359" t="inlineStr">
        <is>
          <t>KRONOBERGS LÄN</t>
        </is>
      </c>
      <c r="E359" t="inlineStr">
        <is>
          <t>LJUNGBY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18005-2019</t>
        </is>
      </c>
      <c r="B360" s="1" t="n">
        <v>43556</v>
      </c>
      <c r="C360" s="1" t="n">
        <v>45845</v>
      </c>
      <c r="D360" t="inlineStr">
        <is>
          <t>KRONOBERGS LÄN</t>
        </is>
      </c>
      <c r="E360" t="inlineStr">
        <is>
          <t>TINGSRYD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18046-2019</t>
        </is>
      </c>
      <c r="B361" s="1" t="n">
        <v>43557</v>
      </c>
      <c r="C361" s="1" t="n">
        <v>45845</v>
      </c>
      <c r="D361" t="inlineStr">
        <is>
          <t>KRONOBERGS LÄN</t>
        </is>
      </c>
      <c r="E361" t="inlineStr">
        <is>
          <t>TINGSRYD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18025-2019</t>
        </is>
      </c>
      <c r="B362" s="1" t="n">
        <v>43557</v>
      </c>
      <c r="C362" s="1" t="n">
        <v>45845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18007-2019</t>
        </is>
      </c>
      <c r="B363" s="1" t="n">
        <v>43557</v>
      </c>
      <c r="C363" s="1" t="n">
        <v>45845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18084-2019</t>
        </is>
      </c>
      <c r="B364" s="1" t="n">
        <v>43558</v>
      </c>
      <c r="C364" s="1" t="n">
        <v>45845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18263-2019</t>
        </is>
      </c>
      <c r="B365" s="1" t="n">
        <v>43558</v>
      </c>
      <c r="C365" s="1" t="n">
        <v>45845</v>
      </c>
      <c r="D365" t="inlineStr">
        <is>
          <t>KRONOBERGS LÄN</t>
        </is>
      </c>
      <c r="E365" t="inlineStr">
        <is>
          <t>VÄXJÖ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18280-2019</t>
        </is>
      </c>
      <c r="B366" s="1" t="n">
        <v>43558</v>
      </c>
      <c r="C366" s="1" t="n">
        <v>45845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18089-2019</t>
        </is>
      </c>
      <c r="B367" s="1" t="n">
        <v>43558</v>
      </c>
      <c r="C367" s="1" t="n">
        <v>45845</v>
      </c>
      <c r="D367" t="inlineStr">
        <is>
          <t>KRONOBERGS LÄN</t>
        </is>
      </c>
      <c r="E367" t="inlineStr">
        <is>
          <t>LJUNGBY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18634-2019</t>
        </is>
      </c>
      <c r="B368" s="1" t="n">
        <v>43560</v>
      </c>
      <c r="C368" s="1" t="n">
        <v>45845</v>
      </c>
      <c r="D368" t="inlineStr">
        <is>
          <t>KRONOBERGS LÄN</t>
        </is>
      </c>
      <c r="E368" t="inlineStr">
        <is>
          <t>LJUNGBY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18725-2019</t>
        </is>
      </c>
      <c r="B369" s="1" t="n">
        <v>43560</v>
      </c>
      <c r="C369" s="1" t="n">
        <v>45845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18637-2019</t>
        </is>
      </c>
      <c r="B370" s="1" t="n">
        <v>43560</v>
      </c>
      <c r="C370" s="1" t="n">
        <v>45845</v>
      </c>
      <c r="D370" t="inlineStr">
        <is>
          <t>KRONOBERGS LÄN</t>
        </is>
      </c>
      <c r="E370" t="inlineStr">
        <is>
          <t>ALVESTA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18677-2019</t>
        </is>
      </c>
      <c r="B371" s="1" t="n">
        <v>43560</v>
      </c>
      <c r="C371" s="1" t="n">
        <v>45845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18726-2019</t>
        </is>
      </c>
      <c r="B372" s="1" t="n">
        <v>43560</v>
      </c>
      <c r="C372" s="1" t="n">
        <v>45845</v>
      </c>
      <c r="D372" t="inlineStr">
        <is>
          <t>KRONOBERGS LÄN</t>
        </is>
      </c>
      <c r="E372" t="inlineStr">
        <is>
          <t>ALVESTA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18594-2019</t>
        </is>
      </c>
      <c r="B373" s="1" t="n">
        <v>43560</v>
      </c>
      <c r="C373" s="1" t="n">
        <v>45845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18742-2019</t>
        </is>
      </c>
      <c r="B374" s="1" t="n">
        <v>43560</v>
      </c>
      <c r="C374" s="1" t="n">
        <v>45845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18775-2019</t>
        </is>
      </c>
      <c r="B375" s="1" t="n">
        <v>43561</v>
      </c>
      <c r="C375" s="1" t="n">
        <v>45845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18945-2019</t>
        </is>
      </c>
      <c r="B376" s="1" t="n">
        <v>43563</v>
      </c>
      <c r="C376" s="1" t="n">
        <v>45845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18983-2019</t>
        </is>
      </c>
      <c r="B377" s="1" t="n">
        <v>43563</v>
      </c>
      <c r="C377" s="1" t="n">
        <v>45845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18974-2019</t>
        </is>
      </c>
      <c r="B378" s="1" t="n">
        <v>43563</v>
      </c>
      <c r="C378" s="1" t="n">
        <v>45845</v>
      </c>
      <c r="D378" t="inlineStr">
        <is>
          <t>KRONOBERGS LÄN</t>
        </is>
      </c>
      <c r="E378" t="inlineStr">
        <is>
          <t>UPPVIDINGE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19002-2019</t>
        </is>
      </c>
      <c r="B379" s="1" t="n">
        <v>43563</v>
      </c>
      <c r="C379" s="1" t="n">
        <v>45845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19241-2019</t>
        </is>
      </c>
      <c r="B380" s="1" t="n">
        <v>43564</v>
      </c>
      <c r="C380" s="1" t="n">
        <v>45845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19217-2019</t>
        </is>
      </c>
      <c r="B381" s="1" t="n">
        <v>43564</v>
      </c>
      <c r="C381" s="1" t="n">
        <v>45845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19420-2019</t>
        </is>
      </c>
      <c r="B382" s="1" t="n">
        <v>43565</v>
      </c>
      <c r="C382" s="1" t="n">
        <v>45845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19509-2019</t>
        </is>
      </c>
      <c r="B383" s="1" t="n">
        <v>43565</v>
      </c>
      <c r="C383" s="1" t="n">
        <v>45845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19376-2019</t>
        </is>
      </c>
      <c r="B384" s="1" t="n">
        <v>43565</v>
      </c>
      <c r="C384" s="1" t="n">
        <v>45845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19506-2019</t>
        </is>
      </c>
      <c r="B385" s="1" t="n">
        <v>43565</v>
      </c>
      <c r="C385" s="1" t="n">
        <v>45845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19399-2019</t>
        </is>
      </c>
      <c r="B386" s="1" t="n">
        <v>43565</v>
      </c>
      <c r="C386" s="1" t="n">
        <v>45845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19590-2019</t>
        </is>
      </c>
      <c r="B387" s="1" t="n">
        <v>43566</v>
      </c>
      <c r="C387" s="1" t="n">
        <v>45845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19687-2019</t>
        </is>
      </c>
      <c r="B388" s="1" t="n">
        <v>43566</v>
      </c>
      <c r="C388" s="1" t="n">
        <v>45845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19586-2019</t>
        </is>
      </c>
      <c r="B389" s="1" t="n">
        <v>43566</v>
      </c>
      <c r="C389" s="1" t="n">
        <v>45845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19816-2019</t>
        </is>
      </c>
      <c r="B390" s="1" t="n">
        <v>43567</v>
      </c>
      <c r="C390" s="1" t="n">
        <v>45845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19948-2019</t>
        </is>
      </c>
      <c r="B391" s="1" t="n">
        <v>43569</v>
      </c>
      <c r="C391" s="1" t="n">
        <v>45845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19949-2019</t>
        </is>
      </c>
      <c r="B392" s="1" t="n">
        <v>43569</v>
      </c>
      <c r="C392" s="1" t="n">
        <v>45845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20123-2019</t>
        </is>
      </c>
      <c r="B393" s="1" t="n">
        <v>43570</v>
      </c>
      <c r="C393" s="1" t="n">
        <v>45845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20369-2019</t>
        </is>
      </c>
      <c r="B394" s="1" t="n">
        <v>43571</v>
      </c>
      <c r="C394" s="1" t="n">
        <v>45845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20212-2019</t>
        </is>
      </c>
      <c r="B395" s="1" t="n">
        <v>43571</v>
      </c>
      <c r="C395" s="1" t="n">
        <v>45845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20598-2019</t>
        </is>
      </c>
      <c r="B396" s="1" t="n">
        <v>43572</v>
      </c>
      <c r="C396" s="1" t="n">
        <v>45845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20542-2019</t>
        </is>
      </c>
      <c r="B397" s="1" t="n">
        <v>43572</v>
      </c>
      <c r="C397" s="1" t="n">
        <v>45845</v>
      </c>
      <c r="D397" t="inlineStr">
        <is>
          <t>KRONOBERGS LÄN</t>
        </is>
      </c>
      <c r="E397" t="inlineStr">
        <is>
          <t>LJUNGBY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20543-2019</t>
        </is>
      </c>
      <c r="B398" s="1" t="n">
        <v>43572</v>
      </c>
      <c r="C398" s="1" t="n">
        <v>45845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20545-2019</t>
        </is>
      </c>
      <c r="B399" s="1" t="n">
        <v>43572</v>
      </c>
      <c r="C399" s="1" t="n">
        <v>45845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20526-2019</t>
        </is>
      </c>
      <c r="B400" s="1" t="n">
        <v>43572</v>
      </c>
      <c r="C400" s="1" t="n">
        <v>45845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20708-2019</t>
        </is>
      </c>
      <c r="B401" s="1" t="n">
        <v>43573</v>
      </c>
      <c r="C401" s="1" t="n">
        <v>45845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20658-2019</t>
        </is>
      </c>
      <c r="B402" s="1" t="n">
        <v>43573</v>
      </c>
      <c r="C402" s="1" t="n">
        <v>45845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20665-2019</t>
        </is>
      </c>
      <c r="B403" s="1" t="n">
        <v>43573</v>
      </c>
      <c r="C403" s="1" t="n">
        <v>45845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20663-2019</t>
        </is>
      </c>
      <c r="B404" s="1" t="n">
        <v>43573</v>
      </c>
      <c r="C404" s="1" t="n">
        <v>45845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20662-2019</t>
        </is>
      </c>
      <c r="B405" s="1" t="n">
        <v>43573</v>
      </c>
      <c r="C405" s="1" t="n">
        <v>45845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20944-2019</t>
        </is>
      </c>
      <c r="B406" s="1" t="n">
        <v>43578</v>
      </c>
      <c r="C406" s="1" t="n">
        <v>45845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21043-2019</t>
        </is>
      </c>
      <c r="B407" s="1" t="n">
        <v>43578</v>
      </c>
      <c r="C407" s="1" t="n">
        <v>45845</v>
      </c>
      <c r="D407" t="inlineStr">
        <is>
          <t>KRONOBERGS LÄN</t>
        </is>
      </c>
      <c r="E407" t="inlineStr">
        <is>
          <t>TINGSRYD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21057-2019</t>
        </is>
      </c>
      <c r="B408" s="1" t="n">
        <v>43578</v>
      </c>
      <c r="C408" s="1" t="n">
        <v>45845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20938-2019</t>
        </is>
      </c>
      <c r="B409" s="1" t="n">
        <v>43578</v>
      </c>
      <c r="C409" s="1" t="n">
        <v>45845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20988-2019</t>
        </is>
      </c>
      <c r="B410" s="1" t="n">
        <v>43578</v>
      </c>
      <c r="C410" s="1" t="n">
        <v>45845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21076-2019</t>
        </is>
      </c>
      <c r="B411" s="1" t="n">
        <v>43578</v>
      </c>
      <c r="C411" s="1" t="n">
        <v>45845</v>
      </c>
      <c r="D411" t="inlineStr">
        <is>
          <t>KRONOBERGS LÄN</t>
        </is>
      </c>
      <c r="E411" t="inlineStr">
        <is>
          <t>VÄXJÖ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21053-2019</t>
        </is>
      </c>
      <c r="B412" s="1" t="n">
        <v>43578</v>
      </c>
      <c r="C412" s="1" t="n">
        <v>45845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21048-2019</t>
        </is>
      </c>
      <c r="B413" s="1" t="n">
        <v>43578</v>
      </c>
      <c r="C413" s="1" t="n">
        <v>45845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21176-2019</t>
        </is>
      </c>
      <c r="B414" s="1" t="n">
        <v>43579</v>
      </c>
      <c r="C414" s="1" t="n">
        <v>45845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21179-2019</t>
        </is>
      </c>
      <c r="B415" s="1" t="n">
        <v>43579</v>
      </c>
      <c r="C415" s="1" t="n">
        <v>45845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21152-2019</t>
        </is>
      </c>
      <c r="B416" s="1" t="n">
        <v>43579</v>
      </c>
      <c r="C416" s="1" t="n">
        <v>45845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21231-2019</t>
        </is>
      </c>
      <c r="B417" s="1" t="n">
        <v>43579</v>
      </c>
      <c r="C417" s="1" t="n">
        <v>45845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21317-2019</t>
        </is>
      </c>
      <c r="B418" s="1" t="n">
        <v>43579</v>
      </c>
      <c r="C418" s="1" t="n">
        <v>45845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21313-2019</t>
        </is>
      </c>
      <c r="B419" s="1" t="n">
        <v>43579</v>
      </c>
      <c r="C419" s="1" t="n">
        <v>45845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21318-2019</t>
        </is>
      </c>
      <c r="B420" s="1" t="n">
        <v>43579</v>
      </c>
      <c r="C420" s="1" t="n">
        <v>45845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21314-2019</t>
        </is>
      </c>
      <c r="B421" s="1" t="n">
        <v>43579</v>
      </c>
      <c r="C421" s="1" t="n">
        <v>45845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21320-2019</t>
        </is>
      </c>
      <c r="B422" s="1" t="n">
        <v>43579</v>
      </c>
      <c r="C422" s="1" t="n">
        <v>45845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21564-2019</t>
        </is>
      </c>
      <c r="B423" s="1" t="n">
        <v>43580</v>
      </c>
      <c r="C423" s="1" t="n">
        <v>45845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21488-2019</t>
        </is>
      </c>
      <c r="B424" s="1" t="n">
        <v>43580</v>
      </c>
      <c r="C424" s="1" t="n">
        <v>45845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21712-2019</t>
        </is>
      </c>
      <c r="B425" s="1" t="n">
        <v>43581</v>
      </c>
      <c r="C425" s="1" t="n">
        <v>45845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21665-2019</t>
        </is>
      </c>
      <c r="B426" s="1" t="n">
        <v>43581</v>
      </c>
      <c r="C426" s="1" t="n">
        <v>45845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21626-2019</t>
        </is>
      </c>
      <c r="B427" s="1" t="n">
        <v>43581</v>
      </c>
      <c r="C427" s="1" t="n">
        <v>45845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21881-2019</t>
        </is>
      </c>
      <c r="B428" s="1" t="n">
        <v>43584</v>
      </c>
      <c r="C428" s="1" t="n">
        <v>45845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22084-2019</t>
        </is>
      </c>
      <c r="B429" s="1" t="n">
        <v>43584</v>
      </c>
      <c r="C429" s="1" t="n">
        <v>45845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22163-2019</t>
        </is>
      </c>
      <c r="B430" s="1" t="n">
        <v>43585</v>
      </c>
      <c r="C430" s="1" t="n">
        <v>45845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22395-2019</t>
        </is>
      </c>
      <c r="B431" s="1" t="n">
        <v>43585</v>
      </c>
      <c r="C431" s="1" t="n">
        <v>45845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22263-2019</t>
        </is>
      </c>
      <c r="B432" s="1" t="n">
        <v>43585</v>
      </c>
      <c r="C432" s="1" t="n">
        <v>45845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22264-2019</t>
        </is>
      </c>
      <c r="B433" s="1" t="n">
        <v>43585</v>
      </c>
      <c r="C433" s="1" t="n">
        <v>45845</v>
      </c>
      <c r="D433" t="inlineStr">
        <is>
          <t>KRONOBERGS LÄN</t>
        </is>
      </c>
      <c r="E433" t="inlineStr">
        <is>
          <t>ÄLMHULT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22381-2019</t>
        </is>
      </c>
      <c r="B434" s="1" t="n">
        <v>43585</v>
      </c>
      <c r="C434" s="1" t="n">
        <v>45845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22397-2019</t>
        </is>
      </c>
      <c r="B435" s="1" t="n">
        <v>43585</v>
      </c>
      <c r="C435" s="1" t="n">
        <v>45845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22166-2019</t>
        </is>
      </c>
      <c r="B436" s="1" t="n">
        <v>43585</v>
      </c>
      <c r="C436" s="1" t="n">
        <v>45845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22327-2019</t>
        </is>
      </c>
      <c r="B437" s="1" t="n">
        <v>43586</v>
      </c>
      <c r="C437" s="1" t="n">
        <v>45845</v>
      </c>
      <c r="D437" t="inlineStr">
        <is>
          <t>KRONOBERGS LÄN</t>
        </is>
      </c>
      <c r="E437" t="inlineStr">
        <is>
          <t>MARKARYD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22419-2019</t>
        </is>
      </c>
      <c r="B438" s="1" t="n">
        <v>43587</v>
      </c>
      <c r="C438" s="1" t="n">
        <v>45845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22584-2019</t>
        </is>
      </c>
      <c r="B439" s="1" t="n">
        <v>43587</v>
      </c>
      <c r="C439" s="1" t="n">
        <v>45845</v>
      </c>
      <c r="D439" t="inlineStr">
        <is>
          <t>KRONOBERGS LÄN</t>
        </is>
      </c>
      <c r="E439" t="inlineStr">
        <is>
          <t>TINGSRYD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22458-2019</t>
        </is>
      </c>
      <c r="B440" s="1" t="n">
        <v>43587</v>
      </c>
      <c r="C440" s="1" t="n">
        <v>45845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22346-2019</t>
        </is>
      </c>
      <c r="B441" s="1" t="n">
        <v>43587</v>
      </c>
      <c r="C441" s="1" t="n">
        <v>45845</v>
      </c>
      <c r="D441" t="inlineStr">
        <is>
          <t>KRONOBERGS LÄN</t>
        </is>
      </c>
      <c r="E441" t="inlineStr">
        <is>
          <t>VÄXJÖ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22349-2019</t>
        </is>
      </c>
      <c r="B442" s="1" t="n">
        <v>43587</v>
      </c>
      <c r="C442" s="1" t="n">
        <v>45845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22677-2019</t>
        </is>
      </c>
      <c r="B443" s="1" t="n">
        <v>43588</v>
      </c>
      <c r="C443" s="1" t="n">
        <v>45845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22731-2019</t>
        </is>
      </c>
      <c r="B444" s="1" t="n">
        <v>43588</v>
      </c>
      <c r="C444" s="1" t="n">
        <v>45845</v>
      </c>
      <c r="D444" t="inlineStr">
        <is>
          <t>KRONOBERGS LÄN</t>
        </is>
      </c>
      <c r="E444" t="inlineStr">
        <is>
          <t>LJUNGBY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22802-2019</t>
        </is>
      </c>
      <c r="B445" s="1" t="n">
        <v>43590</v>
      </c>
      <c r="C445" s="1" t="n">
        <v>45845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22805-2019</t>
        </is>
      </c>
      <c r="B446" s="1" t="n">
        <v>43590</v>
      </c>
      <c r="C446" s="1" t="n">
        <v>45845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22803-2019</t>
        </is>
      </c>
      <c r="B447" s="1" t="n">
        <v>43590</v>
      </c>
      <c r="C447" s="1" t="n">
        <v>45845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22847-2019</t>
        </is>
      </c>
      <c r="B448" s="1" t="n">
        <v>43591</v>
      </c>
      <c r="C448" s="1" t="n">
        <v>45845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22921-2019</t>
        </is>
      </c>
      <c r="B449" s="1" t="n">
        <v>43591</v>
      </c>
      <c r="C449" s="1" t="n">
        <v>45845</v>
      </c>
      <c r="D449" t="inlineStr">
        <is>
          <t>KRONOBERGS LÄN</t>
        </is>
      </c>
      <c r="E449" t="inlineStr">
        <is>
          <t>UPPVIDINGE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22918-2019</t>
        </is>
      </c>
      <c r="B450" s="1" t="n">
        <v>43591</v>
      </c>
      <c r="C450" s="1" t="n">
        <v>45845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22944-2019</t>
        </is>
      </c>
      <c r="B451" s="1" t="n">
        <v>43591</v>
      </c>
      <c r="C451" s="1" t="n">
        <v>45845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22948-2019</t>
        </is>
      </c>
      <c r="B452" s="1" t="n">
        <v>43591</v>
      </c>
      <c r="C452" s="1" t="n">
        <v>45845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22923-2019</t>
        </is>
      </c>
      <c r="B453" s="1" t="n">
        <v>43591</v>
      </c>
      <c r="C453" s="1" t="n">
        <v>45845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22989-2019</t>
        </is>
      </c>
      <c r="B454" s="1" t="n">
        <v>43591</v>
      </c>
      <c r="C454" s="1" t="n">
        <v>45845</v>
      </c>
      <c r="D454" t="inlineStr">
        <is>
          <t>KRONOBERGS LÄN</t>
        </is>
      </c>
      <c r="E454" t="inlineStr">
        <is>
          <t>ÄLMHULT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22870-2019</t>
        </is>
      </c>
      <c r="B455" s="1" t="n">
        <v>43591</v>
      </c>
      <c r="C455" s="1" t="n">
        <v>45845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23183-2019</t>
        </is>
      </c>
      <c r="B456" s="1" t="n">
        <v>43592</v>
      </c>
      <c r="C456" s="1" t="n">
        <v>45845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23427-2019</t>
        </is>
      </c>
      <c r="B457" s="1" t="n">
        <v>43592</v>
      </c>
      <c r="C457" s="1" t="n">
        <v>45845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23252-2019</t>
        </is>
      </c>
      <c r="B458" s="1" t="n">
        <v>43592</v>
      </c>
      <c r="C458" s="1" t="n">
        <v>45845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23224-2019</t>
        </is>
      </c>
      <c r="B459" s="1" t="n">
        <v>43592</v>
      </c>
      <c r="C459" s="1" t="n">
        <v>45845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23207-2019</t>
        </is>
      </c>
      <c r="B460" s="1" t="n">
        <v>43592</v>
      </c>
      <c r="C460" s="1" t="n">
        <v>45845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23258-2019</t>
        </is>
      </c>
      <c r="B461" s="1" t="n">
        <v>43592</v>
      </c>
      <c r="C461" s="1" t="n">
        <v>45845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23355-2019</t>
        </is>
      </c>
      <c r="B462" s="1" t="n">
        <v>43593</v>
      </c>
      <c r="C462" s="1" t="n">
        <v>45845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23375-2019</t>
        </is>
      </c>
      <c r="B463" s="1" t="n">
        <v>43593</v>
      </c>
      <c r="C463" s="1" t="n">
        <v>45845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23469-2019</t>
        </is>
      </c>
      <c r="B464" s="1" t="n">
        <v>43593</v>
      </c>
      <c r="C464" s="1" t="n">
        <v>45845</v>
      </c>
      <c r="D464" t="inlineStr">
        <is>
          <t>KRONOBERGS LÄN</t>
        </is>
      </c>
      <c r="E464" t="inlineStr">
        <is>
          <t>ÄLMHULT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23470-2019</t>
        </is>
      </c>
      <c r="B465" s="1" t="n">
        <v>43593</v>
      </c>
      <c r="C465" s="1" t="n">
        <v>45845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23420-2019</t>
        </is>
      </c>
      <c r="B466" s="1" t="n">
        <v>43593</v>
      </c>
      <c r="C466" s="1" t="n">
        <v>45845</v>
      </c>
      <c r="D466" t="inlineStr">
        <is>
          <t>KRONOBERGS LÄN</t>
        </is>
      </c>
      <c r="E466" t="inlineStr">
        <is>
          <t>ÄLMHULT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23472-2019</t>
        </is>
      </c>
      <c r="B467" s="1" t="n">
        <v>43593</v>
      </c>
      <c r="C467" s="1" t="n">
        <v>45845</v>
      </c>
      <c r="D467" t="inlineStr">
        <is>
          <t>KRONOBERGS LÄN</t>
        </is>
      </c>
      <c r="E467" t="inlineStr">
        <is>
          <t>ÄLMHULT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23467-2019</t>
        </is>
      </c>
      <c r="B468" s="1" t="n">
        <v>43593</v>
      </c>
      <c r="C468" s="1" t="n">
        <v>45845</v>
      </c>
      <c r="D468" t="inlineStr">
        <is>
          <t>KRONOBERGS LÄN</t>
        </is>
      </c>
      <c r="E468" t="inlineStr">
        <is>
          <t>ÄLMHULT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23471-2019</t>
        </is>
      </c>
      <c r="B469" s="1" t="n">
        <v>43593</v>
      </c>
      <c r="C469" s="1" t="n">
        <v>45845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23580-2019</t>
        </is>
      </c>
      <c r="B470" s="1" t="n">
        <v>43594</v>
      </c>
      <c r="C470" s="1" t="n">
        <v>45845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23525-2019</t>
        </is>
      </c>
      <c r="B471" s="1" t="n">
        <v>43594</v>
      </c>
      <c r="C471" s="1" t="n">
        <v>45845</v>
      </c>
      <c r="D471" t="inlineStr">
        <is>
          <t>KRONOBERGS LÄN</t>
        </is>
      </c>
      <c r="E471" t="inlineStr">
        <is>
          <t>VÄXJÖ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23776-2019</t>
        </is>
      </c>
      <c r="B472" s="1" t="n">
        <v>43595</v>
      </c>
      <c r="C472" s="1" t="n">
        <v>45845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23882-2019</t>
        </is>
      </c>
      <c r="B473" s="1" t="n">
        <v>43595</v>
      </c>
      <c r="C473" s="1" t="n">
        <v>45845</v>
      </c>
      <c r="D473" t="inlineStr">
        <is>
          <t>KRONOBERGS LÄN</t>
        </is>
      </c>
      <c r="E473" t="inlineStr">
        <is>
          <t>VÄXJÖ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24093-2019</t>
        </is>
      </c>
      <c r="B474" s="1" t="n">
        <v>43598</v>
      </c>
      <c r="C474" s="1" t="n">
        <v>45845</v>
      </c>
      <c r="D474" t="inlineStr">
        <is>
          <t>KRONOBERGS LÄN</t>
        </is>
      </c>
      <c r="E474" t="inlineStr">
        <is>
          <t>MARKARYD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24049-2019</t>
        </is>
      </c>
      <c r="B475" s="1" t="n">
        <v>43598</v>
      </c>
      <c r="C475" s="1" t="n">
        <v>45845</v>
      </c>
      <c r="D475" t="inlineStr">
        <is>
          <t>KRONOBERGS LÄN</t>
        </is>
      </c>
      <c r="E475" t="inlineStr">
        <is>
          <t>UPPVIDINGE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24044-2019</t>
        </is>
      </c>
      <c r="B476" s="1" t="n">
        <v>43598</v>
      </c>
      <c r="C476" s="1" t="n">
        <v>45845</v>
      </c>
      <c r="D476" t="inlineStr">
        <is>
          <t>KRONOBERGS LÄN</t>
        </is>
      </c>
      <c r="E476" t="inlineStr">
        <is>
          <t>TINGSRYD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23987-2019</t>
        </is>
      </c>
      <c r="B477" s="1" t="n">
        <v>43598</v>
      </c>
      <c r="C477" s="1" t="n">
        <v>45845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23983-2019</t>
        </is>
      </c>
      <c r="B478" s="1" t="n">
        <v>43598</v>
      </c>
      <c r="C478" s="1" t="n">
        <v>45845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24055-2019</t>
        </is>
      </c>
      <c r="B479" s="1" t="n">
        <v>43598</v>
      </c>
      <c r="C479" s="1" t="n">
        <v>45845</v>
      </c>
      <c r="D479" t="inlineStr">
        <is>
          <t>KRONOBERGS LÄN</t>
        </is>
      </c>
      <c r="E479" t="inlineStr">
        <is>
          <t>VÄXJÖ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24310-2019</t>
        </is>
      </c>
      <c r="B480" s="1" t="n">
        <v>43599</v>
      </c>
      <c r="C480" s="1" t="n">
        <v>45845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24377-2019</t>
        </is>
      </c>
      <c r="B481" s="1" t="n">
        <v>43599</v>
      </c>
      <c r="C481" s="1" t="n">
        <v>45845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24244-2019</t>
        </is>
      </c>
      <c r="B482" s="1" t="n">
        <v>43599</v>
      </c>
      <c r="C482" s="1" t="n">
        <v>45845</v>
      </c>
      <c r="D482" t="inlineStr">
        <is>
          <t>KRONOBERGS LÄN</t>
        </is>
      </c>
      <c r="E482" t="inlineStr">
        <is>
          <t>TINGSRYD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24373-2019</t>
        </is>
      </c>
      <c r="B483" s="1" t="n">
        <v>43599</v>
      </c>
      <c r="C483" s="1" t="n">
        <v>45845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24378-2019</t>
        </is>
      </c>
      <c r="B484" s="1" t="n">
        <v>43599</v>
      </c>
      <c r="C484" s="1" t="n">
        <v>45845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24374-2019</t>
        </is>
      </c>
      <c r="B485" s="1" t="n">
        <v>43599</v>
      </c>
      <c r="C485" s="1" t="n">
        <v>45845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24376-2019</t>
        </is>
      </c>
      <c r="B486" s="1" t="n">
        <v>43599</v>
      </c>
      <c r="C486" s="1" t="n">
        <v>45845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24450-2019</t>
        </is>
      </c>
      <c r="B487" s="1" t="n">
        <v>43600</v>
      </c>
      <c r="C487" s="1" t="n">
        <v>45845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24452-2019</t>
        </is>
      </c>
      <c r="B488" s="1" t="n">
        <v>43600</v>
      </c>
      <c r="C488" s="1" t="n">
        <v>45845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25117-2019</t>
        </is>
      </c>
      <c r="B489" s="1" t="n">
        <v>43600</v>
      </c>
      <c r="C489" s="1" t="n">
        <v>45845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24971-2019</t>
        </is>
      </c>
      <c r="B490" s="1" t="n">
        <v>43600</v>
      </c>
      <c r="C490" s="1" t="n">
        <v>45845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24546-2019</t>
        </is>
      </c>
      <c r="B491" s="1" t="n">
        <v>43600</v>
      </c>
      <c r="C491" s="1" t="n">
        <v>45845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25113-2019</t>
        </is>
      </c>
      <c r="B492" s="1" t="n">
        <v>43600</v>
      </c>
      <c r="C492" s="1" t="n">
        <v>45845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24705-2019</t>
        </is>
      </c>
      <c r="B493" s="1" t="n">
        <v>43601</v>
      </c>
      <c r="C493" s="1" t="n">
        <v>45845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24701-2019</t>
        </is>
      </c>
      <c r="B494" s="1" t="n">
        <v>43601</v>
      </c>
      <c r="C494" s="1" t="n">
        <v>45845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24748-2019</t>
        </is>
      </c>
      <c r="B495" s="1" t="n">
        <v>43601</v>
      </c>
      <c r="C495" s="1" t="n">
        <v>45845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24678-2019</t>
        </is>
      </c>
      <c r="B496" s="1" t="n">
        <v>43601</v>
      </c>
      <c r="C496" s="1" t="n">
        <v>45845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24627-2019</t>
        </is>
      </c>
      <c r="B497" s="1" t="n">
        <v>43601</v>
      </c>
      <c r="C497" s="1" t="n">
        <v>45845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24697-2019</t>
        </is>
      </c>
      <c r="B498" s="1" t="n">
        <v>43601</v>
      </c>
      <c r="C498" s="1" t="n">
        <v>45845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25843-2019</t>
        </is>
      </c>
      <c r="B499" s="1" t="n">
        <v>43605</v>
      </c>
      <c r="C499" s="1" t="n">
        <v>45845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25254-2019</t>
        </is>
      </c>
      <c r="B500" s="1" t="n">
        <v>43605</v>
      </c>
      <c r="C500" s="1" t="n">
        <v>45845</v>
      </c>
      <c r="D500" t="inlineStr">
        <is>
          <t>KRONOBERGS LÄN</t>
        </is>
      </c>
      <c r="E500" t="inlineStr">
        <is>
          <t>LESSEBO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25261-2019</t>
        </is>
      </c>
      <c r="B501" s="1" t="n">
        <v>43605</v>
      </c>
      <c r="C501" s="1" t="n">
        <v>45845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25905-2019</t>
        </is>
      </c>
      <c r="B502" s="1" t="n">
        <v>43605</v>
      </c>
      <c r="C502" s="1" t="n">
        <v>45845</v>
      </c>
      <c r="D502" t="inlineStr">
        <is>
          <t>KRONOBERGS LÄN</t>
        </is>
      </c>
      <c r="E502" t="inlineStr">
        <is>
          <t>ALVESTA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25108-2019</t>
        </is>
      </c>
      <c r="B503" s="1" t="n">
        <v>43605</v>
      </c>
      <c r="C503" s="1" t="n">
        <v>45845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25899-2019</t>
        </is>
      </c>
      <c r="B504" s="1" t="n">
        <v>43605</v>
      </c>
      <c r="C504" s="1" t="n">
        <v>45845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25376-2019</t>
        </is>
      </c>
      <c r="B505" s="1" t="n">
        <v>43606</v>
      </c>
      <c r="C505" s="1" t="n">
        <v>45845</v>
      </c>
      <c r="D505" t="inlineStr">
        <is>
          <t>KRONOBERGS LÄN</t>
        </is>
      </c>
      <c r="E505" t="inlineStr">
        <is>
          <t>ALVESTA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25388-2019</t>
        </is>
      </c>
      <c r="B506" s="1" t="n">
        <v>43606</v>
      </c>
      <c r="C506" s="1" t="n">
        <v>45845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25377-2019</t>
        </is>
      </c>
      <c r="B507" s="1" t="n">
        <v>43606</v>
      </c>
      <c r="C507" s="1" t="n">
        <v>45845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26421-2019</t>
        </is>
      </c>
      <c r="B508" s="1" t="n">
        <v>43606</v>
      </c>
      <c r="C508" s="1" t="n">
        <v>45845</v>
      </c>
      <c r="D508" t="inlineStr">
        <is>
          <t>KRONOBERGS LÄN</t>
        </is>
      </c>
      <c r="E508" t="inlineStr">
        <is>
          <t>LESSEBO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25383-2019</t>
        </is>
      </c>
      <c r="B509" s="1" t="n">
        <v>43606</v>
      </c>
      <c r="C509" s="1" t="n">
        <v>45845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26478-2019</t>
        </is>
      </c>
      <c r="B510" s="1" t="n">
        <v>43607</v>
      </c>
      <c r="C510" s="1" t="n">
        <v>45845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26466-2019</t>
        </is>
      </c>
      <c r="B511" s="1" t="n">
        <v>43607</v>
      </c>
      <c r="C511" s="1" t="n">
        <v>45845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26494-2019</t>
        </is>
      </c>
      <c r="B512" s="1" t="n">
        <v>43607</v>
      </c>
      <c r="C512" s="1" t="n">
        <v>45845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26439-2019</t>
        </is>
      </c>
      <c r="B513" s="1" t="n">
        <v>43607</v>
      </c>
      <c r="C513" s="1" t="n">
        <v>45845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25580-2019</t>
        </is>
      </c>
      <c r="B514" s="1" t="n">
        <v>43607</v>
      </c>
      <c r="C514" s="1" t="n">
        <v>45845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25761-2019</t>
        </is>
      </c>
      <c r="B515" s="1" t="n">
        <v>43608</v>
      </c>
      <c r="C515" s="1" t="n">
        <v>45845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25734-2019</t>
        </is>
      </c>
      <c r="B516" s="1" t="n">
        <v>43608</v>
      </c>
      <c r="C516" s="1" t="n">
        <v>45845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25879-2019</t>
        </is>
      </c>
      <c r="B517" s="1" t="n">
        <v>43608</v>
      </c>
      <c r="C517" s="1" t="n">
        <v>45845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25732-2019</t>
        </is>
      </c>
      <c r="B518" s="1" t="n">
        <v>43608</v>
      </c>
      <c r="C518" s="1" t="n">
        <v>45845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25735-2019</t>
        </is>
      </c>
      <c r="B519" s="1" t="n">
        <v>43608</v>
      </c>
      <c r="C519" s="1" t="n">
        <v>45845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25731-2019</t>
        </is>
      </c>
      <c r="B520" s="1" t="n">
        <v>43608</v>
      </c>
      <c r="C520" s="1" t="n">
        <v>45845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26152-2019</t>
        </is>
      </c>
      <c r="B521" s="1" t="n">
        <v>43609</v>
      </c>
      <c r="C521" s="1" t="n">
        <v>45845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26160-2019</t>
        </is>
      </c>
      <c r="B522" s="1" t="n">
        <v>43609</v>
      </c>
      <c r="C522" s="1" t="n">
        <v>45845</v>
      </c>
      <c r="D522" t="inlineStr">
        <is>
          <t>KRONOBERGS LÄN</t>
        </is>
      </c>
      <c r="E522" t="inlineStr">
        <is>
          <t>ALVESTA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26159-2019</t>
        </is>
      </c>
      <c r="B523" s="1" t="n">
        <v>43609</v>
      </c>
      <c r="C523" s="1" t="n">
        <v>45845</v>
      </c>
      <c r="D523" t="inlineStr">
        <is>
          <t>KRONOBERGS LÄN</t>
        </is>
      </c>
      <c r="E523" t="inlineStr">
        <is>
          <t>ALVESTA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27105-2019</t>
        </is>
      </c>
      <c r="B524" s="1" t="n">
        <v>43609</v>
      </c>
      <c r="C524" s="1" t="n">
        <v>45845</v>
      </c>
      <c r="D524" t="inlineStr">
        <is>
          <t>KRONOBERGS LÄN</t>
        </is>
      </c>
      <c r="E524" t="inlineStr">
        <is>
          <t>MARKARYD</t>
        </is>
      </c>
      <c r="F524" t="inlineStr">
        <is>
          <t>Övriga Aktiebolag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26108-2019</t>
        </is>
      </c>
      <c r="B525" s="1" t="n">
        <v>43609</v>
      </c>
      <c r="C525" s="1" t="n">
        <v>45845</v>
      </c>
      <c r="D525" t="inlineStr">
        <is>
          <t>KRONOBERGS LÄN</t>
        </is>
      </c>
      <c r="E525" t="inlineStr">
        <is>
          <t>MARKARYD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26630-2019</t>
        </is>
      </c>
      <c r="B526" s="1" t="n">
        <v>43612</v>
      </c>
      <c r="C526" s="1" t="n">
        <v>45845</v>
      </c>
      <c r="D526" t="inlineStr">
        <is>
          <t>KRONOBERGS LÄN</t>
        </is>
      </c>
      <c r="E526" t="inlineStr">
        <is>
          <t>ALVESTA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27695-2019</t>
        </is>
      </c>
      <c r="B527" s="1" t="n">
        <v>43612</v>
      </c>
      <c r="C527" s="1" t="n">
        <v>45845</v>
      </c>
      <c r="D527" t="inlineStr">
        <is>
          <t>KRONOBERGS LÄN</t>
        </is>
      </c>
      <c r="E527" t="inlineStr">
        <is>
          <t>ALVESTA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26299-2019</t>
        </is>
      </c>
      <c r="B528" s="1" t="n">
        <v>43612</v>
      </c>
      <c r="C528" s="1" t="n">
        <v>45845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28022-2019</t>
        </is>
      </c>
      <c r="B529" s="1" t="n">
        <v>43613</v>
      </c>
      <c r="C529" s="1" t="n">
        <v>45845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27192-2019</t>
        </is>
      </c>
      <c r="B530" s="1" t="n">
        <v>43614</v>
      </c>
      <c r="C530" s="1" t="n">
        <v>45845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27380-2019</t>
        </is>
      </c>
      <c r="B531" s="1" t="n">
        <v>43616</v>
      </c>
      <c r="C531" s="1" t="n">
        <v>45845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27353-2019</t>
        </is>
      </c>
      <c r="B532" s="1" t="n">
        <v>43616</v>
      </c>
      <c r="C532" s="1" t="n">
        <v>45845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27537-2019</t>
        </is>
      </c>
      <c r="B533" s="1" t="n">
        <v>43616</v>
      </c>
      <c r="C533" s="1" t="n">
        <v>45845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27333-2019</t>
        </is>
      </c>
      <c r="B534" s="1" t="n">
        <v>43616</v>
      </c>
      <c r="C534" s="1" t="n">
        <v>45845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27437-2019</t>
        </is>
      </c>
      <c r="B535" s="1" t="n">
        <v>43618</v>
      </c>
      <c r="C535" s="1" t="n">
        <v>45845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27445-2019</t>
        </is>
      </c>
      <c r="B536" s="1" t="n">
        <v>43618</v>
      </c>
      <c r="C536" s="1" t="n">
        <v>45845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27446-2019</t>
        </is>
      </c>
      <c r="B537" s="1" t="n">
        <v>43618</v>
      </c>
      <c r="C537" s="1" t="n">
        <v>45845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27440-2019</t>
        </is>
      </c>
      <c r="B538" s="1" t="n">
        <v>43618</v>
      </c>
      <c r="C538" s="1" t="n">
        <v>45845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27443-2019</t>
        </is>
      </c>
      <c r="B539" s="1" t="n">
        <v>43618</v>
      </c>
      <c r="C539" s="1" t="n">
        <v>45845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27442-2019</t>
        </is>
      </c>
      <c r="B540" s="1" t="n">
        <v>43618</v>
      </c>
      <c r="C540" s="1" t="n">
        <v>45845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27614-2019</t>
        </is>
      </c>
      <c r="B541" s="1" t="n">
        <v>43619</v>
      </c>
      <c r="C541" s="1" t="n">
        <v>45845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27704-2019</t>
        </is>
      </c>
      <c r="B542" s="1" t="n">
        <v>43619</v>
      </c>
      <c r="C542" s="1" t="n">
        <v>45845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28931-2019</t>
        </is>
      </c>
      <c r="B543" s="1" t="n">
        <v>43619</v>
      </c>
      <c r="C543" s="1" t="n">
        <v>45845</v>
      </c>
      <c r="D543" t="inlineStr">
        <is>
          <t>KRONOBERGS LÄN</t>
        </is>
      </c>
      <c r="E543" t="inlineStr">
        <is>
          <t>LESSEBO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27483-2019</t>
        </is>
      </c>
      <c r="B544" s="1" t="n">
        <v>43619</v>
      </c>
      <c r="C544" s="1" t="n">
        <v>45845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27568-2019</t>
        </is>
      </c>
      <c r="B545" s="1" t="n">
        <v>43619</v>
      </c>
      <c r="C545" s="1" t="n">
        <v>45845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27919-2019</t>
        </is>
      </c>
      <c r="B546" s="1" t="n">
        <v>43620</v>
      </c>
      <c r="C546" s="1" t="n">
        <v>45845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27913-2019</t>
        </is>
      </c>
      <c r="B547" s="1" t="n">
        <v>43620</v>
      </c>
      <c r="C547" s="1" t="n">
        <v>45845</v>
      </c>
      <c r="D547" t="inlineStr">
        <is>
          <t>KRONOBERGS LÄN</t>
        </is>
      </c>
      <c r="E547" t="inlineStr">
        <is>
          <t>VÄXJÖ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27936-2019</t>
        </is>
      </c>
      <c r="B548" s="1" t="n">
        <v>43620</v>
      </c>
      <c r="C548" s="1" t="n">
        <v>45845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27940-2019</t>
        </is>
      </c>
      <c r="B549" s="1" t="n">
        <v>43620</v>
      </c>
      <c r="C549" s="1" t="n">
        <v>45845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28145-2019</t>
        </is>
      </c>
      <c r="B550" s="1" t="n">
        <v>43621</v>
      </c>
      <c r="C550" s="1" t="n">
        <v>45845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28198-2019</t>
        </is>
      </c>
      <c r="B551" s="1" t="n">
        <v>43621</v>
      </c>
      <c r="C551" s="1" t="n">
        <v>45845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29431-2019</t>
        </is>
      </c>
      <c r="B552" s="1" t="n">
        <v>43623</v>
      </c>
      <c r="C552" s="1" t="n">
        <v>45845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29432-2019</t>
        </is>
      </c>
      <c r="B553" s="1" t="n">
        <v>43623</v>
      </c>
      <c r="C553" s="1" t="n">
        <v>45845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29198-2019</t>
        </is>
      </c>
      <c r="B554" s="1" t="n">
        <v>43623</v>
      </c>
      <c r="C554" s="1" t="n">
        <v>45845</v>
      </c>
      <c r="D554" t="inlineStr">
        <is>
          <t>KRONOBERGS LÄN</t>
        </is>
      </c>
      <c r="E554" t="inlineStr">
        <is>
          <t>UPPVIDINGE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29425-2019</t>
        </is>
      </c>
      <c r="B555" s="1" t="n">
        <v>43623</v>
      </c>
      <c r="C555" s="1" t="n">
        <v>45845</v>
      </c>
      <c r="D555" t="inlineStr">
        <is>
          <t>KRONOBERGS LÄN</t>
        </is>
      </c>
      <c r="E555" t="inlineStr">
        <is>
          <t>MARKARYD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28547-2019</t>
        </is>
      </c>
      <c r="B556" s="1" t="n">
        <v>43626</v>
      </c>
      <c r="C556" s="1" t="n">
        <v>45845</v>
      </c>
      <c r="D556" t="inlineStr">
        <is>
          <t>KRONOBERGS LÄN</t>
        </is>
      </c>
      <c r="E556" t="inlineStr">
        <is>
          <t>ALVESTA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28458-2019</t>
        </is>
      </c>
      <c r="B557" s="1" t="n">
        <v>43626</v>
      </c>
      <c r="C557" s="1" t="n">
        <v>45845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28447-2019</t>
        </is>
      </c>
      <c r="B558" s="1" t="n">
        <v>43626</v>
      </c>
      <c r="C558" s="1" t="n">
        <v>45845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28556-2019</t>
        </is>
      </c>
      <c r="B559" s="1" t="n">
        <v>43626</v>
      </c>
      <c r="C559" s="1" t="n">
        <v>45845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28686-2019</t>
        </is>
      </c>
      <c r="B560" s="1" t="n">
        <v>43627</v>
      </c>
      <c r="C560" s="1" t="n">
        <v>45845</v>
      </c>
      <c r="D560" t="inlineStr">
        <is>
          <t>KRONOBERGS LÄN</t>
        </is>
      </c>
      <c r="E560" t="inlineStr">
        <is>
          <t>ALVESTA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28760-2019</t>
        </is>
      </c>
      <c r="B561" s="1" t="n">
        <v>43627</v>
      </c>
      <c r="C561" s="1" t="n">
        <v>45845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28844-2019</t>
        </is>
      </c>
      <c r="B562" s="1" t="n">
        <v>43627</v>
      </c>
      <c r="C562" s="1" t="n">
        <v>45845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28728-2019</t>
        </is>
      </c>
      <c r="B563" s="1" t="n">
        <v>43627</v>
      </c>
      <c r="C563" s="1" t="n">
        <v>45845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28758-2019</t>
        </is>
      </c>
      <c r="B564" s="1" t="n">
        <v>43627</v>
      </c>
      <c r="C564" s="1" t="n">
        <v>45845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28833-2019</t>
        </is>
      </c>
      <c r="B565" s="1" t="n">
        <v>43627</v>
      </c>
      <c r="C565" s="1" t="n">
        <v>45845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28648-2019</t>
        </is>
      </c>
      <c r="B566" s="1" t="n">
        <v>43627</v>
      </c>
      <c r="C566" s="1" t="n">
        <v>45845</v>
      </c>
      <c r="D566" t="inlineStr">
        <is>
          <t>KRONOBERGS LÄN</t>
        </is>
      </c>
      <c r="E566" t="inlineStr">
        <is>
          <t>TINGSRYD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28687-2019</t>
        </is>
      </c>
      <c r="B567" s="1" t="n">
        <v>43627</v>
      </c>
      <c r="C567" s="1" t="n">
        <v>45845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28835-2019</t>
        </is>
      </c>
      <c r="B568" s="1" t="n">
        <v>43627</v>
      </c>
      <c r="C568" s="1" t="n">
        <v>45845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28837-2019</t>
        </is>
      </c>
      <c r="B569" s="1" t="n">
        <v>43627</v>
      </c>
      <c r="C569" s="1" t="n">
        <v>45845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28836-2019</t>
        </is>
      </c>
      <c r="B570" s="1" t="n">
        <v>43627</v>
      </c>
      <c r="C570" s="1" t="n">
        <v>45845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28960-2019</t>
        </is>
      </c>
      <c r="B571" s="1" t="n">
        <v>43628</v>
      </c>
      <c r="C571" s="1" t="n">
        <v>45845</v>
      </c>
      <c r="D571" t="inlineStr">
        <is>
          <t>KRONOBERGS LÄN</t>
        </is>
      </c>
      <c r="E571" t="inlineStr">
        <is>
          <t>LESSEBO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28985-2019</t>
        </is>
      </c>
      <c r="B572" s="1" t="n">
        <v>43628</v>
      </c>
      <c r="C572" s="1" t="n">
        <v>45845</v>
      </c>
      <c r="D572" t="inlineStr">
        <is>
          <t>KRONOBERGS LÄN</t>
        </is>
      </c>
      <c r="E572" t="inlineStr">
        <is>
          <t>ALVESTA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28961-2019</t>
        </is>
      </c>
      <c r="B573" s="1" t="n">
        <v>43628</v>
      </c>
      <c r="C573" s="1" t="n">
        <v>45845</v>
      </c>
      <c r="D573" t="inlineStr">
        <is>
          <t>KRONOBERGS LÄN</t>
        </is>
      </c>
      <c r="E573" t="inlineStr">
        <is>
          <t>UPPVIDINGE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29656-2019</t>
        </is>
      </c>
      <c r="B574" s="1" t="n">
        <v>43628</v>
      </c>
      <c r="C574" s="1" t="n">
        <v>45845</v>
      </c>
      <c r="D574" t="inlineStr">
        <is>
          <t>KRONOBERGS LÄN</t>
        </is>
      </c>
      <c r="E574" t="inlineStr">
        <is>
          <t>TINGSRYD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29057-2019</t>
        </is>
      </c>
      <c r="B575" s="1" t="n">
        <v>43628</v>
      </c>
      <c r="C575" s="1" t="n">
        <v>45845</v>
      </c>
      <c r="D575" t="inlineStr">
        <is>
          <t>KRONOBERGS LÄN</t>
        </is>
      </c>
      <c r="E575" t="inlineStr">
        <is>
          <t>UPPVIDINGE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28873-2019</t>
        </is>
      </c>
      <c r="B576" s="1" t="n">
        <v>43628</v>
      </c>
      <c r="C576" s="1" t="n">
        <v>45845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29250-2019</t>
        </is>
      </c>
      <c r="B577" s="1" t="n">
        <v>43629</v>
      </c>
      <c r="C577" s="1" t="n">
        <v>45845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29353-2019</t>
        </is>
      </c>
      <c r="B578" s="1" t="n">
        <v>43629</v>
      </c>
      <c r="C578" s="1" t="n">
        <v>45845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29607-2019</t>
        </is>
      </c>
      <c r="B579" s="1" t="n">
        <v>43630</v>
      </c>
      <c r="C579" s="1" t="n">
        <v>45845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29622-2019</t>
        </is>
      </c>
      <c r="B580" s="1" t="n">
        <v>43630</v>
      </c>
      <c r="C580" s="1" t="n">
        <v>45845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29645-2019</t>
        </is>
      </c>
      <c r="B581" s="1" t="n">
        <v>43630</v>
      </c>
      <c r="C581" s="1" t="n">
        <v>45845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29738-2019</t>
        </is>
      </c>
      <c r="B582" s="1" t="n">
        <v>43630</v>
      </c>
      <c r="C582" s="1" t="n">
        <v>45845</v>
      </c>
      <c r="D582" t="inlineStr">
        <is>
          <t>KRONOBERGS LÄN</t>
        </is>
      </c>
      <c r="E582" t="inlineStr">
        <is>
          <t>UPPVIDINGE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29643-2019</t>
        </is>
      </c>
      <c r="B583" s="1" t="n">
        <v>43630</v>
      </c>
      <c r="C583" s="1" t="n">
        <v>45845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29739-2019</t>
        </is>
      </c>
      <c r="B584" s="1" t="n">
        <v>43630</v>
      </c>
      <c r="C584" s="1" t="n">
        <v>45845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29798-2019</t>
        </is>
      </c>
      <c r="B585" s="1" t="n">
        <v>43633</v>
      </c>
      <c r="C585" s="1" t="n">
        <v>45845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29883-2019</t>
        </is>
      </c>
      <c r="B586" s="1" t="n">
        <v>43633</v>
      </c>
      <c r="C586" s="1" t="n">
        <v>45845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29982-2019</t>
        </is>
      </c>
      <c r="B587" s="1" t="n">
        <v>43633</v>
      </c>
      <c r="C587" s="1" t="n">
        <v>45845</v>
      </c>
      <c r="D587" t="inlineStr">
        <is>
          <t>KRONOBERGS LÄN</t>
        </is>
      </c>
      <c r="E587" t="inlineStr">
        <is>
          <t>TINGSRYD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29797-2019</t>
        </is>
      </c>
      <c r="B588" s="1" t="n">
        <v>43633</v>
      </c>
      <c r="C588" s="1" t="n">
        <v>45845</v>
      </c>
      <c r="D588" t="inlineStr">
        <is>
          <t>KRONOBERGS LÄN</t>
        </is>
      </c>
      <c r="E588" t="inlineStr">
        <is>
          <t>LJUNGBY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30001-2019</t>
        </is>
      </c>
      <c r="B589" s="1" t="n">
        <v>43633</v>
      </c>
      <c r="C589" s="1" t="n">
        <v>45845</v>
      </c>
      <c r="D589" t="inlineStr">
        <is>
          <t>KRONOBERGS LÄN</t>
        </is>
      </c>
      <c r="E589" t="inlineStr">
        <is>
          <t>TINGSRYD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30388-2019</t>
        </is>
      </c>
      <c r="B590" s="1" t="n">
        <v>43633</v>
      </c>
      <c r="C590" s="1" t="n">
        <v>45845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30006-2019</t>
        </is>
      </c>
      <c r="B591" s="1" t="n">
        <v>43633</v>
      </c>
      <c r="C591" s="1" t="n">
        <v>45845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30215-2019</t>
        </is>
      </c>
      <c r="B592" s="1" t="n">
        <v>43634</v>
      </c>
      <c r="C592" s="1" t="n">
        <v>45845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30193-2019</t>
        </is>
      </c>
      <c r="B593" s="1" t="n">
        <v>43634</v>
      </c>
      <c r="C593" s="1" t="n">
        <v>45845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30241-2019</t>
        </is>
      </c>
      <c r="B594" s="1" t="n">
        <v>43634</v>
      </c>
      <c r="C594" s="1" t="n">
        <v>45845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30190-2019</t>
        </is>
      </c>
      <c r="B595" s="1" t="n">
        <v>43634</v>
      </c>
      <c r="C595" s="1" t="n">
        <v>45845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30200-2019</t>
        </is>
      </c>
      <c r="B596" s="1" t="n">
        <v>43634</v>
      </c>
      <c r="C596" s="1" t="n">
        <v>45845</v>
      </c>
      <c r="D596" t="inlineStr">
        <is>
          <t>KRONOBERGS LÄN</t>
        </is>
      </c>
      <c r="E596" t="inlineStr">
        <is>
          <t>TINGSRYD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30204-2019</t>
        </is>
      </c>
      <c r="B597" s="1" t="n">
        <v>43634</v>
      </c>
      <c r="C597" s="1" t="n">
        <v>45845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30201-2019</t>
        </is>
      </c>
      <c r="B598" s="1" t="n">
        <v>43634</v>
      </c>
      <c r="C598" s="1" t="n">
        <v>45845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30208-2019</t>
        </is>
      </c>
      <c r="B599" s="1" t="n">
        <v>43634</v>
      </c>
      <c r="C599" s="1" t="n">
        <v>45845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30291-2019</t>
        </is>
      </c>
      <c r="B600" s="1" t="n">
        <v>43634</v>
      </c>
      <c r="C600" s="1" t="n">
        <v>45845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30587-2019</t>
        </is>
      </c>
      <c r="B601" s="1" t="n">
        <v>43635</v>
      </c>
      <c r="C601" s="1" t="n">
        <v>45845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30663-2019</t>
        </is>
      </c>
      <c r="B602" s="1" t="n">
        <v>43636</v>
      </c>
      <c r="C602" s="1" t="n">
        <v>45845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30642-2019</t>
        </is>
      </c>
      <c r="B603" s="1" t="n">
        <v>43636</v>
      </c>
      <c r="C603" s="1" t="n">
        <v>45845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30659-2019</t>
        </is>
      </c>
      <c r="B604" s="1" t="n">
        <v>43636</v>
      </c>
      <c r="C604" s="1" t="n">
        <v>45845</v>
      </c>
      <c r="D604" t="inlineStr">
        <is>
          <t>KRONOBERGS LÄN</t>
        </is>
      </c>
      <c r="E604" t="inlineStr">
        <is>
          <t>ALVESTA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30753-2019</t>
        </is>
      </c>
      <c r="B605" s="1" t="n">
        <v>43636</v>
      </c>
      <c r="C605" s="1" t="n">
        <v>45845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30668-2019</t>
        </is>
      </c>
      <c r="B606" s="1" t="n">
        <v>43636</v>
      </c>
      <c r="C606" s="1" t="n">
        <v>45845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30875-2019</t>
        </is>
      </c>
      <c r="B607" s="1" t="n">
        <v>43636</v>
      </c>
      <c r="C607" s="1" t="n">
        <v>45845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30907-2019</t>
        </is>
      </c>
      <c r="B608" s="1" t="n">
        <v>43636</v>
      </c>
      <c r="C608" s="1" t="n">
        <v>45845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31378-2019</t>
        </is>
      </c>
      <c r="B609" s="1" t="n">
        <v>43636</v>
      </c>
      <c r="C609" s="1" t="n">
        <v>45845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30874-2019</t>
        </is>
      </c>
      <c r="B610" s="1" t="n">
        <v>43636</v>
      </c>
      <c r="C610" s="1" t="n">
        <v>45845</v>
      </c>
      <c r="D610" t="inlineStr">
        <is>
          <t>KRONOBERGS LÄN</t>
        </is>
      </c>
      <c r="E610" t="inlineStr">
        <is>
          <t>UPPVIDINGE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30672-2019</t>
        </is>
      </c>
      <c r="B611" s="1" t="n">
        <v>43636</v>
      </c>
      <c r="C611" s="1" t="n">
        <v>45845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30798-2019</t>
        </is>
      </c>
      <c r="B612" s="1" t="n">
        <v>43636</v>
      </c>
      <c r="C612" s="1" t="n">
        <v>45845</v>
      </c>
      <c r="D612" t="inlineStr">
        <is>
          <t>KRONOBERGS LÄN</t>
        </is>
      </c>
      <c r="E612" t="inlineStr">
        <is>
          <t>UPPVIDINGE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30749-2019</t>
        </is>
      </c>
      <c r="B613" s="1" t="n">
        <v>43636</v>
      </c>
      <c r="C613" s="1" t="n">
        <v>45845</v>
      </c>
      <c r="D613" t="inlineStr">
        <is>
          <t>KRONOBERGS LÄN</t>
        </is>
      </c>
      <c r="E613" t="inlineStr">
        <is>
          <t>UPPVIDINGE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31013-2019</t>
        </is>
      </c>
      <c r="B614" s="1" t="n">
        <v>43640</v>
      </c>
      <c r="C614" s="1" t="n">
        <v>45845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31002-2019</t>
        </is>
      </c>
      <c r="B615" s="1" t="n">
        <v>43640</v>
      </c>
      <c r="C615" s="1" t="n">
        <v>45845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30984-2019</t>
        </is>
      </c>
      <c r="B616" s="1" t="n">
        <v>43640</v>
      </c>
      <c r="C616" s="1" t="n">
        <v>45845</v>
      </c>
      <c r="D616" t="inlineStr">
        <is>
          <t>KRONOBERGS LÄN</t>
        </is>
      </c>
      <c r="E616" t="inlineStr">
        <is>
          <t>LJUNGBY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31003-2019</t>
        </is>
      </c>
      <c r="B617" s="1" t="n">
        <v>43640</v>
      </c>
      <c r="C617" s="1" t="n">
        <v>45845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31150-2019</t>
        </is>
      </c>
      <c r="B618" s="1" t="n">
        <v>43640</v>
      </c>
      <c r="C618" s="1" t="n">
        <v>45845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31182-2019</t>
        </is>
      </c>
      <c r="B619" s="1" t="n">
        <v>43640</v>
      </c>
      <c r="C619" s="1" t="n">
        <v>45845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31256-2019</t>
        </is>
      </c>
      <c r="B620" s="1" t="n">
        <v>43640</v>
      </c>
      <c r="C620" s="1" t="n">
        <v>45845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31255-2019</t>
        </is>
      </c>
      <c r="B621" s="1" t="n">
        <v>43640</v>
      </c>
      <c r="C621" s="1" t="n">
        <v>45845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31114-2019</t>
        </is>
      </c>
      <c r="B622" s="1" t="n">
        <v>43640</v>
      </c>
      <c r="C622" s="1" t="n">
        <v>45845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31484-2019</t>
        </is>
      </c>
      <c r="B623" s="1" t="n">
        <v>43641</v>
      </c>
      <c r="C623" s="1" t="n">
        <v>45845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31545-2019</t>
        </is>
      </c>
      <c r="B624" s="1" t="n">
        <v>43641</v>
      </c>
      <c r="C624" s="1" t="n">
        <v>45845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31339-2019</t>
        </is>
      </c>
      <c r="B625" s="1" t="n">
        <v>43641</v>
      </c>
      <c r="C625" s="1" t="n">
        <v>45845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31550-2019</t>
        </is>
      </c>
      <c r="B626" s="1" t="n">
        <v>43641</v>
      </c>
      <c r="C626" s="1" t="n">
        <v>45845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31505-2019</t>
        </is>
      </c>
      <c r="B627" s="1" t="n">
        <v>43641</v>
      </c>
      <c r="C627" s="1" t="n">
        <v>45845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31741-2019</t>
        </is>
      </c>
      <c r="B628" s="1" t="n">
        <v>43642</v>
      </c>
      <c r="C628" s="1" t="n">
        <v>45845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31623-2019</t>
        </is>
      </c>
      <c r="B629" s="1" t="n">
        <v>43642</v>
      </c>
      <c r="C629" s="1" t="n">
        <v>45845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31694-2019</t>
        </is>
      </c>
      <c r="B630" s="1" t="n">
        <v>43642</v>
      </c>
      <c r="C630" s="1" t="n">
        <v>45845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31797-2019</t>
        </is>
      </c>
      <c r="B631" s="1" t="n">
        <v>43642</v>
      </c>
      <c r="C631" s="1" t="n">
        <v>45845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31799-2019</t>
        </is>
      </c>
      <c r="B632" s="1" t="n">
        <v>43642</v>
      </c>
      <c r="C632" s="1" t="n">
        <v>45845</v>
      </c>
      <c r="D632" t="inlineStr">
        <is>
          <t>KRONOBERGS LÄN</t>
        </is>
      </c>
      <c r="E632" t="inlineStr">
        <is>
          <t>VÄXJÖ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31946-2019</t>
        </is>
      </c>
      <c r="B633" s="1" t="n">
        <v>43643</v>
      </c>
      <c r="C633" s="1" t="n">
        <v>45845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31999-2019</t>
        </is>
      </c>
      <c r="B634" s="1" t="n">
        <v>43643</v>
      </c>
      <c r="C634" s="1" t="n">
        <v>45845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32004-2019</t>
        </is>
      </c>
      <c r="B635" s="1" t="n">
        <v>43643</v>
      </c>
      <c r="C635" s="1" t="n">
        <v>45845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31928-2019</t>
        </is>
      </c>
      <c r="B636" s="1" t="n">
        <v>43643</v>
      </c>
      <c r="C636" s="1" t="n">
        <v>45845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31943-2019</t>
        </is>
      </c>
      <c r="B637" s="1" t="n">
        <v>43643</v>
      </c>
      <c r="C637" s="1" t="n">
        <v>45845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32118-2019</t>
        </is>
      </c>
      <c r="B638" s="1" t="n">
        <v>43643</v>
      </c>
      <c r="C638" s="1" t="n">
        <v>45845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32080-2019</t>
        </is>
      </c>
      <c r="B639" s="1" t="n">
        <v>43643</v>
      </c>
      <c r="C639" s="1" t="n">
        <v>45845</v>
      </c>
      <c r="D639" t="inlineStr">
        <is>
          <t>KRONOBERGS LÄN</t>
        </is>
      </c>
      <c r="E639" t="inlineStr">
        <is>
          <t>MARKARYD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32063-2019</t>
        </is>
      </c>
      <c r="B640" s="1" t="n">
        <v>43643</v>
      </c>
      <c r="C640" s="1" t="n">
        <v>45845</v>
      </c>
      <c r="D640" t="inlineStr">
        <is>
          <t>KRONOBERGS LÄN</t>
        </is>
      </c>
      <c r="E640" t="inlineStr">
        <is>
          <t>VÄXJÖ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32246-2019</t>
        </is>
      </c>
      <c r="B641" s="1" t="n">
        <v>43644</v>
      </c>
      <c r="C641" s="1" t="n">
        <v>45845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32240-2019</t>
        </is>
      </c>
      <c r="B642" s="1" t="n">
        <v>43644</v>
      </c>
      <c r="C642" s="1" t="n">
        <v>45845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32508-2019</t>
        </is>
      </c>
      <c r="B643" s="1" t="n">
        <v>43645</v>
      </c>
      <c r="C643" s="1" t="n">
        <v>45845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32507-2019</t>
        </is>
      </c>
      <c r="B644" s="1" t="n">
        <v>43645</v>
      </c>
      <c r="C644" s="1" t="n">
        <v>45845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32518-2019</t>
        </is>
      </c>
      <c r="B645" s="1" t="n">
        <v>43646</v>
      </c>
      <c r="C645" s="1" t="n">
        <v>45845</v>
      </c>
      <c r="D645" t="inlineStr">
        <is>
          <t>KRONOBERGS LÄN</t>
        </is>
      </c>
      <c r="E645" t="inlineStr">
        <is>
          <t>VÄXJÖ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32598-2019</t>
        </is>
      </c>
      <c r="B646" s="1" t="n">
        <v>43647</v>
      </c>
      <c r="C646" s="1" t="n">
        <v>45845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32605-2019</t>
        </is>
      </c>
      <c r="B647" s="1" t="n">
        <v>43647</v>
      </c>
      <c r="C647" s="1" t="n">
        <v>45845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32574-2019</t>
        </is>
      </c>
      <c r="B648" s="1" t="n">
        <v>43647</v>
      </c>
      <c r="C648" s="1" t="n">
        <v>45845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32892-2019</t>
        </is>
      </c>
      <c r="B649" s="1" t="n">
        <v>43648</v>
      </c>
      <c r="C649" s="1" t="n">
        <v>45845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32867-2019</t>
        </is>
      </c>
      <c r="B650" s="1" t="n">
        <v>43648</v>
      </c>
      <c r="C650" s="1" t="n">
        <v>45845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32967-2019</t>
        </is>
      </c>
      <c r="B651" s="1" t="n">
        <v>43648</v>
      </c>
      <c r="C651" s="1" t="n">
        <v>45845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32893-2019</t>
        </is>
      </c>
      <c r="B652" s="1" t="n">
        <v>43648</v>
      </c>
      <c r="C652" s="1" t="n">
        <v>45845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32943-2019</t>
        </is>
      </c>
      <c r="B653" s="1" t="n">
        <v>43648</v>
      </c>
      <c r="C653" s="1" t="n">
        <v>45845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32777-2019</t>
        </is>
      </c>
      <c r="B654" s="1" t="n">
        <v>43648</v>
      </c>
      <c r="C654" s="1" t="n">
        <v>45845</v>
      </c>
      <c r="D654" t="inlineStr">
        <is>
          <t>KRONOBERGS LÄN</t>
        </is>
      </c>
      <c r="E654" t="inlineStr">
        <is>
          <t>LESSEBO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33054-2019</t>
        </is>
      </c>
      <c r="B655" s="1" t="n">
        <v>43649</v>
      </c>
      <c r="C655" s="1" t="n">
        <v>45845</v>
      </c>
      <c r="D655" t="inlineStr">
        <is>
          <t>KRONOBERGS LÄN</t>
        </is>
      </c>
      <c r="E655" t="inlineStr">
        <is>
          <t>ÄLMHULT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33067-2019</t>
        </is>
      </c>
      <c r="B656" s="1" t="n">
        <v>43649</v>
      </c>
      <c r="C656" s="1" t="n">
        <v>45845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33085-2019</t>
        </is>
      </c>
      <c r="B657" s="1" t="n">
        <v>43649</v>
      </c>
      <c r="C657" s="1" t="n">
        <v>45845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33152-2019</t>
        </is>
      </c>
      <c r="B658" s="1" t="n">
        <v>43649</v>
      </c>
      <c r="C658" s="1" t="n">
        <v>45845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33105-2019</t>
        </is>
      </c>
      <c r="B659" s="1" t="n">
        <v>43649</v>
      </c>
      <c r="C659" s="1" t="n">
        <v>45845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33049-2019</t>
        </is>
      </c>
      <c r="B660" s="1" t="n">
        <v>43649</v>
      </c>
      <c r="C660" s="1" t="n">
        <v>45845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33139-2019</t>
        </is>
      </c>
      <c r="B661" s="1" t="n">
        <v>43649</v>
      </c>
      <c r="C661" s="1" t="n">
        <v>45845</v>
      </c>
      <c r="D661" t="inlineStr">
        <is>
          <t>KRONOBERGS LÄN</t>
        </is>
      </c>
      <c r="E661" t="inlineStr">
        <is>
          <t>VÄXJÖ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33178-2019</t>
        </is>
      </c>
      <c r="B662" s="1" t="n">
        <v>43649</v>
      </c>
      <c r="C662" s="1" t="n">
        <v>45845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33190-2019</t>
        </is>
      </c>
      <c r="B663" s="1" t="n">
        <v>43649</v>
      </c>
      <c r="C663" s="1" t="n">
        <v>45845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33022-2019</t>
        </is>
      </c>
      <c r="B664" s="1" t="n">
        <v>43649</v>
      </c>
      <c r="C664" s="1" t="n">
        <v>45845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33273-2019</t>
        </is>
      </c>
      <c r="B665" s="1" t="n">
        <v>43650</v>
      </c>
      <c r="C665" s="1" t="n">
        <v>45845</v>
      </c>
      <c r="D665" t="inlineStr">
        <is>
          <t>KRONOBERGS LÄN</t>
        </is>
      </c>
      <c r="E665" t="inlineStr">
        <is>
          <t>TINGSRYD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33446-2019</t>
        </is>
      </c>
      <c r="B666" s="1" t="n">
        <v>43650</v>
      </c>
      <c r="C666" s="1" t="n">
        <v>45845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33445-2019</t>
        </is>
      </c>
      <c r="B667" s="1" t="n">
        <v>43650</v>
      </c>
      <c r="C667" s="1" t="n">
        <v>45845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33449-2019</t>
        </is>
      </c>
      <c r="B668" s="1" t="n">
        <v>43650</v>
      </c>
      <c r="C668" s="1" t="n">
        <v>45845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33286-2019</t>
        </is>
      </c>
      <c r="B669" s="1" t="n">
        <v>43650</v>
      </c>
      <c r="C669" s="1" t="n">
        <v>45845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35194-2019</t>
        </is>
      </c>
      <c r="B670" s="1" t="n">
        <v>43650</v>
      </c>
      <c r="C670" s="1" t="n">
        <v>45845</v>
      </c>
      <c r="D670" t="inlineStr">
        <is>
          <t>KRONOBERGS LÄN</t>
        </is>
      </c>
      <c r="E670" t="inlineStr">
        <is>
          <t>UPPVIDINGE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33432-2019</t>
        </is>
      </c>
      <c r="B671" s="1" t="n">
        <v>43650</v>
      </c>
      <c r="C671" s="1" t="n">
        <v>45845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33454-2019</t>
        </is>
      </c>
      <c r="B672" s="1" t="n">
        <v>43650</v>
      </c>
      <c r="C672" s="1" t="n">
        <v>45845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33448-2019</t>
        </is>
      </c>
      <c r="B673" s="1" t="n">
        <v>43650</v>
      </c>
      <c r="C673" s="1" t="n">
        <v>45845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35201-2019</t>
        </is>
      </c>
      <c r="B674" s="1" t="n">
        <v>43650</v>
      </c>
      <c r="C674" s="1" t="n">
        <v>45845</v>
      </c>
      <c r="D674" t="inlineStr">
        <is>
          <t>KRONOBERGS LÄN</t>
        </is>
      </c>
      <c r="E674" t="inlineStr">
        <is>
          <t>UPPVIDINGE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34942-2019</t>
        </is>
      </c>
      <c r="B675" s="1" t="n">
        <v>43650</v>
      </c>
      <c r="C675" s="1" t="n">
        <v>45845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35185-2019</t>
        </is>
      </c>
      <c r="B676" s="1" t="n">
        <v>43650</v>
      </c>
      <c r="C676" s="1" t="n">
        <v>45845</v>
      </c>
      <c r="D676" t="inlineStr">
        <is>
          <t>KRONOBERGS LÄN</t>
        </is>
      </c>
      <c r="E676" t="inlineStr">
        <is>
          <t>UPPVIDINGE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33453-2019</t>
        </is>
      </c>
      <c r="B677" s="1" t="n">
        <v>43650</v>
      </c>
      <c r="C677" s="1" t="n">
        <v>45845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33487-2019</t>
        </is>
      </c>
      <c r="B678" s="1" t="n">
        <v>43651</v>
      </c>
      <c r="C678" s="1" t="n">
        <v>45845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35278-2019</t>
        </is>
      </c>
      <c r="B679" s="1" t="n">
        <v>43651</v>
      </c>
      <c r="C679" s="1" t="n">
        <v>45845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33754-2019</t>
        </is>
      </c>
      <c r="B680" s="1" t="n">
        <v>43651</v>
      </c>
      <c r="C680" s="1" t="n">
        <v>45845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35352-2019</t>
        </is>
      </c>
      <c r="B681" s="1" t="n">
        <v>43651</v>
      </c>
      <c r="C681" s="1" t="n">
        <v>45845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33894-2019</t>
        </is>
      </c>
      <c r="B682" s="1" t="n">
        <v>43653</v>
      </c>
      <c r="C682" s="1" t="n">
        <v>45845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33896-2019</t>
        </is>
      </c>
      <c r="B683" s="1" t="n">
        <v>43653</v>
      </c>
      <c r="C683" s="1" t="n">
        <v>45845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33897-2019</t>
        </is>
      </c>
      <c r="B684" s="1" t="n">
        <v>43653</v>
      </c>
      <c r="C684" s="1" t="n">
        <v>45845</v>
      </c>
      <c r="D684" t="inlineStr">
        <is>
          <t>KRONOBERGS LÄN</t>
        </is>
      </c>
      <c r="E684" t="inlineStr">
        <is>
          <t>VÄXJÖ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34087-2019</t>
        </is>
      </c>
      <c r="B685" s="1" t="n">
        <v>43654</v>
      </c>
      <c r="C685" s="1" t="n">
        <v>45845</v>
      </c>
      <c r="D685" t="inlineStr">
        <is>
          <t>KRONOBERGS LÄN</t>
        </is>
      </c>
      <c r="E685" t="inlineStr">
        <is>
          <t>LESSEBO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34077-2019</t>
        </is>
      </c>
      <c r="B686" s="1" t="n">
        <v>43654</v>
      </c>
      <c r="C686" s="1" t="n">
        <v>45845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33970-2019</t>
        </is>
      </c>
      <c r="B687" s="1" t="n">
        <v>43654</v>
      </c>
      <c r="C687" s="1" t="n">
        <v>45845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34293-2019</t>
        </is>
      </c>
      <c r="B688" s="1" t="n">
        <v>43655</v>
      </c>
      <c r="C688" s="1" t="n">
        <v>45845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34298-2019</t>
        </is>
      </c>
      <c r="B689" s="1" t="n">
        <v>43655</v>
      </c>
      <c r="C689" s="1" t="n">
        <v>45845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34200-2019</t>
        </is>
      </c>
      <c r="B690" s="1" t="n">
        <v>43655</v>
      </c>
      <c r="C690" s="1" t="n">
        <v>45845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34206-2019</t>
        </is>
      </c>
      <c r="B691" s="1" t="n">
        <v>43655</v>
      </c>
      <c r="C691" s="1" t="n">
        <v>45845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34294-2019</t>
        </is>
      </c>
      <c r="B692" s="1" t="n">
        <v>43655</v>
      </c>
      <c r="C692" s="1" t="n">
        <v>45845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34295-2019</t>
        </is>
      </c>
      <c r="B693" s="1" t="n">
        <v>43655</v>
      </c>
      <c r="C693" s="1" t="n">
        <v>45845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35626-2019</t>
        </is>
      </c>
      <c r="B694" s="1" t="n">
        <v>43655</v>
      </c>
      <c r="C694" s="1" t="n">
        <v>45845</v>
      </c>
      <c r="D694" t="inlineStr">
        <is>
          <t>KRONOBERGS LÄN</t>
        </is>
      </c>
      <c r="E694" t="inlineStr">
        <is>
          <t>ALVESTA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34292-2019</t>
        </is>
      </c>
      <c r="B695" s="1" t="n">
        <v>43655</v>
      </c>
      <c r="C695" s="1" t="n">
        <v>45845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34296-2019</t>
        </is>
      </c>
      <c r="B696" s="1" t="n">
        <v>43655</v>
      </c>
      <c r="C696" s="1" t="n">
        <v>45845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35640-2019</t>
        </is>
      </c>
      <c r="B697" s="1" t="n">
        <v>43655</v>
      </c>
      <c r="C697" s="1" t="n">
        <v>45845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35632-2019</t>
        </is>
      </c>
      <c r="B698" s="1" t="n">
        <v>43655</v>
      </c>
      <c r="C698" s="1" t="n">
        <v>45845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35635-2019</t>
        </is>
      </c>
      <c r="B699" s="1" t="n">
        <v>43655</v>
      </c>
      <c r="C699" s="1" t="n">
        <v>45845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34299-2019</t>
        </is>
      </c>
      <c r="B700" s="1" t="n">
        <v>43655</v>
      </c>
      <c r="C700" s="1" t="n">
        <v>45845</v>
      </c>
      <c r="D700" t="inlineStr">
        <is>
          <t>KRONOBERGS LÄN</t>
        </is>
      </c>
      <c r="E700" t="inlineStr">
        <is>
          <t>LESSEBO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34355-2019</t>
        </is>
      </c>
      <c r="B701" s="1" t="n">
        <v>43656</v>
      </c>
      <c r="C701" s="1" t="n">
        <v>45845</v>
      </c>
      <c r="D701" t="inlineStr">
        <is>
          <t>KRONOBERGS LÄN</t>
        </is>
      </c>
      <c r="E701" t="inlineStr">
        <is>
          <t>LJUNGBY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34358-2019</t>
        </is>
      </c>
      <c r="B702" s="1" t="n">
        <v>43656</v>
      </c>
      <c r="C702" s="1" t="n">
        <v>45845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34339-2019</t>
        </is>
      </c>
      <c r="B703" s="1" t="n">
        <v>43656</v>
      </c>
      <c r="C703" s="1" t="n">
        <v>45845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34466-2019</t>
        </is>
      </c>
      <c r="B704" s="1" t="n">
        <v>43656</v>
      </c>
      <c r="C704" s="1" t="n">
        <v>45845</v>
      </c>
      <c r="D704" t="inlineStr">
        <is>
          <t>KRONOBERGS LÄN</t>
        </is>
      </c>
      <c r="E704" t="inlineStr">
        <is>
          <t>LESSEBO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34440-2019</t>
        </is>
      </c>
      <c r="B705" s="1" t="n">
        <v>43656</v>
      </c>
      <c r="C705" s="1" t="n">
        <v>45845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34429-2019</t>
        </is>
      </c>
      <c r="B706" s="1" t="n">
        <v>43656</v>
      </c>
      <c r="C706" s="1" t="n">
        <v>45845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34761-2019</t>
        </is>
      </c>
      <c r="B707" s="1" t="n">
        <v>43658</v>
      </c>
      <c r="C707" s="1" t="n">
        <v>45845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34931-2019</t>
        </is>
      </c>
      <c r="B708" s="1" t="n">
        <v>43658</v>
      </c>
      <c r="C708" s="1" t="n">
        <v>45845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36110-2019</t>
        </is>
      </c>
      <c r="B709" s="1" t="n">
        <v>43658</v>
      </c>
      <c r="C709" s="1" t="n">
        <v>45845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34990-2019</t>
        </is>
      </c>
      <c r="B710" s="1" t="n">
        <v>43659</v>
      </c>
      <c r="C710" s="1" t="n">
        <v>45845</v>
      </c>
      <c r="D710" t="inlineStr">
        <is>
          <t>KRONOBERGS LÄN</t>
        </is>
      </c>
      <c r="E710" t="inlineStr">
        <is>
          <t>UPPVIDINGE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35159-2019</t>
        </is>
      </c>
      <c r="B711" s="1" t="n">
        <v>43661</v>
      </c>
      <c r="C711" s="1" t="n">
        <v>45845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35008-2019</t>
        </is>
      </c>
      <c r="B712" s="1" t="n">
        <v>43661</v>
      </c>
      <c r="C712" s="1" t="n">
        <v>45845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35162-2019</t>
        </is>
      </c>
      <c r="B713" s="1" t="n">
        <v>43661</v>
      </c>
      <c r="C713" s="1" t="n">
        <v>45845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35305-2019</t>
        </is>
      </c>
      <c r="B714" s="1" t="n">
        <v>43662</v>
      </c>
      <c r="C714" s="1" t="n">
        <v>45845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35368-2019</t>
        </is>
      </c>
      <c r="B715" s="1" t="n">
        <v>43663</v>
      </c>
      <c r="C715" s="1" t="n">
        <v>45845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35476-2019</t>
        </is>
      </c>
      <c r="B716" s="1" t="n">
        <v>43663</v>
      </c>
      <c r="C716" s="1" t="n">
        <v>45845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35473-2019</t>
        </is>
      </c>
      <c r="B717" s="1" t="n">
        <v>43663</v>
      </c>
      <c r="C717" s="1" t="n">
        <v>45845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35599-2019</t>
        </is>
      </c>
      <c r="B718" s="1" t="n">
        <v>43664</v>
      </c>
      <c r="C718" s="1" t="n">
        <v>45845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35556-2019</t>
        </is>
      </c>
      <c r="B719" s="1" t="n">
        <v>43664</v>
      </c>
      <c r="C719" s="1" t="n">
        <v>45845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35604-2019</t>
        </is>
      </c>
      <c r="B720" s="1" t="n">
        <v>43664</v>
      </c>
      <c r="C720" s="1" t="n">
        <v>45845</v>
      </c>
      <c r="D720" t="inlineStr">
        <is>
          <t>KRONOBERGS LÄN</t>
        </is>
      </c>
      <c r="E720" t="inlineStr">
        <is>
          <t>ALVESTA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35541-2019</t>
        </is>
      </c>
      <c r="B721" s="1" t="n">
        <v>43664</v>
      </c>
      <c r="C721" s="1" t="n">
        <v>45845</v>
      </c>
      <c r="D721" t="inlineStr">
        <is>
          <t>KRONOBERGS LÄN</t>
        </is>
      </c>
      <c r="E721" t="inlineStr">
        <is>
          <t>TINGSRYD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35711-2019</t>
        </is>
      </c>
      <c r="B722" s="1" t="n">
        <v>43664</v>
      </c>
      <c r="C722" s="1" t="n">
        <v>45845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35605-2019</t>
        </is>
      </c>
      <c r="B723" s="1" t="n">
        <v>43664</v>
      </c>
      <c r="C723" s="1" t="n">
        <v>45845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35783-2019</t>
        </is>
      </c>
      <c r="B724" s="1" t="n">
        <v>43665</v>
      </c>
      <c r="C724" s="1" t="n">
        <v>45845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35878-2019</t>
        </is>
      </c>
      <c r="B725" s="1" t="n">
        <v>43665</v>
      </c>
      <c r="C725" s="1" t="n">
        <v>45845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35974-2019</t>
        </is>
      </c>
      <c r="B726" s="1" t="n">
        <v>43666</v>
      </c>
      <c r="C726" s="1" t="n">
        <v>45845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35978-2019</t>
        </is>
      </c>
      <c r="B727" s="1" t="n">
        <v>43667</v>
      </c>
      <c r="C727" s="1" t="n">
        <v>45845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35981-2019</t>
        </is>
      </c>
      <c r="B728" s="1" t="n">
        <v>43667</v>
      </c>
      <c r="C728" s="1" t="n">
        <v>45845</v>
      </c>
      <c r="D728" t="inlineStr">
        <is>
          <t>KRONOBERGS LÄN</t>
        </is>
      </c>
      <c r="E728" t="inlineStr">
        <is>
          <t>ALVESTA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35979-2019</t>
        </is>
      </c>
      <c r="B729" s="1" t="n">
        <v>43667</v>
      </c>
      <c r="C729" s="1" t="n">
        <v>45845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36067-2019</t>
        </is>
      </c>
      <c r="B730" s="1" t="n">
        <v>43668</v>
      </c>
      <c r="C730" s="1" t="n">
        <v>45845</v>
      </c>
      <c r="D730" t="inlineStr">
        <is>
          <t>KRONOBERGS LÄN</t>
        </is>
      </c>
      <c r="E730" t="inlineStr">
        <is>
          <t>UPPVIDINGE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36068-2019</t>
        </is>
      </c>
      <c r="B731" s="1" t="n">
        <v>43668</v>
      </c>
      <c r="C731" s="1" t="n">
        <v>45845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36076-2019</t>
        </is>
      </c>
      <c r="B732" s="1" t="n">
        <v>43668</v>
      </c>
      <c r="C732" s="1" t="n">
        <v>45845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36005-2019</t>
        </is>
      </c>
      <c r="B733" s="1" t="n">
        <v>43668</v>
      </c>
      <c r="C733" s="1" t="n">
        <v>45845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36078-2019</t>
        </is>
      </c>
      <c r="B734" s="1" t="n">
        <v>43668</v>
      </c>
      <c r="C734" s="1" t="n">
        <v>45845</v>
      </c>
      <c r="D734" t="inlineStr">
        <is>
          <t>KRONOBERGS LÄN</t>
        </is>
      </c>
      <c r="E734" t="inlineStr">
        <is>
          <t>ALVESTA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36204-2019</t>
        </is>
      </c>
      <c r="B735" s="1" t="n">
        <v>43669</v>
      </c>
      <c r="C735" s="1" t="n">
        <v>45845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36228-2019</t>
        </is>
      </c>
      <c r="B736" s="1" t="n">
        <v>43669</v>
      </c>
      <c r="C736" s="1" t="n">
        <v>45845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36247-2019</t>
        </is>
      </c>
      <c r="B737" s="1" t="n">
        <v>43669</v>
      </c>
      <c r="C737" s="1" t="n">
        <v>45845</v>
      </c>
      <c r="D737" t="inlineStr">
        <is>
          <t>KRONOBERGS LÄN</t>
        </is>
      </c>
      <c r="E737" t="inlineStr">
        <is>
          <t>MARKARYD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36294-2019</t>
        </is>
      </c>
      <c r="B738" s="1" t="n">
        <v>43669</v>
      </c>
      <c r="C738" s="1" t="n">
        <v>45845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36406-2019</t>
        </is>
      </c>
      <c r="B739" s="1" t="n">
        <v>43670</v>
      </c>
      <c r="C739" s="1" t="n">
        <v>45845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36366-2019</t>
        </is>
      </c>
      <c r="B740" s="1" t="n">
        <v>43670</v>
      </c>
      <c r="C740" s="1" t="n">
        <v>45845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36396-2019</t>
        </is>
      </c>
      <c r="B741" s="1" t="n">
        <v>43670</v>
      </c>
      <c r="C741" s="1" t="n">
        <v>45845</v>
      </c>
      <c r="D741" t="inlineStr">
        <is>
          <t>KRONOBERGS LÄN</t>
        </is>
      </c>
      <c r="E741" t="inlineStr">
        <is>
          <t>VÄXJÖ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36431-2019</t>
        </is>
      </c>
      <c r="B742" s="1" t="n">
        <v>43670</v>
      </c>
      <c r="C742" s="1" t="n">
        <v>45845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36568-2019</t>
        </is>
      </c>
      <c r="B743" s="1" t="n">
        <v>43671</v>
      </c>
      <c r="C743" s="1" t="n">
        <v>45845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36773-2019</t>
        </is>
      </c>
      <c r="B744" s="1" t="n">
        <v>43672</v>
      </c>
      <c r="C744" s="1" t="n">
        <v>45845</v>
      </c>
      <c r="D744" t="inlineStr">
        <is>
          <t>KRONOBERGS LÄN</t>
        </is>
      </c>
      <c r="E744" t="inlineStr">
        <is>
          <t>ALVESTA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36801-2019</t>
        </is>
      </c>
      <c r="B745" s="1" t="n">
        <v>43672</v>
      </c>
      <c r="C745" s="1" t="n">
        <v>45845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36776-2019</t>
        </is>
      </c>
      <c r="B746" s="1" t="n">
        <v>43672</v>
      </c>
      <c r="C746" s="1" t="n">
        <v>45845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36853-2019</t>
        </is>
      </c>
      <c r="B747" s="1" t="n">
        <v>43675</v>
      </c>
      <c r="C747" s="1" t="n">
        <v>45845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36872-2019</t>
        </is>
      </c>
      <c r="B748" s="1" t="n">
        <v>43675</v>
      </c>
      <c r="C748" s="1" t="n">
        <v>45845</v>
      </c>
      <c r="D748" t="inlineStr">
        <is>
          <t>KRONOBERGS LÄN</t>
        </is>
      </c>
      <c r="E748" t="inlineStr">
        <is>
          <t>ALVESTA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36886-2019</t>
        </is>
      </c>
      <c r="B749" s="1" t="n">
        <v>43675</v>
      </c>
      <c r="C749" s="1" t="n">
        <v>45845</v>
      </c>
      <c r="D749" t="inlineStr">
        <is>
          <t>KRONOBERGS LÄN</t>
        </is>
      </c>
      <c r="E749" t="inlineStr">
        <is>
          <t>LESSEBO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36900-2019</t>
        </is>
      </c>
      <c r="B750" s="1" t="n">
        <v>43675</v>
      </c>
      <c r="C750" s="1" t="n">
        <v>45845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36906-2019</t>
        </is>
      </c>
      <c r="B751" s="1" t="n">
        <v>43675</v>
      </c>
      <c r="C751" s="1" t="n">
        <v>45845</v>
      </c>
      <c r="D751" t="inlineStr">
        <is>
          <t>KRONOBERGS LÄN</t>
        </is>
      </c>
      <c r="E751" t="inlineStr">
        <is>
          <t>TINGSRYD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36915-2019</t>
        </is>
      </c>
      <c r="B752" s="1" t="n">
        <v>43675</v>
      </c>
      <c r="C752" s="1" t="n">
        <v>45845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36846-2019</t>
        </is>
      </c>
      <c r="B753" s="1" t="n">
        <v>43675</v>
      </c>
      <c r="C753" s="1" t="n">
        <v>45845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36905-2019</t>
        </is>
      </c>
      <c r="B754" s="1" t="n">
        <v>43675</v>
      </c>
      <c r="C754" s="1" t="n">
        <v>45845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36934-2019</t>
        </is>
      </c>
      <c r="B755" s="1" t="n">
        <v>43675</v>
      </c>
      <c r="C755" s="1" t="n">
        <v>45845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36897-2019</t>
        </is>
      </c>
      <c r="B756" s="1" t="n">
        <v>43675</v>
      </c>
      <c r="C756" s="1" t="n">
        <v>45845</v>
      </c>
      <c r="D756" t="inlineStr">
        <is>
          <t>KRONOBERGS LÄN</t>
        </is>
      </c>
      <c r="E756" t="inlineStr">
        <is>
          <t>TINGSRYD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36937-2019</t>
        </is>
      </c>
      <c r="B757" s="1" t="n">
        <v>43675</v>
      </c>
      <c r="C757" s="1" t="n">
        <v>45845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37037-2019</t>
        </is>
      </c>
      <c r="B758" s="1" t="n">
        <v>43676</v>
      </c>
      <c r="C758" s="1" t="n">
        <v>45845</v>
      </c>
      <c r="D758" t="inlineStr">
        <is>
          <t>KRONOBERGS LÄN</t>
        </is>
      </c>
      <c r="E758" t="inlineStr">
        <is>
          <t>LESSEBO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36986-2019</t>
        </is>
      </c>
      <c r="B759" s="1" t="n">
        <v>43676</v>
      </c>
      <c r="C759" s="1" t="n">
        <v>45845</v>
      </c>
      <c r="D759" t="inlineStr">
        <is>
          <t>KRONOBERGS LÄN</t>
        </is>
      </c>
      <c r="E759" t="inlineStr">
        <is>
          <t>UPPVIDINGE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37095-2019</t>
        </is>
      </c>
      <c r="B760" s="1" t="n">
        <v>43676</v>
      </c>
      <c r="C760" s="1" t="n">
        <v>45845</v>
      </c>
      <c r="D760" t="inlineStr">
        <is>
          <t>KRONOBERGS LÄN</t>
        </is>
      </c>
      <c r="E760" t="inlineStr">
        <is>
          <t>LJUNGBY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37034-2019</t>
        </is>
      </c>
      <c r="B761" s="1" t="n">
        <v>43676</v>
      </c>
      <c r="C761" s="1" t="n">
        <v>45845</v>
      </c>
      <c r="D761" t="inlineStr">
        <is>
          <t>KRONOBERGS LÄN</t>
        </is>
      </c>
      <c r="E761" t="inlineStr">
        <is>
          <t>LESSEBO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36979-2019</t>
        </is>
      </c>
      <c r="B762" s="1" t="n">
        <v>43676</v>
      </c>
      <c r="C762" s="1" t="n">
        <v>45845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37109-2019</t>
        </is>
      </c>
      <c r="B763" s="1" t="n">
        <v>43676</v>
      </c>
      <c r="C763" s="1" t="n">
        <v>45845</v>
      </c>
      <c r="D763" t="inlineStr">
        <is>
          <t>KRONOBERGS LÄN</t>
        </is>
      </c>
      <c r="E763" t="inlineStr">
        <is>
          <t>LJUNGBY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37107-2019</t>
        </is>
      </c>
      <c r="B764" s="1" t="n">
        <v>43676</v>
      </c>
      <c r="C764" s="1" t="n">
        <v>45845</v>
      </c>
      <c r="D764" t="inlineStr">
        <is>
          <t>KRONOBERGS LÄN</t>
        </is>
      </c>
      <c r="E764" t="inlineStr">
        <is>
          <t>LJUNGBY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37041-2019</t>
        </is>
      </c>
      <c r="B765" s="1" t="n">
        <v>43676</v>
      </c>
      <c r="C765" s="1" t="n">
        <v>45845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37287-2019</t>
        </is>
      </c>
      <c r="B766" s="1" t="n">
        <v>43677</v>
      </c>
      <c r="C766" s="1" t="n">
        <v>45845</v>
      </c>
      <c r="D766" t="inlineStr">
        <is>
          <t>KRONOBERGS LÄN</t>
        </is>
      </c>
      <c r="E766" t="inlineStr">
        <is>
          <t>UPPVIDINGE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37226-2019</t>
        </is>
      </c>
      <c r="B767" s="1" t="n">
        <v>43677</v>
      </c>
      <c r="C767" s="1" t="n">
        <v>45845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37272-2019</t>
        </is>
      </c>
      <c r="B768" s="1" t="n">
        <v>43677</v>
      </c>
      <c r="C768" s="1" t="n">
        <v>45845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37195-2019</t>
        </is>
      </c>
      <c r="B769" s="1" t="n">
        <v>43677</v>
      </c>
      <c r="C769" s="1" t="n">
        <v>45845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37289-2019</t>
        </is>
      </c>
      <c r="B770" s="1" t="n">
        <v>43677</v>
      </c>
      <c r="C770" s="1" t="n">
        <v>45845</v>
      </c>
      <c r="D770" t="inlineStr">
        <is>
          <t>KRONOBERGS LÄN</t>
        </is>
      </c>
      <c r="E770" t="inlineStr">
        <is>
          <t>UPPVIDINGE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37349-2019</t>
        </is>
      </c>
      <c r="B771" s="1" t="n">
        <v>43678</v>
      </c>
      <c r="C771" s="1" t="n">
        <v>45845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37354-2019</t>
        </is>
      </c>
      <c r="B772" s="1" t="n">
        <v>43678</v>
      </c>
      <c r="C772" s="1" t="n">
        <v>45845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37351-2019</t>
        </is>
      </c>
      <c r="B773" s="1" t="n">
        <v>43678</v>
      </c>
      <c r="C773" s="1" t="n">
        <v>45845</v>
      </c>
      <c r="D773" t="inlineStr">
        <is>
          <t>KRONOBERGS LÄN</t>
        </is>
      </c>
      <c r="E773" t="inlineStr">
        <is>
          <t>UPPVIDINGE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37306-2019</t>
        </is>
      </c>
      <c r="B774" s="1" t="n">
        <v>43678</v>
      </c>
      <c r="C774" s="1" t="n">
        <v>45845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37374-2019</t>
        </is>
      </c>
      <c r="B775" s="1" t="n">
        <v>43678</v>
      </c>
      <c r="C775" s="1" t="n">
        <v>45845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37353-2019</t>
        </is>
      </c>
      <c r="B776" s="1" t="n">
        <v>43678</v>
      </c>
      <c r="C776" s="1" t="n">
        <v>45845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37446-2019</t>
        </is>
      </c>
      <c r="B777" s="1" t="n">
        <v>43679</v>
      </c>
      <c r="C777" s="1" t="n">
        <v>45845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37491-2019</t>
        </is>
      </c>
      <c r="B778" s="1" t="n">
        <v>43679</v>
      </c>
      <c r="C778" s="1" t="n">
        <v>45845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37459-2019</t>
        </is>
      </c>
      <c r="B779" s="1" t="n">
        <v>43679</v>
      </c>
      <c r="C779" s="1" t="n">
        <v>45845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37619-2019</t>
        </is>
      </c>
      <c r="B780" s="1" t="n">
        <v>43681</v>
      </c>
      <c r="C780" s="1" t="n">
        <v>45845</v>
      </c>
      <c r="D780" t="inlineStr">
        <is>
          <t>KRONOBERGS LÄN</t>
        </is>
      </c>
      <c r="E780" t="inlineStr">
        <is>
          <t>VÄXJÖ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38223-2019</t>
        </is>
      </c>
      <c r="B781" s="1" t="n">
        <v>43681</v>
      </c>
      <c r="C781" s="1" t="n">
        <v>45845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37667-2019</t>
        </is>
      </c>
      <c r="B782" s="1" t="n">
        <v>43682</v>
      </c>
      <c r="C782" s="1" t="n">
        <v>45845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37848-2019</t>
        </is>
      </c>
      <c r="B783" s="1" t="n">
        <v>43682</v>
      </c>
      <c r="C783" s="1" t="n">
        <v>45845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37748-2019</t>
        </is>
      </c>
      <c r="B784" s="1" t="n">
        <v>43682</v>
      </c>
      <c r="C784" s="1" t="n">
        <v>45845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37994-2019</t>
        </is>
      </c>
      <c r="B785" s="1" t="n">
        <v>43683</v>
      </c>
      <c r="C785" s="1" t="n">
        <v>45845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38012-2019</t>
        </is>
      </c>
      <c r="B786" s="1" t="n">
        <v>43683</v>
      </c>
      <c r="C786" s="1" t="n">
        <v>45845</v>
      </c>
      <c r="D786" t="inlineStr">
        <is>
          <t>KRONOBERGS LÄN</t>
        </is>
      </c>
      <c r="E786" t="inlineStr">
        <is>
          <t>ALVESTA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37919-2019</t>
        </is>
      </c>
      <c r="B787" s="1" t="n">
        <v>43683</v>
      </c>
      <c r="C787" s="1" t="n">
        <v>45845</v>
      </c>
      <c r="D787" t="inlineStr">
        <is>
          <t>KRONOBERGS LÄN</t>
        </is>
      </c>
      <c r="E787" t="inlineStr">
        <is>
          <t>LJUNGBY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37998-2019</t>
        </is>
      </c>
      <c r="B788" s="1" t="n">
        <v>43683</v>
      </c>
      <c r="C788" s="1" t="n">
        <v>45845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38102-2019</t>
        </is>
      </c>
      <c r="B789" s="1" t="n">
        <v>43683</v>
      </c>
      <c r="C789" s="1" t="n">
        <v>45845</v>
      </c>
      <c r="D789" t="inlineStr">
        <is>
          <t>KRONOBERGS LÄN</t>
        </is>
      </c>
      <c r="E789" t="inlineStr">
        <is>
          <t>MARKARYD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38060-2019</t>
        </is>
      </c>
      <c r="B790" s="1" t="n">
        <v>43683</v>
      </c>
      <c r="C790" s="1" t="n">
        <v>45845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38045-2019</t>
        </is>
      </c>
      <c r="B791" s="1" t="n">
        <v>43683</v>
      </c>
      <c r="C791" s="1" t="n">
        <v>45845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38347-2019</t>
        </is>
      </c>
      <c r="B792" s="1" t="n">
        <v>43683</v>
      </c>
      <c r="C792" s="1" t="n">
        <v>45845</v>
      </c>
      <c r="D792" t="inlineStr">
        <is>
          <t>KRONOBERGS LÄN</t>
        </is>
      </c>
      <c r="E792" t="inlineStr">
        <is>
          <t>ÄLMHULT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38070-2019</t>
        </is>
      </c>
      <c r="B793" s="1" t="n">
        <v>43683</v>
      </c>
      <c r="C793" s="1" t="n">
        <v>45845</v>
      </c>
      <c r="D793" t="inlineStr">
        <is>
          <t>KRONOBERGS LÄN</t>
        </is>
      </c>
      <c r="E793" t="inlineStr">
        <is>
          <t>LJUNGBY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37923-2019</t>
        </is>
      </c>
      <c r="B794" s="1" t="n">
        <v>43683</v>
      </c>
      <c r="C794" s="1" t="n">
        <v>45845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38088-2019</t>
        </is>
      </c>
      <c r="B795" s="1" t="n">
        <v>43683</v>
      </c>
      <c r="C795" s="1" t="n">
        <v>45845</v>
      </c>
      <c r="D795" t="inlineStr">
        <is>
          <t>KRONOBERGS LÄN</t>
        </is>
      </c>
      <c r="E795" t="inlineStr">
        <is>
          <t>TINGSRYD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38037-2019</t>
        </is>
      </c>
      <c r="B796" s="1" t="n">
        <v>43683</v>
      </c>
      <c r="C796" s="1" t="n">
        <v>45845</v>
      </c>
      <c r="D796" t="inlineStr">
        <is>
          <t>KRONOBERGS LÄN</t>
        </is>
      </c>
      <c r="E796" t="inlineStr">
        <is>
          <t>LJUNGBY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38193-2019</t>
        </is>
      </c>
      <c r="B797" s="1" t="n">
        <v>43684</v>
      </c>
      <c r="C797" s="1" t="n">
        <v>45845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38261-2019</t>
        </is>
      </c>
      <c r="B798" s="1" t="n">
        <v>43684</v>
      </c>
      <c r="C798" s="1" t="n">
        <v>45845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38412-2019</t>
        </is>
      </c>
      <c r="B799" s="1" t="n">
        <v>43684</v>
      </c>
      <c r="C799" s="1" t="n">
        <v>45845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38162-2019</t>
        </is>
      </c>
      <c r="B800" s="1" t="n">
        <v>43684</v>
      </c>
      <c r="C800" s="1" t="n">
        <v>45845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38342-2019</t>
        </is>
      </c>
      <c r="B801" s="1" t="n">
        <v>43685</v>
      </c>
      <c r="C801" s="1" t="n">
        <v>45845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38717-2019</t>
        </is>
      </c>
      <c r="B802" s="1" t="n">
        <v>43686</v>
      </c>
      <c r="C802" s="1" t="n">
        <v>45845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38701-2019</t>
        </is>
      </c>
      <c r="B803" s="1" t="n">
        <v>43686</v>
      </c>
      <c r="C803" s="1" t="n">
        <v>45845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38680-2019</t>
        </is>
      </c>
      <c r="B804" s="1" t="n">
        <v>43686</v>
      </c>
      <c r="C804" s="1" t="n">
        <v>45845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38694-2019</t>
        </is>
      </c>
      <c r="B805" s="1" t="n">
        <v>43686</v>
      </c>
      <c r="C805" s="1" t="n">
        <v>45845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38733-2019</t>
        </is>
      </c>
      <c r="B806" s="1" t="n">
        <v>43686</v>
      </c>
      <c r="C806" s="1" t="n">
        <v>45845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38745-2019</t>
        </is>
      </c>
      <c r="B807" s="1" t="n">
        <v>43686</v>
      </c>
      <c r="C807" s="1" t="n">
        <v>45845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38698-2019</t>
        </is>
      </c>
      <c r="B808" s="1" t="n">
        <v>43686</v>
      </c>
      <c r="C808" s="1" t="n">
        <v>45845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38788-2019</t>
        </is>
      </c>
      <c r="B809" s="1" t="n">
        <v>43687</v>
      </c>
      <c r="C809" s="1" t="n">
        <v>45845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38792-2019</t>
        </is>
      </c>
      <c r="B810" s="1" t="n">
        <v>43688</v>
      </c>
      <c r="C810" s="1" t="n">
        <v>45845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38802-2019</t>
        </is>
      </c>
      <c r="B811" s="1" t="n">
        <v>43688</v>
      </c>
      <c r="C811" s="1" t="n">
        <v>45845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38854-2019</t>
        </is>
      </c>
      <c r="B812" s="1" t="n">
        <v>43689</v>
      </c>
      <c r="C812" s="1" t="n">
        <v>45845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38825-2019</t>
        </is>
      </c>
      <c r="B813" s="1" t="n">
        <v>43689</v>
      </c>
      <c r="C813" s="1" t="n">
        <v>45845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38840-2019</t>
        </is>
      </c>
      <c r="B814" s="1" t="n">
        <v>43689</v>
      </c>
      <c r="C814" s="1" t="n">
        <v>45845</v>
      </c>
      <c r="D814" t="inlineStr">
        <is>
          <t>KRONOBERGS LÄN</t>
        </is>
      </c>
      <c r="E814" t="inlineStr">
        <is>
          <t>LESSEBO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38934-2019</t>
        </is>
      </c>
      <c r="B815" s="1" t="n">
        <v>43689</v>
      </c>
      <c r="C815" s="1" t="n">
        <v>45845</v>
      </c>
      <c r="D815" t="inlineStr">
        <is>
          <t>KRONOBERGS LÄN</t>
        </is>
      </c>
      <c r="E815" t="inlineStr">
        <is>
          <t>LESSEBO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38818-2019</t>
        </is>
      </c>
      <c r="B816" s="1" t="n">
        <v>43689</v>
      </c>
      <c r="C816" s="1" t="n">
        <v>45845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38851-2019</t>
        </is>
      </c>
      <c r="B817" s="1" t="n">
        <v>43689</v>
      </c>
      <c r="C817" s="1" t="n">
        <v>45845</v>
      </c>
      <c r="D817" t="inlineStr">
        <is>
          <t>KRONOBERGS LÄN</t>
        </is>
      </c>
      <c r="E817" t="inlineStr">
        <is>
          <t>UPPVIDINGE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39092-2019</t>
        </is>
      </c>
      <c r="B818" s="1" t="n">
        <v>43689</v>
      </c>
      <c r="C818" s="1" t="n">
        <v>45845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39094-2019</t>
        </is>
      </c>
      <c r="B819" s="1" t="n">
        <v>43689</v>
      </c>
      <c r="C819" s="1" t="n">
        <v>45845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38811-2019</t>
        </is>
      </c>
      <c r="B820" s="1" t="n">
        <v>43689</v>
      </c>
      <c r="C820" s="1" t="n">
        <v>45845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39705-2019</t>
        </is>
      </c>
      <c r="B821" s="1" t="n">
        <v>43689</v>
      </c>
      <c r="C821" s="1" t="n">
        <v>45845</v>
      </c>
      <c r="D821" t="inlineStr">
        <is>
          <t>KRONOBERGS LÄN</t>
        </is>
      </c>
      <c r="E821" t="inlineStr">
        <is>
          <t>TINGSRYD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38943-2019</t>
        </is>
      </c>
      <c r="B822" s="1" t="n">
        <v>43689</v>
      </c>
      <c r="C822" s="1" t="n">
        <v>45845</v>
      </c>
      <c r="D822" t="inlineStr">
        <is>
          <t>KRONOBERGS LÄN</t>
        </is>
      </c>
      <c r="E822" t="inlineStr">
        <is>
          <t>LESSEBO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38850-2019</t>
        </is>
      </c>
      <c r="B823" s="1" t="n">
        <v>43689</v>
      </c>
      <c r="C823" s="1" t="n">
        <v>45845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39827-2019</t>
        </is>
      </c>
      <c r="B824" s="1" t="n">
        <v>43689</v>
      </c>
      <c r="C824" s="1" t="n">
        <v>45845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39217-2019</t>
        </is>
      </c>
      <c r="B825" s="1" t="n">
        <v>43690</v>
      </c>
      <c r="C825" s="1" t="n">
        <v>45845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39280-2019</t>
        </is>
      </c>
      <c r="B826" s="1" t="n">
        <v>43690</v>
      </c>
      <c r="C826" s="1" t="n">
        <v>45845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39214-2019</t>
        </is>
      </c>
      <c r="B827" s="1" t="n">
        <v>43690</v>
      </c>
      <c r="C827" s="1" t="n">
        <v>45845</v>
      </c>
      <c r="D827" t="inlineStr">
        <is>
          <t>KRONOBERGS LÄN</t>
        </is>
      </c>
      <c r="E827" t="inlineStr">
        <is>
          <t>ALVESTA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39277-2019</t>
        </is>
      </c>
      <c r="B828" s="1" t="n">
        <v>43690</v>
      </c>
      <c r="C828" s="1" t="n">
        <v>45845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39288-2019</t>
        </is>
      </c>
      <c r="B829" s="1" t="n">
        <v>43690</v>
      </c>
      <c r="C829" s="1" t="n">
        <v>45845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39259-2019</t>
        </is>
      </c>
      <c r="B830" s="1" t="n">
        <v>43690</v>
      </c>
      <c r="C830" s="1" t="n">
        <v>45845</v>
      </c>
      <c r="D830" t="inlineStr">
        <is>
          <t>KRONOBERGS LÄN</t>
        </is>
      </c>
      <c r="E830" t="inlineStr">
        <is>
          <t>ÄLMHULT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39295-2019</t>
        </is>
      </c>
      <c r="B831" s="1" t="n">
        <v>43690</v>
      </c>
      <c r="C831" s="1" t="n">
        <v>45845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39306-2019</t>
        </is>
      </c>
      <c r="B832" s="1" t="n">
        <v>43690</v>
      </c>
      <c r="C832" s="1" t="n">
        <v>45845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39362-2019</t>
        </is>
      </c>
      <c r="B833" s="1" t="n">
        <v>43690</v>
      </c>
      <c r="C833" s="1" t="n">
        <v>45845</v>
      </c>
      <c r="D833" t="inlineStr">
        <is>
          <t>KRONOBERGS LÄN</t>
        </is>
      </c>
      <c r="E833" t="inlineStr">
        <is>
          <t>UPPVIDINGE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39386-2019</t>
        </is>
      </c>
      <c r="B834" s="1" t="n">
        <v>43690</v>
      </c>
      <c r="C834" s="1" t="n">
        <v>45845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40063-2019</t>
        </is>
      </c>
      <c r="B835" s="1" t="n">
        <v>43690</v>
      </c>
      <c r="C835" s="1" t="n">
        <v>45845</v>
      </c>
      <c r="D835" t="inlineStr">
        <is>
          <t>KRONOBERGS LÄN</t>
        </is>
      </c>
      <c r="E835" t="inlineStr">
        <is>
          <t>ALVESTA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40286-2019</t>
        </is>
      </c>
      <c r="B836" s="1" t="n">
        <v>43690</v>
      </c>
      <c r="C836" s="1" t="n">
        <v>45845</v>
      </c>
      <c r="D836" t="inlineStr">
        <is>
          <t>KRONOBERGS LÄN</t>
        </is>
      </c>
      <c r="E836" t="inlineStr">
        <is>
          <t>ÄLMHULT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40007-2019</t>
        </is>
      </c>
      <c r="B837" s="1" t="n">
        <v>43690</v>
      </c>
      <c r="C837" s="1" t="n">
        <v>45845</v>
      </c>
      <c r="D837" t="inlineStr">
        <is>
          <t>KRONOBERGS LÄN</t>
        </is>
      </c>
      <c r="E837" t="inlineStr">
        <is>
          <t>ALVESTA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39361-2019</t>
        </is>
      </c>
      <c r="B838" s="1" t="n">
        <v>43690</v>
      </c>
      <c r="C838" s="1" t="n">
        <v>45845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39323-2019</t>
        </is>
      </c>
      <c r="B839" s="1" t="n">
        <v>43690</v>
      </c>
      <c r="C839" s="1" t="n">
        <v>45845</v>
      </c>
      <c r="D839" t="inlineStr">
        <is>
          <t>KRONOBERGS LÄN</t>
        </is>
      </c>
      <c r="E839" t="inlineStr">
        <is>
          <t>TINGSRYD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39546-2019</t>
        </is>
      </c>
      <c r="B840" s="1" t="n">
        <v>43691</v>
      </c>
      <c r="C840" s="1" t="n">
        <v>45845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39553-2019</t>
        </is>
      </c>
      <c r="B841" s="1" t="n">
        <v>43691</v>
      </c>
      <c r="C841" s="1" t="n">
        <v>45845</v>
      </c>
      <c r="D841" t="inlineStr">
        <is>
          <t>KRONOBERGS LÄN</t>
        </is>
      </c>
      <c r="E841" t="inlineStr">
        <is>
          <t>LESSEBO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39906-2019</t>
        </is>
      </c>
      <c r="B842" s="1" t="n">
        <v>43692</v>
      </c>
      <c r="C842" s="1" t="n">
        <v>45845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40064-2019</t>
        </is>
      </c>
      <c r="B843" s="1" t="n">
        <v>43693</v>
      </c>
      <c r="C843" s="1" t="n">
        <v>45845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40125-2019</t>
        </is>
      </c>
      <c r="B844" s="1" t="n">
        <v>43693</v>
      </c>
      <c r="C844" s="1" t="n">
        <v>45845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40008-2019</t>
        </is>
      </c>
      <c r="B845" s="1" t="n">
        <v>43693</v>
      </c>
      <c r="C845" s="1" t="n">
        <v>45845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40896-2019</t>
        </is>
      </c>
      <c r="B846" s="1" t="n">
        <v>43693</v>
      </c>
      <c r="C846" s="1" t="n">
        <v>45845</v>
      </c>
      <c r="D846" t="inlineStr">
        <is>
          <t>KRONOBERGS LÄN</t>
        </is>
      </c>
      <c r="E846" t="inlineStr">
        <is>
          <t>UPPVIDINGE</t>
        </is>
      </c>
      <c r="F846" t="inlineStr">
        <is>
          <t>Kommuner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40060-2019</t>
        </is>
      </c>
      <c r="B847" s="1" t="n">
        <v>43693</v>
      </c>
      <c r="C847" s="1" t="n">
        <v>45845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40121-2019</t>
        </is>
      </c>
      <c r="B848" s="1" t="n">
        <v>43693</v>
      </c>
      <c r="C848" s="1" t="n">
        <v>45845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40268-2019</t>
        </is>
      </c>
      <c r="B849" s="1" t="n">
        <v>43695</v>
      </c>
      <c r="C849" s="1" t="n">
        <v>45845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40270-2019</t>
        </is>
      </c>
      <c r="B850" s="1" t="n">
        <v>43695</v>
      </c>
      <c r="C850" s="1" t="n">
        <v>45845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40317-2019</t>
        </is>
      </c>
      <c r="B851" s="1" t="n">
        <v>43696</v>
      </c>
      <c r="C851" s="1" t="n">
        <v>45845</v>
      </c>
      <c r="D851" t="inlineStr">
        <is>
          <t>KRONOBERGS LÄN</t>
        </is>
      </c>
      <c r="E851" t="inlineStr">
        <is>
          <t>UPPVIDINGE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40333-2019</t>
        </is>
      </c>
      <c r="B852" s="1" t="n">
        <v>43696</v>
      </c>
      <c r="C852" s="1" t="n">
        <v>45845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40347-2019</t>
        </is>
      </c>
      <c r="B853" s="1" t="n">
        <v>43696</v>
      </c>
      <c r="C853" s="1" t="n">
        <v>45845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40340-2019</t>
        </is>
      </c>
      <c r="B854" s="1" t="n">
        <v>43696</v>
      </c>
      <c r="C854" s="1" t="n">
        <v>45845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40948-2019</t>
        </is>
      </c>
      <c r="B855" s="1" t="n">
        <v>43696</v>
      </c>
      <c r="C855" s="1" t="n">
        <v>45845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40945-2019</t>
        </is>
      </c>
      <c r="B856" s="1" t="n">
        <v>43696</v>
      </c>
      <c r="C856" s="1" t="n">
        <v>45845</v>
      </c>
      <c r="D856" t="inlineStr">
        <is>
          <t>KRONOBERGS LÄN</t>
        </is>
      </c>
      <c r="E856" t="inlineStr">
        <is>
          <t>UPPVIDINGE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40332-2019</t>
        </is>
      </c>
      <c r="B857" s="1" t="n">
        <v>43696</v>
      </c>
      <c r="C857" s="1" t="n">
        <v>45845</v>
      </c>
      <c r="D857" t="inlineStr">
        <is>
          <t>KRONOBERGS LÄN</t>
        </is>
      </c>
      <c r="E857" t="inlineStr">
        <is>
          <t>LESSEBO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40404-2019</t>
        </is>
      </c>
      <c r="B858" s="1" t="n">
        <v>43696</v>
      </c>
      <c r="C858" s="1" t="n">
        <v>45845</v>
      </c>
      <c r="D858" t="inlineStr">
        <is>
          <t>KRONOBERGS LÄN</t>
        </is>
      </c>
      <c r="E858" t="inlineStr">
        <is>
          <t>MARKARYD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40640-2019</t>
        </is>
      </c>
      <c r="B859" s="1" t="n">
        <v>43696</v>
      </c>
      <c r="C859" s="1" t="n">
        <v>45845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40759-2019</t>
        </is>
      </c>
      <c r="B860" s="1" t="n">
        <v>43697</v>
      </c>
      <c r="C860" s="1" t="n">
        <v>45845</v>
      </c>
      <c r="D860" t="inlineStr">
        <is>
          <t>KRONOBERGS LÄN</t>
        </is>
      </c>
      <c r="E860" t="inlineStr">
        <is>
          <t>TINGSRYD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40702-2019</t>
        </is>
      </c>
      <c r="B861" s="1" t="n">
        <v>43697</v>
      </c>
      <c r="C861" s="1" t="n">
        <v>45845</v>
      </c>
      <c r="D861" t="inlineStr">
        <is>
          <t>KRONOBERGS LÄN</t>
        </is>
      </c>
      <c r="E861" t="inlineStr">
        <is>
          <t>ÄLMHULT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40996-2019</t>
        </is>
      </c>
      <c r="B862" s="1" t="n">
        <v>43697</v>
      </c>
      <c r="C862" s="1" t="n">
        <v>45845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40753-2019</t>
        </is>
      </c>
      <c r="B863" s="1" t="n">
        <v>43697</v>
      </c>
      <c r="C863" s="1" t="n">
        <v>45845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41808-2019</t>
        </is>
      </c>
      <c r="B864" s="1" t="n">
        <v>43697</v>
      </c>
      <c r="C864" s="1" t="n">
        <v>45845</v>
      </c>
      <c r="D864" t="inlineStr">
        <is>
          <t>KRONOBERGS LÄN</t>
        </is>
      </c>
      <c r="E864" t="inlineStr">
        <is>
          <t>TINGSRYD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40990-2019</t>
        </is>
      </c>
      <c r="B865" s="1" t="n">
        <v>43697</v>
      </c>
      <c r="C865" s="1" t="n">
        <v>45845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40703-2019</t>
        </is>
      </c>
      <c r="B866" s="1" t="n">
        <v>43697</v>
      </c>
      <c r="C866" s="1" t="n">
        <v>45845</v>
      </c>
      <c r="D866" t="inlineStr">
        <is>
          <t>KRONOBERGS LÄN</t>
        </is>
      </c>
      <c r="E866" t="inlineStr">
        <is>
          <t>ÄLMHULT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41129-2019</t>
        </is>
      </c>
      <c r="B867" s="1" t="n">
        <v>43698</v>
      </c>
      <c r="C867" s="1" t="n">
        <v>45845</v>
      </c>
      <c r="D867" t="inlineStr">
        <is>
          <t>KRONOBERGS LÄN</t>
        </is>
      </c>
      <c r="E867" t="inlineStr">
        <is>
          <t>TINGSRYD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41137-2019</t>
        </is>
      </c>
      <c r="B868" s="1" t="n">
        <v>43698</v>
      </c>
      <c r="C868" s="1" t="n">
        <v>45845</v>
      </c>
      <c r="D868" t="inlineStr">
        <is>
          <t>KRONOBERGS LÄN</t>
        </is>
      </c>
      <c r="E868" t="inlineStr">
        <is>
          <t>LESSEBO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41135-2019</t>
        </is>
      </c>
      <c r="B869" s="1" t="n">
        <v>43698</v>
      </c>
      <c r="C869" s="1" t="n">
        <v>45845</v>
      </c>
      <c r="D869" t="inlineStr">
        <is>
          <t>KRONOBERGS LÄN</t>
        </is>
      </c>
      <c r="E869" t="inlineStr">
        <is>
          <t>TINGSRYD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41072-2019</t>
        </is>
      </c>
      <c r="B870" s="1" t="n">
        <v>43698</v>
      </c>
      <c r="C870" s="1" t="n">
        <v>45845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41297-2019</t>
        </is>
      </c>
      <c r="B871" s="1" t="n">
        <v>43698</v>
      </c>
      <c r="C871" s="1" t="n">
        <v>45845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41400-2019</t>
        </is>
      </c>
      <c r="B872" s="1" t="n">
        <v>43698</v>
      </c>
      <c r="C872" s="1" t="n">
        <v>45845</v>
      </c>
      <c r="D872" t="inlineStr">
        <is>
          <t>KRONOBERGS LÄN</t>
        </is>
      </c>
      <c r="E872" t="inlineStr">
        <is>
          <t>ALVESTA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41327-2019</t>
        </is>
      </c>
      <c r="B873" s="1" t="n">
        <v>43698</v>
      </c>
      <c r="C873" s="1" t="n">
        <v>45845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41372-2019</t>
        </is>
      </c>
      <c r="B874" s="1" t="n">
        <v>43698</v>
      </c>
      <c r="C874" s="1" t="n">
        <v>45845</v>
      </c>
      <c r="D874" t="inlineStr">
        <is>
          <t>KRONOBERGS LÄN</t>
        </is>
      </c>
      <c r="E874" t="inlineStr">
        <is>
          <t>ALVESTA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41343-2019</t>
        </is>
      </c>
      <c r="B875" s="1" t="n">
        <v>43698</v>
      </c>
      <c r="C875" s="1" t="n">
        <v>45845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41386-2019</t>
        </is>
      </c>
      <c r="B876" s="1" t="n">
        <v>43698</v>
      </c>
      <c r="C876" s="1" t="n">
        <v>45845</v>
      </c>
      <c r="D876" t="inlineStr">
        <is>
          <t>KRONOBERGS LÄN</t>
        </is>
      </c>
      <c r="E876" t="inlineStr">
        <is>
          <t>ALVESTA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41311-2019</t>
        </is>
      </c>
      <c r="B877" s="1" t="n">
        <v>43698</v>
      </c>
      <c r="C877" s="1" t="n">
        <v>45845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41316-2019</t>
        </is>
      </c>
      <c r="B878" s="1" t="n">
        <v>43698</v>
      </c>
      <c r="C878" s="1" t="n">
        <v>45845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41140-2019</t>
        </is>
      </c>
      <c r="B879" s="1" t="n">
        <v>43698</v>
      </c>
      <c r="C879" s="1" t="n">
        <v>45845</v>
      </c>
      <c r="D879" t="inlineStr">
        <is>
          <t>KRONOBERGS LÄN</t>
        </is>
      </c>
      <c r="E879" t="inlineStr">
        <is>
          <t>TINGSRYD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41674-2019</t>
        </is>
      </c>
      <c r="B880" s="1" t="n">
        <v>43699</v>
      </c>
      <c r="C880" s="1" t="n">
        <v>45845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41727-2019</t>
        </is>
      </c>
      <c r="B881" s="1" t="n">
        <v>43699</v>
      </c>
      <c r="C881" s="1" t="n">
        <v>45845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41721-2019</t>
        </is>
      </c>
      <c r="B882" s="1" t="n">
        <v>43699</v>
      </c>
      <c r="C882" s="1" t="n">
        <v>45845</v>
      </c>
      <c r="D882" t="inlineStr">
        <is>
          <t>KRONOBERGS LÄN</t>
        </is>
      </c>
      <c r="E882" t="inlineStr">
        <is>
          <t>TINGSRYD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41536-2019</t>
        </is>
      </c>
      <c r="B883" s="1" t="n">
        <v>43699</v>
      </c>
      <c r="C883" s="1" t="n">
        <v>45845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41690-2019</t>
        </is>
      </c>
      <c r="B884" s="1" t="n">
        <v>43699</v>
      </c>
      <c r="C884" s="1" t="n">
        <v>45845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41729-2019</t>
        </is>
      </c>
      <c r="B885" s="1" t="n">
        <v>43699</v>
      </c>
      <c r="C885" s="1" t="n">
        <v>45845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41466-2019</t>
        </is>
      </c>
      <c r="B886" s="1" t="n">
        <v>43699</v>
      </c>
      <c r="C886" s="1" t="n">
        <v>45845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41533-2019</t>
        </is>
      </c>
      <c r="B887" s="1" t="n">
        <v>43699</v>
      </c>
      <c r="C887" s="1" t="n">
        <v>45845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41873-2019</t>
        </is>
      </c>
      <c r="B888" s="1" t="n">
        <v>43700</v>
      </c>
      <c r="C888" s="1" t="n">
        <v>45845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42090-2019</t>
        </is>
      </c>
      <c r="B889" s="1" t="n">
        <v>43701</v>
      </c>
      <c r="C889" s="1" t="n">
        <v>45845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42308-2019</t>
        </is>
      </c>
      <c r="B890" s="1" t="n">
        <v>43703</v>
      </c>
      <c r="C890" s="1" t="n">
        <v>45845</v>
      </c>
      <c r="D890" t="inlineStr">
        <is>
          <t>KRONOBERGS LÄN</t>
        </is>
      </c>
      <c r="E890" t="inlineStr">
        <is>
          <t>TINGSRYD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42387-2019</t>
        </is>
      </c>
      <c r="B891" s="1" t="n">
        <v>43703</v>
      </c>
      <c r="C891" s="1" t="n">
        <v>45845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43321-2019</t>
        </is>
      </c>
      <c r="B892" s="1" t="n">
        <v>43703</v>
      </c>
      <c r="C892" s="1" t="n">
        <v>45845</v>
      </c>
      <c r="D892" t="inlineStr">
        <is>
          <t>KRONOBERGS LÄN</t>
        </is>
      </c>
      <c r="E892" t="inlineStr">
        <is>
          <t>ÄLMHULT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42395-2019</t>
        </is>
      </c>
      <c r="B893" s="1" t="n">
        <v>43703</v>
      </c>
      <c r="C893" s="1" t="n">
        <v>45845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42391-2019</t>
        </is>
      </c>
      <c r="B894" s="1" t="n">
        <v>43703</v>
      </c>
      <c r="C894" s="1" t="n">
        <v>45845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42452-2019</t>
        </is>
      </c>
      <c r="B895" s="1" t="n">
        <v>43704</v>
      </c>
      <c r="C895" s="1" t="n">
        <v>45845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42658-2019</t>
        </is>
      </c>
      <c r="B896" s="1" t="n">
        <v>43704</v>
      </c>
      <c r="C896" s="1" t="n">
        <v>45845</v>
      </c>
      <c r="D896" t="inlineStr">
        <is>
          <t>KRONOBERGS LÄN</t>
        </is>
      </c>
      <c r="E896" t="inlineStr">
        <is>
          <t>ALVESTA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42724-2019</t>
        </is>
      </c>
      <c r="B897" s="1" t="n">
        <v>43704</v>
      </c>
      <c r="C897" s="1" t="n">
        <v>45845</v>
      </c>
      <c r="D897" t="inlineStr">
        <is>
          <t>KRONOBERGS LÄN</t>
        </is>
      </c>
      <c r="E897" t="inlineStr">
        <is>
          <t>ÄLMHULT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42700-2019</t>
        </is>
      </c>
      <c r="B898" s="1" t="n">
        <v>43704</v>
      </c>
      <c r="C898" s="1" t="n">
        <v>45845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42960-2019</t>
        </is>
      </c>
      <c r="B899" s="1" t="n">
        <v>43705</v>
      </c>
      <c r="C899" s="1" t="n">
        <v>45845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43147-2019</t>
        </is>
      </c>
      <c r="B900" s="1" t="n">
        <v>43705</v>
      </c>
      <c r="C900" s="1" t="n">
        <v>45845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44390-2019</t>
        </is>
      </c>
      <c r="B901" s="1" t="n">
        <v>43705</v>
      </c>
      <c r="C901" s="1" t="n">
        <v>45845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42944-2019</t>
        </is>
      </c>
      <c r="B902" s="1" t="n">
        <v>43705</v>
      </c>
      <c r="C902" s="1" t="n">
        <v>45845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43244-2019</t>
        </is>
      </c>
      <c r="B903" s="1" t="n">
        <v>43706</v>
      </c>
      <c r="C903" s="1" t="n">
        <v>45845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43288-2019</t>
        </is>
      </c>
      <c r="B904" s="1" t="n">
        <v>43706</v>
      </c>
      <c r="C904" s="1" t="n">
        <v>45845</v>
      </c>
      <c r="D904" t="inlineStr">
        <is>
          <t>KRONOBERGS LÄN</t>
        </is>
      </c>
      <c r="E904" t="inlineStr">
        <is>
          <t>ALVESTA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43274-2019</t>
        </is>
      </c>
      <c r="B905" s="1" t="n">
        <v>43706</v>
      </c>
      <c r="C905" s="1" t="n">
        <v>45845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43457-2019</t>
        </is>
      </c>
      <c r="B906" s="1" t="n">
        <v>43706</v>
      </c>
      <c r="C906" s="1" t="n">
        <v>45845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43456-2019</t>
        </is>
      </c>
      <c r="B907" s="1" t="n">
        <v>43706</v>
      </c>
      <c r="C907" s="1" t="n">
        <v>45845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43473-2019</t>
        </is>
      </c>
      <c r="B908" s="1" t="n">
        <v>43706</v>
      </c>
      <c r="C908" s="1" t="n">
        <v>45845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43576-2019</t>
        </is>
      </c>
      <c r="B909" s="1" t="n">
        <v>43706</v>
      </c>
      <c r="C909" s="1" t="n">
        <v>45845</v>
      </c>
      <c r="D909" t="inlineStr">
        <is>
          <t>KRONOBERGS LÄN</t>
        </is>
      </c>
      <c r="E909" t="inlineStr">
        <is>
          <t>UPPVIDINGE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43475-2019</t>
        </is>
      </c>
      <c r="B910" s="1" t="n">
        <v>43706</v>
      </c>
      <c r="C910" s="1" t="n">
        <v>45845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43282-2019</t>
        </is>
      </c>
      <c r="B911" s="1" t="n">
        <v>43706</v>
      </c>
      <c r="C911" s="1" t="n">
        <v>45845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43664-2019</t>
        </is>
      </c>
      <c r="B912" s="1" t="n">
        <v>43707</v>
      </c>
      <c r="C912" s="1" t="n">
        <v>45845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43682-2019</t>
        </is>
      </c>
      <c r="B913" s="1" t="n">
        <v>43707</v>
      </c>
      <c r="C913" s="1" t="n">
        <v>45845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43751-2019</t>
        </is>
      </c>
      <c r="B914" s="1" t="n">
        <v>43707</v>
      </c>
      <c r="C914" s="1" t="n">
        <v>45845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43767-2019</t>
        </is>
      </c>
      <c r="B915" s="1" t="n">
        <v>43707</v>
      </c>
      <c r="C915" s="1" t="n">
        <v>45845</v>
      </c>
      <c r="D915" t="inlineStr">
        <is>
          <t>KRONOBERGS LÄN</t>
        </is>
      </c>
      <c r="E915" t="inlineStr">
        <is>
          <t>UPPVIDINGE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43698-2019</t>
        </is>
      </c>
      <c r="B916" s="1" t="n">
        <v>43707</v>
      </c>
      <c r="C916" s="1" t="n">
        <v>45845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43771-2019</t>
        </is>
      </c>
      <c r="B917" s="1" t="n">
        <v>43707</v>
      </c>
      <c r="C917" s="1" t="n">
        <v>45845</v>
      </c>
      <c r="D917" t="inlineStr">
        <is>
          <t>KRONOBERGS LÄN</t>
        </is>
      </c>
      <c r="E917" t="inlineStr">
        <is>
          <t>UPPVIDINGE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43790-2019</t>
        </is>
      </c>
      <c r="B918" s="1" t="n">
        <v>43707</v>
      </c>
      <c r="C918" s="1" t="n">
        <v>45845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43857-2019</t>
        </is>
      </c>
      <c r="B919" s="1" t="n">
        <v>43707</v>
      </c>
      <c r="C919" s="1" t="n">
        <v>45845</v>
      </c>
      <c r="D919" t="inlineStr">
        <is>
          <t>KRONOBERGS LÄN</t>
        </is>
      </c>
      <c r="E919" t="inlineStr">
        <is>
          <t>MARKARYD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43914-2019</t>
        </is>
      </c>
      <c r="B920" s="1" t="n">
        <v>43707</v>
      </c>
      <c r="C920" s="1" t="n">
        <v>45845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43876-2019</t>
        </is>
      </c>
      <c r="B921" s="1" t="n">
        <v>43707</v>
      </c>
      <c r="C921" s="1" t="n">
        <v>45845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43782-2019</t>
        </is>
      </c>
      <c r="B922" s="1" t="n">
        <v>43707</v>
      </c>
      <c r="C922" s="1" t="n">
        <v>45845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43852-2019</t>
        </is>
      </c>
      <c r="B923" s="1" t="n">
        <v>43707</v>
      </c>
      <c r="C923" s="1" t="n">
        <v>45845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43746-2019</t>
        </is>
      </c>
      <c r="B924" s="1" t="n">
        <v>43707</v>
      </c>
      <c r="C924" s="1" t="n">
        <v>45845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43747-2019</t>
        </is>
      </c>
      <c r="B925" s="1" t="n">
        <v>43707</v>
      </c>
      <c r="C925" s="1" t="n">
        <v>45845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43877-2019</t>
        </is>
      </c>
      <c r="B926" s="1" t="n">
        <v>43707</v>
      </c>
      <c r="C926" s="1" t="n">
        <v>45845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43819-2019</t>
        </is>
      </c>
      <c r="B927" s="1" t="n">
        <v>43707</v>
      </c>
      <c r="C927" s="1" t="n">
        <v>45845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43964-2019</t>
        </is>
      </c>
      <c r="B928" s="1" t="n">
        <v>43708</v>
      </c>
      <c r="C928" s="1" t="n">
        <v>45845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43965-2019</t>
        </is>
      </c>
      <c r="B929" s="1" t="n">
        <v>43708</v>
      </c>
      <c r="C929" s="1" t="n">
        <v>45845</v>
      </c>
      <c r="D929" t="inlineStr">
        <is>
          <t>KRONOBERGS LÄN</t>
        </is>
      </c>
      <c r="E929" t="inlineStr">
        <is>
          <t>VÄXJÖ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44147-2019</t>
        </is>
      </c>
      <c r="B930" s="1" t="n">
        <v>43710</v>
      </c>
      <c r="C930" s="1" t="n">
        <v>45845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44023-2019</t>
        </is>
      </c>
      <c r="B931" s="1" t="n">
        <v>43710</v>
      </c>
      <c r="C931" s="1" t="n">
        <v>45845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44172-2019</t>
        </is>
      </c>
      <c r="B932" s="1" t="n">
        <v>43710</v>
      </c>
      <c r="C932" s="1" t="n">
        <v>45845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44306-2019</t>
        </is>
      </c>
      <c r="B933" s="1" t="n">
        <v>43710</v>
      </c>
      <c r="C933" s="1" t="n">
        <v>45845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45406-2019</t>
        </is>
      </c>
      <c r="B934" s="1" t="n">
        <v>43710</v>
      </c>
      <c r="C934" s="1" t="n">
        <v>45845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44506-2019</t>
        </is>
      </c>
      <c r="B935" s="1" t="n">
        <v>43711</v>
      </c>
      <c r="C935" s="1" t="n">
        <v>45845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44525-2019</t>
        </is>
      </c>
      <c r="B936" s="1" t="n">
        <v>43711</v>
      </c>
      <c r="C936" s="1" t="n">
        <v>45845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44544-2019</t>
        </is>
      </c>
      <c r="B937" s="1" t="n">
        <v>43711</v>
      </c>
      <c r="C937" s="1" t="n">
        <v>45845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44553-2019</t>
        </is>
      </c>
      <c r="B938" s="1" t="n">
        <v>43711</v>
      </c>
      <c r="C938" s="1" t="n">
        <v>45845</v>
      </c>
      <c r="D938" t="inlineStr">
        <is>
          <t>KRONOBERGS LÄN</t>
        </is>
      </c>
      <c r="E938" t="inlineStr">
        <is>
          <t>ÄLMHULT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44410-2019</t>
        </is>
      </c>
      <c r="B939" s="1" t="n">
        <v>43711</v>
      </c>
      <c r="C939" s="1" t="n">
        <v>45845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44444-2019</t>
        </is>
      </c>
      <c r="B940" s="1" t="n">
        <v>43711</v>
      </c>
      <c r="C940" s="1" t="n">
        <v>45845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44554-2019</t>
        </is>
      </c>
      <c r="B941" s="1" t="n">
        <v>43711</v>
      </c>
      <c r="C941" s="1" t="n">
        <v>45845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44548-2019</t>
        </is>
      </c>
      <c r="B942" s="1" t="n">
        <v>43711</v>
      </c>
      <c r="C942" s="1" t="n">
        <v>45845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44588-2019</t>
        </is>
      </c>
      <c r="B943" s="1" t="n">
        <v>43711</v>
      </c>
      <c r="C943" s="1" t="n">
        <v>45845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44392-2019</t>
        </is>
      </c>
      <c r="B944" s="1" t="n">
        <v>43711</v>
      </c>
      <c r="C944" s="1" t="n">
        <v>45845</v>
      </c>
      <c r="D944" t="inlineStr">
        <is>
          <t>KRONOBERGS LÄN</t>
        </is>
      </c>
      <c r="E944" t="inlineStr">
        <is>
          <t>LESSEBO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45626-2019</t>
        </is>
      </c>
      <c r="B945" s="1" t="n">
        <v>43711</v>
      </c>
      <c r="C945" s="1" t="n">
        <v>45845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44511-2019</t>
        </is>
      </c>
      <c r="B946" s="1" t="n">
        <v>43711</v>
      </c>
      <c r="C946" s="1" t="n">
        <v>45845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44387-2019</t>
        </is>
      </c>
      <c r="B947" s="1" t="n">
        <v>43711</v>
      </c>
      <c r="C947" s="1" t="n">
        <v>45845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44757-2019</t>
        </is>
      </c>
      <c r="B948" s="1" t="n">
        <v>43712</v>
      </c>
      <c r="C948" s="1" t="n">
        <v>45845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44779-2019</t>
        </is>
      </c>
      <c r="B949" s="1" t="n">
        <v>43712</v>
      </c>
      <c r="C949" s="1" t="n">
        <v>45845</v>
      </c>
      <c r="D949" t="inlineStr">
        <is>
          <t>KRONOBERGS LÄN</t>
        </is>
      </c>
      <c r="E949" t="inlineStr">
        <is>
          <t>UPPVIDINGE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44806-2019</t>
        </is>
      </c>
      <c r="B950" s="1" t="n">
        <v>43712</v>
      </c>
      <c r="C950" s="1" t="n">
        <v>45845</v>
      </c>
      <c r="D950" t="inlineStr">
        <is>
          <t>KRONOBERGS LÄN</t>
        </is>
      </c>
      <c r="E950" t="inlineStr">
        <is>
          <t>ALVESTA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44804-2019</t>
        </is>
      </c>
      <c r="B951" s="1" t="n">
        <v>43712</v>
      </c>
      <c r="C951" s="1" t="n">
        <v>45845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46187-2019</t>
        </is>
      </c>
      <c r="B952" s="1" t="n">
        <v>43712</v>
      </c>
      <c r="C952" s="1" t="n">
        <v>45845</v>
      </c>
      <c r="D952" t="inlineStr">
        <is>
          <t>KRONOBERGS LÄN</t>
        </is>
      </c>
      <c r="E952" t="inlineStr">
        <is>
          <t>TINGSRYD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45955-2019</t>
        </is>
      </c>
      <c r="B953" s="1" t="n">
        <v>43712</v>
      </c>
      <c r="C953" s="1" t="n">
        <v>45845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45864-2019</t>
        </is>
      </c>
      <c r="B954" s="1" t="n">
        <v>43712</v>
      </c>
      <c r="C954" s="1" t="n">
        <v>45845</v>
      </c>
      <c r="D954" t="inlineStr">
        <is>
          <t>KRONOBERGS LÄN</t>
        </is>
      </c>
      <c r="E954" t="inlineStr">
        <is>
          <t>TINGSRYD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46179-2019</t>
        </is>
      </c>
      <c r="B955" s="1" t="n">
        <v>43712</v>
      </c>
      <c r="C955" s="1" t="n">
        <v>45845</v>
      </c>
      <c r="D955" t="inlineStr">
        <is>
          <t>KRONOBERGS LÄN</t>
        </is>
      </c>
      <c r="E955" t="inlineStr">
        <is>
          <t>TINGSRYD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44946-2019</t>
        </is>
      </c>
      <c r="B956" s="1" t="n">
        <v>43713</v>
      </c>
      <c r="C956" s="1" t="n">
        <v>45845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44968-2019</t>
        </is>
      </c>
      <c r="B957" s="1" t="n">
        <v>43713</v>
      </c>
      <c r="C957" s="1" t="n">
        <v>45845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45112-2019</t>
        </is>
      </c>
      <c r="B958" s="1" t="n">
        <v>43713</v>
      </c>
      <c r="C958" s="1" t="n">
        <v>45845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44932-2019</t>
        </is>
      </c>
      <c r="B959" s="1" t="n">
        <v>43713</v>
      </c>
      <c r="C959" s="1" t="n">
        <v>45845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44936-2019</t>
        </is>
      </c>
      <c r="B960" s="1" t="n">
        <v>43713</v>
      </c>
      <c r="C960" s="1" t="n">
        <v>45845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44996-2019</t>
        </is>
      </c>
      <c r="B961" s="1" t="n">
        <v>43713</v>
      </c>
      <c r="C961" s="1" t="n">
        <v>45845</v>
      </c>
      <c r="D961" t="inlineStr">
        <is>
          <t>KRONOBERGS LÄN</t>
        </is>
      </c>
      <c r="E961" t="inlineStr">
        <is>
          <t>ÄLMHULT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44943-2019</t>
        </is>
      </c>
      <c r="B962" s="1" t="n">
        <v>43713</v>
      </c>
      <c r="C962" s="1" t="n">
        <v>45845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44964-2019</t>
        </is>
      </c>
      <c r="B963" s="1" t="n">
        <v>43713</v>
      </c>
      <c r="C963" s="1" t="n">
        <v>45845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45092-2019</t>
        </is>
      </c>
      <c r="B964" s="1" t="n">
        <v>43713</v>
      </c>
      <c r="C964" s="1" t="n">
        <v>45845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45164-2019</t>
        </is>
      </c>
      <c r="B965" s="1" t="n">
        <v>43713</v>
      </c>
      <c r="C965" s="1" t="n">
        <v>45845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45235-2019</t>
        </is>
      </c>
      <c r="B966" s="1" t="n">
        <v>43713</v>
      </c>
      <c r="C966" s="1" t="n">
        <v>45845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44940-2019</t>
        </is>
      </c>
      <c r="B967" s="1" t="n">
        <v>43713</v>
      </c>
      <c r="C967" s="1" t="n">
        <v>45845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45110-2019</t>
        </is>
      </c>
      <c r="B968" s="1" t="n">
        <v>43713</v>
      </c>
      <c r="C968" s="1" t="n">
        <v>45845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45094-2019</t>
        </is>
      </c>
      <c r="B969" s="1" t="n">
        <v>43713</v>
      </c>
      <c r="C969" s="1" t="n">
        <v>45845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45514-2019</t>
        </is>
      </c>
      <c r="B970" s="1" t="n">
        <v>43714</v>
      </c>
      <c r="C970" s="1" t="n">
        <v>45845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45279-2019</t>
        </is>
      </c>
      <c r="B971" s="1" t="n">
        <v>43714</v>
      </c>
      <c r="C971" s="1" t="n">
        <v>45845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45320-2019</t>
        </is>
      </c>
      <c r="B972" s="1" t="n">
        <v>43714</v>
      </c>
      <c r="C972" s="1" t="n">
        <v>45845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45330-2019</t>
        </is>
      </c>
      <c r="B973" s="1" t="n">
        <v>43714</v>
      </c>
      <c r="C973" s="1" t="n">
        <v>45845</v>
      </c>
      <c r="D973" t="inlineStr">
        <is>
          <t>KRONOBERGS LÄN</t>
        </is>
      </c>
      <c r="E973" t="inlineStr">
        <is>
          <t>VÄXJÖ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45409-2019</t>
        </is>
      </c>
      <c r="B974" s="1" t="n">
        <v>43714</v>
      </c>
      <c r="C974" s="1" t="n">
        <v>45845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45421-2019</t>
        </is>
      </c>
      <c r="B975" s="1" t="n">
        <v>43714</v>
      </c>
      <c r="C975" s="1" t="n">
        <v>45845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45508-2019</t>
        </is>
      </c>
      <c r="B976" s="1" t="n">
        <v>43714</v>
      </c>
      <c r="C976" s="1" t="n">
        <v>45845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45345-2019</t>
        </is>
      </c>
      <c r="B977" s="1" t="n">
        <v>43714</v>
      </c>
      <c r="C977" s="1" t="n">
        <v>45845</v>
      </c>
      <c r="D977" t="inlineStr">
        <is>
          <t>KRONOBERGS LÄN</t>
        </is>
      </c>
      <c r="E977" t="inlineStr">
        <is>
          <t>MARKARYD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45529-2019</t>
        </is>
      </c>
      <c r="B978" s="1" t="n">
        <v>43714</v>
      </c>
      <c r="C978" s="1" t="n">
        <v>45845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45559-2019</t>
        </is>
      </c>
      <c r="B979" s="1" t="n">
        <v>43715</v>
      </c>
      <c r="C979" s="1" t="n">
        <v>45845</v>
      </c>
      <c r="D979" t="inlineStr">
        <is>
          <t>KRONOBERGS LÄN</t>
        </is>
      </c>
      <c r="E979" t="inlineStr">
        <is>
          <t>VÄXJÖ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45562-2019</t>
        </is>
      </c>
      <c r="B980" s="1" t="n">
        <v>43715</v>
      </c>
      <c r="C980" s="1" t="n">
        <v>45845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45671-2019</t>
        </is>
      </c>
      <c r="B981" s="1" t="n">
        <v>43717</v>
      </c>
      <c r="C981" s="1" t="n">
        <v>45845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45760-2019</t>
        </is>
      </c>
      <c r="B982" s="1" t="n">
        <v>43717</v>
      </c>
      <c r="C982" s="1" t="n">
        <v>45845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45825-2019</t>
        </is>
      </c>
      <c r="B983" s="1" t="n">
        <v>43717</v>
      </c>
      <c r="C983" s="1" t="n">
        <v>45845</v>
      </c>
      <c r="D983" t="inlineStr">
        <is>
          <t>KRONOBERGS LÄN</t>
        </is>
      </c>
      <c r="E983" t="inlineStr">
        <is>
          <t>TINGSRYD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45833-2019</t>
        </is>
      </c>
      <c r="B984" s="1" t="n">
        <v>43717</v>
      </c>
      <c r="C984" s="1" t="n">
        <v>45845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45907-2019</t>
        </is>
      </c>
      <c r="B985" s="1" t="n">
        <v>43717</v>
      </c>
      <c r="C985" s="1" t="n">
        <v>45845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45606-2019</t>
        </is>
      </c>
      <c r="B986" s="1" t="n">
        <v>43717</v>
      </c>
      <c r="C986" s="1" t="n">
        <v>45845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46322-2019</t>
        </is>
      </c>
      <c r="B987" s="1" t="n">
        <v>43718</v>
      </c>
      <c r="C987" s="1" t="n">
        <v>45845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45967-2019</t>
        </is>
      </c>
      <c r="B988" s="1" t="n">
        <v>43718</v>
      </c>
      <c r="C988" s="1" t="n">
        <v>45845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46315-2019</t>
        </is>
      </c>
      <c r="B989" s="1" t="n">
        <v>43718</v>
      </c>
      <c r="C989" s="1" t="n">
        <v>45845</v>
      </c>
      <c r="D989" t="inlineStr">
        <is>
          <t>KRONOBERGS LÄN</t>
        </is>
      </c>
      <c r="E989" t="inlineStr">
        <is>
          <t>ALVESTA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46247-2019</t>
        </is>
      </c>
      <c r="B990" s="1" t="n">
        <v>43718</v>
      </c>
      <c r="C990" s="1" t="n">
        <v>45845</v>
      </c>
      <c r="D990" t="inlineStr">
        <is>
          <t>KRONOBERGS LÄN</t>
        </is>
      </c>
      <c r="E990" t="inlineStr">
        <is>
          <t>TINGSRYD</t>
        </is>
      </c>
      <c r="G990" t="n">
        <v>28.8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46318-2019</t>
        </is>
      </c>
      <c r="B991" s="1" t="n">
        <v>43718</v>
      </c>
      <c r="C991" s="1" t="n">
        <v>45845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46410-2019</t>
        </is>
      </c>
      <c r="B992" s="1" t="n">
        <v>43719</v>
      </c>
      <c r="C992" s="1" t="n">
        <v>45845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46436-2019</t>
        </is>
      </c>
      <c r="B993" s="1" t="n">
        <v>43719</v>
      </c>
      <c r="C993" s="1" t="n">
        <v>45845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46544-2019</t>
        </is>
      </c>
      <c r="B994" s="1" t="n">
        <v>43719</v>
      </c>
      <c r="C994" s="1" t="n">
        <v>45845</v>
      </c>
      <c r="D994" t="inlineStr">
        <is>
          <t>KRONOBERGS LÄN</t>
        </is>
      </c>
      <c r="E994" t="inlineStr">
        <is>
          <t>TINGSRYD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46409-2019</t>
        </is>
      </c>
      <c r="B995" s="1" t="n">
        <v>43719</v>
      </c>
      <c r="C995" s="1" t="n">
        <v>45845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46474-2019</t>
        </is>
      </c>
      <c r="B996" s="1" t="n">
        <v>43719</v>
      </c>
      <c r="C996" s="1" t="n">
        <v>45845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46383-2019</t>
        </is>
      </c>
      <c r="B997" s="1" t="n">
        <v>43719</v>
      </c>
      <c r="C997" s="1" t="n">
        <v>45845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46411-2019</t>
        </is>
      </c>
      <c r="B998" s="1" t="n">
        <v>43719</v>
      </c>
      <c r="C998" s="1" t="n">
        <v>45845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46489-2019</t>
        </is>
      </c>
      <c r="B999" s="1" t="n">
        <v>43719</v>
      </c>
      <c r="C999" s="1" t="n">
        <v>45845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46737-2019</t>
        </is>
      </c>
      <c r="B1000" s="1" t="n">
        <v>43719</v>
      </c>
      <c r="C1000" s="1" t="n">
        <v>45845</v>
      </c>
      <c r="D1000" t="inlineStr">
        <is>
          <t>KRONOBERGS LÄN</t>
        </is>
      </c>
      <c r="E1000" t="inlineStr">
        <is>
          <t>LJUNGBY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46384-2019</t>
        </is>
      </c>
      <c r="B1001" s="1" t="n">
        <v>43719</v>
      </c>
      <c r="C1001" s="1" t="n">
        <v>45845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46496-2019</t>
        </is>
      </c>
      <c r="B1002" s="1" t="n">
        <v>43719</v>
      </c>
      <c r="C1002" s="1" t="n">
        <v>45845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46834-2019</t>
        </is>
      </c>
      <c r="B1003" s="1" t="n">
        <v>43719</v>
      </c>
      <c r="C1003" s="1" t="n">
        <v>45845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46895-2019</t>
        </is>
      </c>
      <c r="B1004" s="1" t="n">
        <v>43720</v>
      </c>
      <c r="C1004" s="1" t="n">
        <v>45845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46778-2019</t>
        </is>
      </c>
      <c r="B1005" s="1" t="n">
        <v>43720</v>
      </c>
      <c r="C1005" s="1" t="n">
        <v>45845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46750-2019</t>
        </is>
      </c>
      <c r="B1006" s="1" t="n">
        <v>43720</v>
      </c>
      <c r="C1006" s="1" t="n">
        <v>45845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47043-2019</t>
        </is>
      </c>
      <c r="B1007" s="1" t="n">
        <v>43720</v>
      </c>
      <c r="C1007" s="1" t="n">
        <v>45845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47328-2019</t>
        </is>
      </c>
      <c r="B1008" s="1" t="n">
        <v>43721</v>
      </c>
      <c r="C1008" s="1" t="n">
        <v>45845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47320-2019</t>
        </is>
      </c>
      <c r="B1009" s="1" t="n">
        <v>43721</v>
      </c>
      <c r="C1009" s="1" t="n">
        <v>45845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47376-2019</t>
        </is>
      </c>
      <c r="B1010" s="1" t="n">
        <v>43721</v>
      </c>
      <c r="C1010" s="1" t="n">
        <v>45845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47475-2019</t>
        </is>
      </c>
      <c r="B1011" s="1" t="n">
        <v>43724</v>
      </c>
      <c r="C1011" s="1" t="n">
        <v>45845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47679-2019</t>
        </is>
      </c>
      <c r="B1012" s="1" t="n">
        <v>43724</v>
      </c>
      <c r="C1012" s="1" t="n">
        <v>45845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47491-2019</t>
        </is>
      </c>
      <c r="B1013" s="1" t="n">
        <v>43724</v>
      </c>
      <c r="C1013" s="1" t="n">
        <v>45845</v>
      </c>
      <c r="D1013" t="inlineStr">
        <is>
          <t>KRONOBERGS LÄN</t>
        </is>
      </c>
      <c r="E1013" t="inlineStr">
        <is>
          <t>UPPVIDINGE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47543-2019</t>
        </is>
      </c>
      <c r="B1014" s="1" t="n">
        <v>43724</v>
      </c>
      <c r="C1014" s="1" t="n">
        <v>45845</v>
      </c>
      <c r="D1014" t="inlineStr">
        <is>
          <t>KRONOBERGS LÄN</t>
        </is>
      </c>
      <c r="E1014" t="inlineStr">
        <is>
          <t>ÄLMHULT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47658-2019</t>
        </is>
      </c>
      <c r="B1015" s="1" t="n">
        <v>43724</v>
      </c>
      <c r="C1015" s="1" t="n">
        <v>45845</v>
      </c>
      <c r="D1015" t="inlineStr">
        <is>
          <t>KRONOBERGS LÄN</t>
        </is>
      </c>
      <c r="E1015" t="inlineStr">
        <is>
          <t>TINGSRYD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47826-2019</t>
        </is>
      </c>
      <c r="B1016" s="1" t="n">
        <v>43724</v>
      </c>
      <c r="C1016" s="1" t="n">
        <v>45845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47946-2019</t>
        </is>
      </c>
      <c r="B1017" s="1" t="n">
        <v>43725</v>
      </c>
      <c r="C1017" s="1" t="n">
        <v>45845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47955-2019</t>
        </is>
      </c>
      <c r="B1018" s="1" t="n">
        <v>43725</v>
      </c>
      <c r="C1018" s="1" t="n">
        <v>45845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48028-2019</t>
        </is>
      </c>
      <c r="B1019" s="1" t="n">
        <v>43725</v>
      </c>
      <c r="C1019" s="1" t="n">
        <v>45845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47853-2019</t>
        </is>
      </c>
      <c r="B1020" s="1" t="n">
        <v>43725</v>
      </c>
      <c r="C1020" s="1" t="n">
        <v>45845</v>
      </c>
      <c r="D1020" t="inlineStr">
        <is>
          <t>KRONOBERGS LÄN</t>
        </is>
      </c>
      <c r="E1020" t="inlineStr">
        <is>
          <t>VÄXJÖ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47947-2019</t>
        </is>
      </c>
      <c r="B1021" s="1" t="n">
        <v>43725</v>
      </c>
      <c r="C1021" s="1" t="n">
        <v>45845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47980-2019</t>
        </is>
      </c>
      <c r="B1022" s="1" t="n">
        <v>43725</v>
      </c>
      <c r="C1022" s="1" t="n">
        <v>45845</v>
      </c>
      <c r="D1022" t="inlineStr">
        <is>
          <t>KRONOBERGS LÄN</t>
        </is>
      </c>
      <c r="E1022" t="inlineStr">
        <is>
          <t>ALVESTA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48013-2019</t>
        </is>
      </c>
      <c r="B1023" s="1" t="n">
        <v>43725</v>
      </c>
      <c r="C1023" s="1" t="n">
        <v>45845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48079-2019</t>
        </is>
      </c>
      <c r="B1024" s="1" t="n">
        <v>43725</v>
      </c>
      <c r="C1024" s="1" t="n">
        <v>45845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47865-2019</t>
        </is>
      </c>
      <c r="B1025" s="1" t="n">
        <v>43725</v>
      </c>
      <c r="C1025" s="1" t="n">
        <v>45845</v>
      </c>
      <c r="D1025" t="inlineStr">
        <is>
          <t>KRONOBERGS LÄN</t>
        </is>
      </c>
      <c r="E1025" t="inlineStr">
        <is>
          <t>UPPVIDINGE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48055-2019</t>
        </is>
      </c>
      <c r="B1026" s="1" t="n">
        <v>43725</v>
      </c>
      <c r="C1026" s="1" t="n">
        <v>45845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48188-2019</t>
        </is>
      </c>
      <c r="B1027" s="1" t="n">
        <v>43725</v>
      </c>
      <c r="C1027" s="1" t="n">
        <v>45845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48089-2019</t>
        </is>
      </c>
      <c r="B1028" s="1" t="n">
        <v>43725</v>
      </c>
      <c r="C1028" s="1" t="n">
        <v>45845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48372-2019</t>
        </is>
      </c>
      <c r="B1029" s="1" t="n">
        <v>43726</v>
      </c>
      <c r="C1029" s="1" t="n">
        <v>45845</v>
      </c>
      <c r="D1029" t="inlineStr">
        <is>
          <t>KRONOBERGS LÄN</t>
        </is>
      </c>
      <c r="E1029" t="inlineStr">
        <is>
          <t>UPPVIDINGE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48270-2019</t>
        </is>
      </c>
      <c r="B1030" s="1" t="n">
        <v>43726</v>
      </c>
      <c r="C1030" s="1" t="n">
        <v>45845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48371-2019</t>
        </is>
      </c>
      <c r="B1031" s="1" t="n">
        <v>43726</v>
      </c>
      <c r="C1031" s="1" t="n">
        <v>45845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48293-2019</t>
        </is>
      </c>
      <c r="B1032" s="1" t="n">
        <v>43726</v>
      </c>
      <c r="C1032" s="1" t="n">
        <v>45845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48444-2019</t>
        </is>
      </c>
      <c r="B1033" s="1" t="n">
        <v>43727</v>
      </c>
      <c r="C1033" s="1" t="n">
        <v>45845</v>
      </c>
      <c r="D1033" t="inlineStr">
        <is>
          <t>KRONOBERGS LÄN</t>
        </is>
      </c>
      <c r="E1033" t="inlineStr">
        <is>
          <t>MARKARYD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48438-2019</t>
        </is>
      </c>
      <c r="B1034" s="1" t="n">
        <v>43727</v>
      </c>
      <c r="C1034" s="1" t="n">
        <v>45845</v>
      </c>
      <c r="D1034" t="inlineStr">
        <is>
          <t>KRONOBERGS LÄN</t>
        </is>
      </c>
      <c r="E1034" t="inlineStr">
        <is>
          <t>MARKARYD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48404-2019</t>
        </is>
      </c>
      <c r="B1035" s="1" t="n">
        <v>43727</v>
      </c>
      <c r="C1035" s="1" t="n">
        <v>45845</v>
      </c>
      <c r="D1035" t="inlineStr">
        <is>
          <t>KRONOBERGS LÄN</t>
        </is>
      </c>
      <c r="E1035" t="inlineStr">
        <is>
          <t>TINGSRYD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48432-2019</t>
        </is>
      </c>
      <c r="B1036" s="1" t="n">
        <v>43727</v>
      </c>
      <c r="C1036" s="1" t="n">
        <v>45845</v>
      </c>
      <c r="D1036" t="inlineStr">
        <is>
          <t>KRONOBERGS LÄN</t>
        </is>
      </c>
      <c r="E1036" t="inlineStr">
        <is>
          <t>MARKARYD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48453-2019</t>
        </is>
      </c>
      <c r="B1037" s="1" t="n">
        <v>43727</v>
      </c>
      <c r="C1037" s="1" t="n">
        <v>45845</v>
      </c>
      <c r="D1037" t="inlineStr">
        <is>
          <t>KRONOBERGS LÄN</t>
        </is>
      </c>
      <c r="E1037" t="inlineStr">
        <is>
          <t>MARKARYD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48434-2019</t>
        </is>
      </c>
      <c r="B1038" s="1" t="n">
        <v>43727</v>
      </c>
      <c r="C1038" s="1" t="n">
        <v>45845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48450-2019</t>
        </is>
      </c>
      <c r="B1039" s="1" t="n">
        <v>43727</v>
      </c>
      <c r="C1039" s="1" t="n">
        <v>45845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48536-2019</t>
        </is>
      </c>
      <c r="B1040" s="1" t="n">
        <v>43727</v>
      </c>
      <c r="C1040" s="1" t="n">
        <v>45845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48635-2019</t>
        </is>
      </c>
      <c r="B1041" s="1" t="n">
        <v>43727</v>
      </c>
      <c r="C1041" s="1" t="n">
        <v>45845</v>
      </c>
      <c r="D1041" t="inlineStr">
        <is>
          <t>KRONOBERGS LÄN</t>
        </is>
      </c>
      <c r="E1041" t="inlineStr">
        <is>
          <t>TINGSRYD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48456-2019</t>
        </is>
      </c>
      <c r="B1042" s="1" t="n">
        <v>43727</v>
      </c>
      <c r="C1042" s="1" t="n">
        <v>45845</v>
      </c>
      <c r="D1042" t="inlineStr">
        <is>
          <t>KRONOBERGS LÄN</t>
        </is>
      </c>
      <c r="E1042" t="inlineStr">
        <is>
          <t>MARKARYD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48442-2019</t>
        </is>
      </c>
      <c r="B1043" s="1" t="n">
        <v>43727</v>
      </c>
      <c r="C1043" s="1" t="n">
        <v>45845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48406-2019</t>
        </is>
      </c>
      <c r="B1044" s="1" t="n">
        <v>43727</v>
      </c>
      <c r="C1044" s="1" t="n">
        <v>45845</v>
      </c>
      <c r="D1044" t="inlineStr">
        <is>
          <t>KRONOBERGS LÄN</t>
        </is>
      </c>
      <c r="E1044" t="inlineStr">
        <is>
          <t>TINGSRYD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48458-2019</t>
        </is>
      </c>
      <c r="B1045" s="1" t="n">
        <v>43727</v>
      </c>
      <c r="C1045" s="1" t="n">
        <v>45845</v>
      </c>
      <c r="D1045" t="inlineStr">
        <is>
          <t>KRONOBERGS LÄN</t>
        </is>
      </c>
      <c r="E1045" t="inlineStr">
        <is>
          <t>MARKARYD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48820-2019</t>
        </is>
      </c>
      <c r="B1046" s="1" t="n">
        <v>43728</v>
      </c>
      <c r="C1046" s="1" t="n">
        <v>45845</v>
      </c>
      <c r="D1046" t="inlineStr">
        <is>
          <t>KRONOBERGS LÄN</t>
        </is>
      </c>
      <c r="E1046" t="inlineStr">
        <is>
          <t>UPPVIDINGE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48679-2019</t>
        </is>
      </c>
      <c r="B1047" s="1" t="n">
        <v>43728</v>
      </c>
      <c r="C1047" s="1" t="n">
        <v>45845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48838-2019</t>
        </is>
      </c>
      <c r="B1048" s="1" t="n">
        <v>43728</v>
      </c>
      <c r="C1048" s="1" t="n">
        <v>45845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48676-2019</t>
        </is>
      </c>
      <c r="B1049" s="1" t="n">
        <v>43728</v>
      </c>
      <c r="C1049" s="1" t="n">
        <v>45845</v>
      </c>
      <c r="D1049" t="inlineStr">
        <is>
          <t>KRONOBERGS LÄN</t>
        </is>
      </c>
      <c r="E1049" t="inlineStr">
        <is>
          <t>ALVESTA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48664-2019</t>
        </is>
      </c>
      <c r="B1050" s="1" t="n">
        <v>43728</v>
      </c>
      <c r="C1050" s="1" t="n">
        <v>45845</v>
      </c>
      <c r="D1050" t="inlineStr">
        <is>
          <t>KRONOBERGS LÄN</t>
        </is>
      </c>
      <c r="E1050" t="inlineStr">
        <is>
          <t>ALVESTA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48880-2019</t>
        </is>
      </c>
      <c r="B1051" s="1" t="n">
        <v>43728</v>
      </c>
      <c r="C1051" s="1" t="n">
        <v>45845</v>
      </c>
      <c r="D1051" t="inlineStr">
        <is>
          <t>KRONOBERGS LÄN</t>
        </is>
      </c>
      <c r="E1051" t="inlineStr">
        <is>
          <t>ÄLMHULT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48856-2019</t>
        </is>
      </c>
      <c r="B1052" s="1" t="n">
        <v>43728</v>
      </c>
      <c r="C1052" s="1" t="n">
        <v>45845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49247-2019</t>
        </is>
      </c>
      <c r="B1053" s="1" t="n">
        <v>43728</v>
      </c>
      <c r="C1053" s="1" t="n">
        <v>45845</v>
      </c>
      <c r="D1053" t="inlineStr">
        <is>
          <t>KRONOBERGS LÄN</t>
        </is>
      </c>
      <c r="E1053" t="inlineStr">
        <is>
          <t>TINGSRYD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48672-2019</t>
        </is>
      </c>
      <c r="B1054" s="1" t="n">
        <v>43728</v>
      </c>
      <c r="C1054" s="1" t="n">
        <v>45845</v>
      </c>
      <c r="D1054" t="inlineStr">
        <is>
          <t>KRONOBERGS LÄN</t>
        </is>
      </c>
      <c r="E1054" t="inlineStr">
        <is>
          <t>ALVESTA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49200-2019</t>
        </is>
      </c>
      <c r="B1055" s="1" t="n">
        <v>43731</v>
      </c>
      <c r="C1055" s="1" t="n">
        <v>45845</v>
      </c>
      <c r="D1055" t="inlineStr">
        <is>
          <t>KRONOBERGS LÄN</t>
        </is>
      </c>
      <c r="E1055" t="inlineStr">
        <is>
          <t>ÄLMHULT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49285-2019</t>
        </is>
      </c>
      <c r="B1056" s="1" t="n">
        <v>43731</v>
      </c>
      <c r="C1056" s="1" t="n">
        <v>45845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49220-2019</t>
        </is>
      </c>
      <c r="B1057" s="1" t="n">
        <v>43731</v>
      </c>
      <c r="C1057" s="1" t="n">
        <v>45845</v>
      </c>
      <c r="D1057" t="inlineStr">
        <is>
          <t>KRONOBERGS LÄN</t>
        </is>
      </c>
      <c r="E1057" t="inlineStr">
        <is>
          <t>ÄLMHULT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49387-2019</t>
        </is>
      </c>
      <c r="B1058" s="1" t="n">
        <v>43732</v>
      </c>
      <c r="C1058" s="1" t="n">
        <v>45845</v>
      </c>
      <c r="D1058" t="inlineStr">
        <is>
          <t>KRONOBERGS LÄN</t>
        </is>
      </c>
      <c r="E1058" t="inlineStr">
        <is>
          <t>UPPVIDINGE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49393-2019</t>
        </is>
      </c>
      <c r="B1059" s="1" t="n">
        <v>43732</v>
      </c>
      <c r="C1059" s="1" t="n">
        <v>45845</v>
      </c>
      <c r="D1059" t="inlineStr">
        <is>
          <t>KRONOBERGS LÄN</t>
        </is>
      </c>
      <c r="E1059" t="inlineStr">
        <is>
          <t>UPPVIDINGE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49400-2019</t>
        </is>
      </c>
      <c r="B1060" s="1" t="n">
        <v>43732</v>
      </c>
      <c r="C1060" s="1" t="n">
        <v>45845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49496-2019</t>
        </is>
      </c>
      <c r="B1061" s="1" t="n">
        <v>43732</v>
      </c>
      <c r="C1061" s="1" t="n">
        <v>45845</v>
      </c>
      <c r="D1061" t="inlineStr">
        <is>
          <t>KRONOBERGS LÄN</t>
        </is>
      </c>
      <c r="E1061" t="inlineStr">
        <is>
          <t>TINGSRYD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49564-2019</t>
        </is>
      </c>
      <c r="B1062" s="1" t="n">
        <v>43732</v>
      </c>
      <c r="C1062" s="1" t="n">
        <v>45845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49566-2019</t>
        </is>
      </c>
      <c r="B1063" s="1" t="n">
        <v>43732</v>
      </c>
      <c r="C1063" s="1" t="n">
        <v>45845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49649-2019</t>
        </is>
      </c>
      <c r="B1064" s="1" t="n">
        <v>43732</v>
      </c>
      <c r="C1064" s="1" t="n">
        <v>45845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49627-2019</t>
        </is>
      </c>
      <c r="B1065" s="1" t="n">
        <v>43732</v>
      </c>
      <c r="C1065" s="1" t="n">
        <v>45845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49644-2019</t>
        </is>
      </c>
      <c r="B1066" s="1" t="n">
        <v>43732</v>
      </c>
      <c r="C1066" s="1" t="n">
        <v>45845</v>
      </c>
      <c r="D1066" t="inlineStr">
        <is>
          <t>KRONOBERGS LÄN</t>
        </is>
      </c>
      <c r="E1066" t="inlineStr">
        <is>
          <t>ÄLMHULT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49392-2019</t>
        </is>
      </c>
      <c r="B1067" s="1" t="n">
        <v>43732</v>
      </c>
      <c r="C1067" s="1" t="n">
        <v>45845</v>
      </c>
      <c r="D1067" t="inlineStr">
        <is>
          <t>KRONOBERGS LÄN</t>
        </is>
      </c>
      <c r="E1067" t="inlineStr">
        <is>
          <t>UPPVIDINGE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49641-2019</t>
        </is>
      </c>
      <c r="B1068" s="1" t="n">
        <v>43732</v>
      </c>
      <c r="C1068" s="1" t="n">
        <v>45845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49719-2019</t>
        </is>
      </c>
      <c r="B1069" s="1" t="n">
        <v>43733</v>
      </c>
      <c r="C1069" s="1" t="n">
        <v>45845</v>
      </c>
      <c r="D1069" t="inlineStr">
        <is>
          <t>KRONOBERGS LÄN</t>
        </is>
      </c>
      <c r="E1069" t="inlineStr">
        <is>
          <t>MARKARYD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49843-2019</t>
        </is>
      </c>
      <c r="B1070" s="1" t="n">
        <v>43733</v>
      </c>
      <c r="C1070" s="1" t="n">
        <v>45845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49939-2019</t>
        </is>
      </c>
      <c r="B1071" s="1" t="n">
        <v>43733</v>
      </c>
      <c r="C1071" s="1" t="n">
        <v>45845</v>
      </c>
      <c r="D1071" t="inlineStr">
        <is>
          <t>KRONOBERGS LÄN</t>
        </is>
      </c>
      <c r="E1071" t="inlineStr">
        <is>
          <t>LESSEBO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49966-2019</t>
        </is>
      </c>
      <c r="B1072" s="1" t="n">
        <v>43733</v>
      </c>
      <c r="C1072" s="1" t="n">
        <v>45845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49964-2019</t>
        </is>
      </c>
      <c r="B1073" s="1" t="n">
        <v>43733</v>
      </c>
      <c r="C1073" s="1" t="n">
        <v>45845</v>
      </c>
      <c r="D1073" t="inlineStr">
        <is>
          <t>KRONOBERGS LÄN</t>
        </is>
      </c>
      <c r="E1073" t="inlineStr">
        <is>
          <t>MARKARYD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49940-2019</t>
        </is>
      </c>
      <c r="B1074" s="1" t="n">
        <v>43733</v>
      </c>
      <c r="C1074" s="1" t="n">
        <v>45845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49962-2019</t>
        </is>
      </c>
      <c r="B1075" s="1" t="n">
        <v>43733</v>
      </c>
      <c r="C1075" s="1" t="n">
        <v>45845</v>
      </c>
      <c r="D1075" t="inlineStr">
        <is>
          <t>KRONOBERGS LÄN</t>
        </is>
      </c>
      <c r="E1075" t="inlineStr">
        <is>
          <t>MARKARYD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49959-2019</t>
        </is>
      </c>
      <c r="B1076" s="1" t="n">
        <v>43733</v>
      </c>
      <c r="C1076" s="1" t="n">
        <v>45845</v>
      </c>
      <c r="D1076" t="inlineStr">
        <is>
          <t>KRONOBERGS LÄN</t>
        </is>
      </c>
      <c r="E1076" t="inlineStr">
        <is>
          <t>MARKARYD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49960-2019</t>
        </is>
      </c>
      <c r="B1077" s="1" t="n">
        <v>43733</v>
      </c>
      <c r="C1077" s="1" t="n">
        <v>45845</v>
      </c>
      <c r="D1077" t="inlineStr">
        <is>
          <t>KRONOBERGS LÄN</t>
        </is>
      </c>
      <c r="E1077" t="inlineStr">
        <is>
          <t>MARKARYD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49897-2019</t>
        </is>
      </c>
      <c r="B1078" s="1" t="n">
        <v>43733</v>
      </c>
      <c r="C1078" s="1" t="n">
        <v>45845</v>
      </c>
      <c r="D1078" t="inlineStr">
        <is>
          <t>KRONOBERGS LÄN</t>
        </is>
      </c>
      <c r="E1078" t="inlineStr">
        <is>
          <t>VÄXJÖ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49866-2019</t>
        </is>
      </c>
      <c r="B1079" s="1" t="n">
        <v>43733</v>
      </c>
      <c r="C1079" s="1" t="n">
        <v>45845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51754-2019</t>
        </is>
      </c>
      <c r="B1080" s="1" t="n">
        <v>43734</v>
      </c>
      <c r="C1080" s="1" t="n">
        <v>45845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50442-2019</t>
        </is>
      </c>
      <c r="B1081" s="1" t="n">
        <v>43735</v>
      </c>
      <c r="C1081" s="1" t="n">
        <v>45845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50494-2019</t>
        </is>
      </c>
      <c r="B1082" s="1" t="n">
        <v>43735</v>
      </c>
      <c r="C1082" s="1" t="n">
        <v>45845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52440-2019</t>
        </is>
      </c>
      <c r="B1083" s="1" t="n">
        <v>43735</v>
      </c>
      <c r="C1083" s="1" t="n">
        <v>45845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50649-2019</t>
        </is>
      </c>
      <c r="B1084" s="1" t="n">
        <v>43737</v>
      </c>
      <c r="C1084" s="1" t="n">
        <v>45845</v>
      </c>
      <c r="D1084" t="inlineStr">
        <is>
          <t>KRONOBERGS LÄN</t>
        </is>
      </c>
      <c r="E1084" t="inlineStr">
        <is>
          <t>TINGSRYD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50701-2019</t>
        </is>
      </c>
      <c r="B1085" s="1" t="n">
        <v>43738</v>
      </c>
      <c r="C1085" s="1" t="n">
        <v>45845</v>
      </c>
      <c r="D1085" t="inlineStr">
        <is>
          <t>KRONOBERGS LÄN</t>
        </is>
      </c>
      <c r="E1085" t="inlineStr">
        <is>
          <t>MARKARYD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50758-2019</t>
        </is>
      </c>
      <c r="B1086" s="1" t="n">
        <v>43738</v>
      </c>
      <c r="C1086" s="1" t="n">
        <v>45845</v>
      </c>
      <c r="D1086" t="inlineStr">
        <is>
          <t>KRONOBERGS LÄN</t>
        </is>
      </c>
      <c r="E1086" t="inlineStr">
        <is>
          <t>UPPVIDINGE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50906-2019</t>
        </is>
      </c>
      <c r="B1087" s="1" t="n">
        <v>43738</v>
      </c>
      <c r="C1087" s="1" t="n">
        <v>45845</v>
      </c>
      <c r="D1087" t="inlineStr">
        <is>
          <t>KRONOBERGS LÄN</t>
        </is>
      </c>
      <c r="E1087" t="inlineStr">
        <is>
          <t>MARKARYD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50759-2019</t>
        </is>
      </c>
      <c r="B1088" s="1" t="n">
        <v>43738</v>
      </c>
      <c r="C1088" s="1" t="n">
        <v>45845</v>
      </c>
      <c r="D1088" t="inlineStr">
        <is>
          <t>KRONOBERGS LÄN</t>
        </is>
      </c>
      <c r="E1088" t="inlineStr">
        <is>
          <t>TINGSRYD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51138-2019</t>
        </is>
      </c>
      <c r="B1089" s="1" t="n">
        <v>43739</v>
      </c>
      <c r="C1089" s="1" t="n">
        <v>45845</v>
      </c>
      <c r="D1089" t="inlineStr">
        <is>
          <t>KRONOBERGS LÄN</t>
        </is>
      </c>
      <c r="E1089" t="inlineStr">
        <is>
          <t>TINGSRYD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51132-2019</t>
        </is>
      </c>
      <c r="B1090" s="1" t="n">
        <v>43739</v>
      </c>
      <c r="C1090" s="1" t="n">
        <v>45845</v>
      </c>
      <c r="D1090" t="inlineStr">
        <is>
          <t>KRONOBERGS LÄN</t>
        </is>
      </c>
      <c r="E1090" t="inlineStr">
        <is>
          <t>TINGSRYD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51320-2019</t>
        </is>
      </c>
      <c r="B1091" s="1" t="n">
        <v>43739</v>
      </c>
      <c r="C1091" s="1" t="n">
        <v>45845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51248-2019</t>
        </is>
      </c>
      <c r="B1092" s="1" t="n">
        <v>43739</v>
      </c>
      <c r="C1092" s="1" t="n">
        <v>45845</v>
      </c>
      <c r="D1092" t="inlineStr">
        <is>
          <t>KRONOBERGS LÄN</t>
        </is>
      </c>
      <c r="E1092" t="inlineStr">
        <is>
          <t>ÄLMHULT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51319-2019</t>
        </is>
      </c>
      <c r="B1093" s="1" t="n">
        <v>43739</v>
      </c>
      <c r="C1093" s="1" t="n">
        <v>45845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51059-2019</t>
        </is>
      </c>
      <c r="B1094" s="1" t="n">
        <v>43739</v>
      </c>
      <c r="C1094" s="1" t="n">
        <v>45845</v>
      </c>
      <c r="D1094" t="inlineStr">
        <is>
          <t>KRONOBERGS LÄN</t>
        </is>
      </c>
      <c r="E1094" t="inlineStr">
        <is>
          <t>LESSEBO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51041-2019</t>
        </is>
      </c>
      <c r="B1095" s="1" t="n">
        <v>43739</v>
      </c>
      <c r="C1095" s="1" t="n">
        <v>45845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51153-2019</t>
        </is>
      </c>
      <c r="B1096" s="1" t="n">
        <v>43739</v>
      </c>
      <c r="C1096" s="1" t="n">
        <v>45845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51104-2019</t>
        </is>
      </c>
      <c r="B1097" s="1" t="n">
        <v>43739</v>
      </c>
      <c r="C1097" s="1" t="n">
        <v>45845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52805-2019</t>
        </is>
      </c>
      <c r="B1098" s="1" t="n">
        <v>43739</v>
      </c>
      <c r="C1098" s="1" t="n">
        <v>45845</v>
      </c>
      <c r="D1098" t="inlineStr">
        <is>
          <t>KRONOBERGS LÄN</t>
        </is>
      </c>
      <c r="E1098" t="inlineStr">
        <is>
          <t>VÄXJÖ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51100-2019</t>
        </is>
      </c>
      <c r="B1099" s="1" t="n">
        <v>43739</v>
      </c>
      <c r="C1099" s="1" t="n">
        <v>45845</v>
      </c>
      <c r="D1099" t="inlineStr">
        <is>
          <t>KRONOBERGS LÄN</t>
        </is>
      </c>
      <c r="E1099" t="inlineStr">
        <is>
          <t>LJUNGBY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51068-2019</t>
        </is>
      </c>
      <c r="B1100" s="1" t="n">
        <v>43739</v>
      </c>
      <c r="C1100" s="1" t="n">
        <v>45845</v>
      </c>
      <c r="D1100" t="inlineStr">
        <is>
          <t>KRONOBERGS LÄN</t>
        </is>
      </c>
      <c r="E1100" t="inlineStr">
        <is>
          <t>LESSEBO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51188-2019</t>
        </is>
      </c>
      <c r="B1101" s="1" t="n">
        <v>43739</v>
      </c>
      <c r="C1101" s="1" t="n">
        <v>45845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51445-2019</t>
        </is>
      </c>
      <c r="B1102" s="1" t="n">
        <v>43740</v>
      </c>
      <c r="C1102" s="1" t="n">
        <v>45845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51401-2019</t>
        </is>
      </c>
      <c r="B1103" s="1" t="n">
        <v>43740</v>
      </c>
      <c r="C1103" s="1" t="n">
        <v>45845</v>
      </c>
      <c r="D1103" t="inlineStr">
        <is>
          <t>KRONOBERGS LÄN</t>
        </is>
      </c>
      <c r="E1103" t="inlineStr">
        <is>
          <t>ÄLMHULT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51504-2019</t>
        </is>
      </c>
      <c r="B1104" s="1" t="n">
        <v>43740</v>
      </c>
      <c r="C1104" s="1" t="n">
        <v>45845</v>
      </c>
      <c r="D1104" t="inlineStr">
        <is>
          <t>KRONOBERGS LÄN</t>
        </is>
      </c>
      <c r="E1104" t="inlineStr">
        <is>
          <t>UPPVIDINGE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51586-2019</t>
        </is>
      </c>
      <c r="B1105" s="1" t="n">
        <v>43740</v>
      </c>
      <c r="C1105" s="1" t="n">
        <v>45845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51388-2019</t>
        </is>
      </c>
      <c r="B1106" s="1" t="n">
        <v>43740</v>
      </c>
      <c r="C1106" s="1" t="n">
        <v>45845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51715-2019</t>
        </is>
      </c>
      <c r="B1107" s="1" t="n">
        <v>43741</v>
      </c>
      <c r="C1107" s="1" t="n">
        <v>45845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51911-2019</t>
        </is>
      </c>
      <c r="B1108" s="1" t="n">
        <v>43741</v>
      </c>
      <c r="C1108" s="1" t="n">
        <v>45845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51896-2019</t>
        </is>
      </c>
      <c r="B1109" s="1" t="n">
        <v>43741</v>
      </c>
      <c r="C1109" s="1" t="n">
        <v>45845</v>
      </c>
      <c r="D1109" t="inlineStr">
        <is>
          <t>KRONOBERGS LÄN</t>
        </is>
      </c>
      <c r="E1109" t="inlineStr">
        <is>
          <t>LJUNGBY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51915-2019</t>
        </is>
      </c>
      <c r="B1110" s="1" t="n">
        <v>43741</v>
      </c>
      <c r="C1110" s="1" t="n">
        <v>45845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51903-2019</t>
        </is>
      </c>
      <c r="B1111" s="1" t="n">
        <v>43741</v>
      </c>
      <c r="C1111" s="1" t="n">
        <v>45845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52053-2019</t>
        </is>
      </c>
      <c r="B1112" s="1" t="n">
        <v>43742</v>
      </c>
      <c r="C1112" s="1" t="n">
        <v>45845</v>
      </c>
      <c r="D1112" t="inlineStr">
        <is>
          <t>KRONOBERGS LÄN</t>
        </is>
      </c>
      <c r="E1112" t="inlineStr">
        <is>
          <t>LJUNGBY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52421-2019</t>
        </is>
      </c>
      <c r="B1113" s="1" t="n">
        <v>43745</v>
      </c>
      <c r="C1113" s="1" t="n">
        <v>45845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Kommuner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54033-2019</t>
        </is>
      </c>
      <c r="B1114" s="1" t="n">
        <v>43745</v>
      </c>
      <c r="C1114" s="1" t="n">
        <v>45845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54153-2019</t>
        </is>
      </c>
      <c r="B1115" s="1" t="n">
        <v>43745</v>
      </c>
      <c r="C1115" s="1" t="n">
        <v>45845</v>
      </c>
      <c r="D1115" t="inlineStr">
        <is>
          <t>KRONOBERGS LÄN</t>
        </is>
      </c>
      <c r="E1115" t="inlineStr">
        <is>
          <t>VÄXJÖ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52822-2019</t>
        </is>
      </c>
      <c r="B1116" s="1" t="n">
        <v>43746</v>
      </c>
      <c r="C1116" s="1" t="n">
        <v>45845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52843-2019</t>
        </is>
      </c>
      <c r="B1117" s="1" t="n">
        <v>43746</v>
      </c>
      <c r="C1117" s="1" t="n">
        <v>45845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52984-2019</t>
        </is>
      </c>
      <c r="B1118" s="1" t="n">
        <v>43747</v>
      </c>
      <c r="C1118" s="1" t="n">
        <v>45845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53132-2019</t>
        </is>
      </c>
      <c r="B1119" s="1" t="n">
        <v>43747</v>
      </c>
      <c r="C1119" s="1" t="n">
        <v>45845</v>
      </c>
      <c r="D1119" t="inlineStr">
        <is>
          <t>KRONOBERGS LÄN</t>
        </is>
      </c>
      <c r="E1119" t="inlineStr">
        <is>
          <t>TINGSRYD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54451-2019</t>
        </is>
      </c>
      <c r="B1120" s="1" t="n">
        <v>43747</v>
      </c>
      <c r="C1120" s="1" t="n">
        <v>45845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54499-2019</t>
        </is>
      </c>
      <c r="B1121" s="1" t="n">
        <v>43747</v>
      </c>
      <c r="C1121" s="1" t="n">
        <v>45845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54504-2019</t>
        </is>
      </c>
      <c r="B1122" s="1" t="n">
        <v>43747</v>
      </c>
      <c r="C1122" s="1" t="n">
        <v>45845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54510-2019</t>
        </is>
      </c>
      <c r="B1123" s="1" t="n">
        <v>43747</v>
      </c>
      <c r="C1123" s="1" t="n">
        <v>45845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54516-2019</t>
        </is>
      </c>
      <c r="B1124" s="1" t="n">
        <v>43747</v>
      </c>
      <c r="C1124" s="1" t="n">
        <v>45845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54491-2019</t>
        </is>
      </c>
      <c r="B1125" s="1" t="n">
        <v>43747</v>
      </c>
      <c r="C1125" s="1" t="n">
        <v>45845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54497-2019</t>
        </is>
      </c>
      <c r="B1126" s="1" t="n">
        <v>43747</v>
      </c>
      <c r="C1126" s="1" t="n">
        <v>45845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54501-2019</t>
        </is>
      </c>
      <c r="B1127" s="1" t="n">
        <v>43747</v>
      </c>
      <c r="C1127" s="1" t="n">
        <v>45845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54507-2019</t>
        </is>
      </c>
      <c r="B1128" s="1" t="n">
        <v>43747</v>
      </c>
      <c r="C1128" s="1" t="n">
        <v>45845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54514-2019</t>
        </is>
      </c>
      <c r="B1129" s="1" t="n">
        <v>43747</v>
      </c>
      <c r="C1129" s="1" t="n">
        <v>45845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54521-2019</t>
        </is>
      </c>
      <c r="B1130" s="1" t="n">
        <v>43747</v>
      </c>
      <c r="C1130" s="1" t="n">
        <v>45845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54456-2019</t>
        </is>
      </c>
      <c r="B1131" s="1" t="n">
        <v>43747</v>
      </c>
      <c r="C1131" s="1" t="n">
        <v>45845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54496-2019</t>
        </is>
      </c>
      <c r="B1132" s="1" t="n">
        <v>43747</v>
      </c>
      <c r="C1132" s="1" t="n">
        <v>45845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54518-2019</t>
        </is>
      </c>
      <c r="B1133" s="1" t="n">
        <v>43747</v>
      </c>
      <c r="C1133" s="1" t="n">
        <v>45845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54448-2019</t>
        </is>
      </c>
      <c r="B1134" s="1" t="n">
        <v>43747</v>
      </c>
      <c r="C1134" s="1" t="n">
        <v>45845</v>
      </c>
      <c r="D1134" t="inlineStr">
        <is>
          <t>KRONOBERGS LÄN</t>
        </is>
      </c>
      <c r="E1134" t="inlineStr">
        <is>
          <t>ALVESTA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54493-2019</t>
        </is>
      </c>
      <c r="B1135" s="1" t="n">
        <v>43747</v>
      </c>
      <c r="C1135" s="1" t="n">
        <v>45845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54503-2019</t>
        </is>
      </c>
      <c r="B1136" s="1" t="n">
        <v>43747</v>
      </c>
      <c r="C1136" s="1" t="n">
        <v>45845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54515-2019</t>
        </is>
      </c>
      <c r="B1137" s="1" t="n">
        <v>43747</v>
      </c>
      <c r="C1137" s="1" t="n">
        <v>45845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54509-2019</t>
        </is>
      </c>
      <c r="B1138" s="1" t="n">
        <v>43747</v>
      </c>
      <c r="C1138" s="1" t="n">
        <v>45845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54560-2019</t>
        </is>
      </c>
      <c r="B1139" s="1" t="n">
        <v>43747</v>
      </c>
      <c r="C1139" s="1" t="n">
        <v>45845</v>
      </c>
      <c r="D1139" t="inlineStr">
        <is>
          <t>KRONOBERGS LÄN</t>
        </is>
      </c>
      <c r="E1139" t="inlineStr">
        <is>
          <t>ÄLMHULT</t>
        </is>
      </c>
      <c r="F1139" t="inlineStr">
        <is>
          <t>Kommuner</t>
        </is>
      </c>
      <c r="G1139" t="n">
        <v>17.3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54513-2019</t>
        </is>
      </c>
      <c r="B1140" s="1" t="n">
        <v>43747</v>
      </c>
      <c r="C1140" s="1" t="n">
        <v>45845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54506-2019</t>
        </is>
      </c>
      <c r="B1141" s="1" t="n">
        <v>43747</v>
      </c>
      <c r="C1141" s="1" t="n">
        <v>45845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54500-2019</t>
        </is>
      </c>
      <c r="B1142" s="1" t="n">
        <v>43747</v>
      </c>
      <c r="C1142" s="1" t="n">
        <v>45845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53193-2019</t>
        </is>
      </c>
      <c r="B1143" s="1" t="n">
        <v>43748</v>
      </c>
      <c r="C1143" s="1" t="n">
        <v>45845</v>
      </c>
      <c r="D1143" t="inlineStr">
        <is>
          <t>KRONOBERGS LÄN</t>
        </is>
      </c>
      <c r="E1143" t="inlineStr">
        <is>
          <t>LESSEBO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53464-2019</t>
        </is>
      </c>
      <c r="B1144" s="1" t="n">
        <v>43748</v>
      </c>
      <c r="C1144" s="1" t="n">
        <v>45845</v>
      </c>
      <c r="D1144" t="inlineStr">
        <is>
          <t>KRONOBERGS LÄN</t>
        </is>
      </c>
      <c r="E1144" t="inlineStr">
        <is>
          <t>LESSEBO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53531-2019</t>
        </is>
      </c>
      <c r="B1145" s="1" t="n">
        <v>43749</v>
      </c>
      <c r="C1145" s="1" t="n">
        <v>45845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53686-2019</t>
        </is>
      </c>
      <c r="B1146" s="1" t="n">
        <v>43749</v>
      </c>
      <c r="C1146" s="1" t="n">
        <v>45845</v>
      </c>
      <c r="D1146" t="inlineStr">
        <is>
          <t>KRONOBERGS LÄN</t>
        </is>
      </c>
      <c r="E1146" t="inlineStr">
        <is>
          <t>UPPVIDINGE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54777-2019</t>
        </is>
      </c>
      <c r="B1147" s="1" t="n">
        <v>43749</v>
      </c>
      <c r="C1147" s="1" t="n">
        <v>45845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53530-2019</t>
        </is>
      </c>
      <c r="B1148" s="1" t="n">
        <v>43749</v>
      </c>
      <c r="C1148" s="1" t="n">
        <v>45845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53583-2019</t>
        </is>
      </c>
      <c r="B1149" s="1" t="n">
        <v>43749</v>
      </c>
      <c r="C1149" s="1" t="n">
        <v>45845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53624-2019</t>
        </is>
      </c>
      <c r="B1150" s="1" t="n">
        <v>43749</v>
      </c>
      <c r="C1150" s="1" t="n">
        <v>45845</v>
      </c>
      <c r="D1150" t="inlineStr">
        <is>
          <t>KRONOBERGS LÄN</t>
        </is>
      </c>
      <c r="E1150" t="inlineStr">
        <is>
          <t>TINGSRYD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53543-2019</t>
        </is>
      </c>
      <c r="B1151" s="1" t="n">
        <v>43749</v>
      </c>
      <c r="C1151" s="1" t="n">
        <v>45845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53566-2019</t>
        </is>
      </c>
      <c r="B1152" s="1" t="n">
        <v>43749</v>
      </c>
      <c r="C1152" s="1" t="n">
        <v>45845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54783-2019</t>
        </is>
      </c>
      <c r="B1153" s="1" t="n">
        <v>43749</v>
      </c>
      <c r="C1153" s="1" t="n">
        <v>45845</v>
      </c>
      <c r="D1153" t="inlineStr">
        <is>
          <t>KRONOBERGS LÄN</t>
        </is>
      </c>
      <c r="E1153" t="inlineStr">
        <is>
          <t>ALVESTA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53800-2019</t>
        </is>
      </c>
      <c r="B1154" s="1" t="n">
        <v>43751</v>
      </c>
      <c r="C1154" s="1" t="n">
        <v>45845</v>
      </c>
      <c r="D1154" t="inlineStr">
        <is>
          <t>KRONOBERGS LÄN</t>
        </is>
      </c>
      <c r="E1154" t="inlineStr">
        <is>
          <t>TINGSRYD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53902-2019</t>
        </is>
      </c>
      <c r="B1155" s="1" t="n">
        <v>43752</v>
      </c>
      <c r="C1155" s="1" t="n">
        <v>45845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53956-2019</t>
        </is>
      </c>
      <c r="B1156" s="1" t="n">
        <v>43752</v>
      </c>
      <c r="C1156" s="1" t="n">
        <v>45845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54113-2019</t>
        </is>
      </c>
      <c r="B1157" s="1" t="n">
        <v>43752</v>
      </c>
      <c r="C1157" s="1" t="n">
        <v>45845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53897-2019</t>
        </is>
      </c>
      <c r="B1158" s="1" t="n">
        <v>43752</v>
      </c>
      <c r="C1158" s="1" t="n">
        <v>45845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54222-2019</t>
        </is>
      </c>
      <c r="B1159" s="1" t="n">
        <v>43753</v>
      </c>
      <c r="C1159" s="1" t="n">
        <v>45845</v>
      </c>
      <c r="D1159" t="inlineStr">
        <is>
          <t>KRONOBERGS LÄN</t>
        </is>
      </c>
      <c r="E1159" t="inlineStr">
        <is>
          <t>ALVESTA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54218-2019</t>
        </is>
      </c>
      <c r="B1160" s="1" t="n">
        <v>43753</v>
      </c>
      <c r="C1160" s="1" t="n">
        <v>45845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54226-2019</t>
        </is>
      </c>
      <c r="B1161" s="1" t="n">
        <v>43753</v>
      </c>
      <c r="C1161" s="1" t="n">
        <v>45845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54233-2019</t>
        </is>
      </c>
      <c r="B1162" s="1" t="n">
        <v>43753</v>
      </c>
      <c r="C1162" s="1" t="n">
        <v>45845</v>
      </c>
      <c r="D1162" t="inlineStr">
        <is>
          <t>KRONOBERGS LÄN</t>
        </is>
      </c>
      <c r="E1162" t="inlineStr">
        <is>
          <t>TINGSRYD</t>
        </is>
      </c>
      <c r="F1162" t="inlineStr">
        <is>
          <t>Kyrkan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54318-2019</t>
        </is>
      </c>
      <c r="B1163" s="1" t="n">
        <v>43753</v>
      </c>
      <c r="C1163" s="1" t="n">
        <v>45845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54582-2019</t>
        </is>
      </c>
      <c r="B1164" s="1" t="n">
        <v>43754</v>
      </c>
      <c r="C1164" s="1" t="n">
        <v>45845</v>
      </c>
      <c r="D1164" t="inlineStr">
        <is>
          <t>KRONOBERGS LÄN</t>
        </is>
      </c>
      <c r="E1164" t="inlineStr">
        <is>
          <t>TINGSRYD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54657-2019</t>
        </is>
      </c>
      <c r="B1165" s="1" t="n">
        <v>43754</v>
      </c>
      <c r="C1165" s="1" t="n">
        <v>45845</v>
      </c>
      <c r="D1165" t="inlineStr">
        <is>
          <t>KRONOBERGS LÄN</t>
        </is>
      </c>
      <c r="E1165" t="inlineStr">
        <is>
          <t>UPPVIDINGE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54964-2019</t>
        </is>
      </c>
      <c r="B1166" s="1" t="n">
        <v>43755</v>
      </c>
      <c r="C1166" s="1" t="n">
        <v>45845</v>
      </c>
      <c r="D1166" t="inlineStr">
        <is>
          <t>KRONOBERGS LÄN</t>
        </is>
      </c>
      <c r="E1166" t="inlineStr">
        <is>
          <t>ALVESTA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55614-2019</t>
        </is>
      </c>
      <c r="B1167" s="1" t="n">
        <v>43755</v>
      </c>
      <c r="C1167" s="1" t="n">
        <v>45845</v>
      </c>
      <c r="D1167" t="inlineStr">
        <is>
          <t>KRONOBERGS LÄN</t>
        </is>
      </c>
      <c r="E1167" t="inlineStr">
        <is>
          <t>MARKARYD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55044-2019</t>
        </is>
      </c>
      <c r="B1168" s="1" t="n">
        <v>43756</v>
      </c>
      <c r="C1168" s="1" t="n">
        <v>45845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55112-2019</t>
        </is>
      </c>
      <c r="B1169" s="1" t="n">
        <v>43756</v>
      </c>
      <c r="C1169" s="1" t="n">
        <v>45845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55041-2019</t>
        </is>
      </c>
      <c r="B1170" s="1" t="n">
        <v>43756</v>
      </c>
      <c r="C1170" s="1" t="n">
        <v>45845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55348-2019</t>
        </is>
      </c>
      <c r="B1171" s="1" t="n">
        <v>43756</v>
      </c>
      <c r="C1171" s="1" t="n">
        <v>45845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55542-2019</t>
        </is>
      </c>
      <c r="B1172" s="1" t="n">
        <v>43756</v>
      </c>
      <c r="C1172" s="1" t="n">
        <v>45845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55430-2019</t>
        </is>
      </c>
      <c r="B1173" s="1" t="n">
        <v>43756</v>
      </c>
      <c r="C1173" s="1" t="n">
        <v>45845</v>
      </c>
      <c r="D1173" t="inlineStr">
        <is>
          <t>KRONOBERGS LÄN</t>
        </is>
      </c>
      <c r="E1173" t="inlineStr">
        <is>
          <t>UPPVIDINGE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56396-2019</t>
        </is>
      </c>
      <c r="B1174" s="1" t="n">
        <v>43756</v>
      </c>
      <c r="C1174" s="1" t="n">
        <v>45845</v>
      </c>
      <c r="D1174" t="inlineStr">
        <is>
          <t>KRONOBERGS LÄN</t>
        </is>
      </c>
      <c r="E1174" t="inlineStr">
        <is>
          <t>UPPVIDINGE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55429-2019</t>
        </is>
      </c>
      <c r="B1175" s="1" t="n">
        <v>43756</v>
      </c>
      <c r="C1175" s="1" t="n">
        <v>45845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55042-2019</t>
        </is>
      </c>
      <c r="B1176" s="1" t="n">
        <v>43756</v>
      </c>
      <c r="C1176" s="1" t="n">
        <v>45845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55404-2019</t>
        </is>
      </c>
      <c r="B1177" s="1" t="n">
        <v>43758</v>
      </c>
      <c r="C1177" s="1" t="n">
        <v>45845</v>
      </c>
      <c r="D1177" t="inlineStr">
        <is>
          <t>KRONOBERGS LÄN</t>
        </is>
      </c>
      <c r="E1177" t="inlineStr">
        <is>
          <t>UPPVIDINGE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55541-2019</t>
        </is>
      </c>
      <c r="B1178" s="1" t="n">
        <v>43759</v>
      </c>
      <c r="C1178" s="1" t="n">
        <v>45845</v>
      </c>
      <c r="D1178" t="inlineStr">
        <is>
          <t>KRONOBERGS LÄN</t>
        </is>
      </c>
      <c r="E1178" t="inlineStr">
        <is>
          <t>TINGSRYD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55957-2019</t>
        </is>
      </c>
      <c r="B1179" s="1" t="n">
        <v>43759</v>
      </c>
      <c r="C1179" s="1" t="n">
        <v>45845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56666-2019</t>
        </is>
      </c>
      <c r="B1180" s="1" t="n">
        <v>43759</v>
      </c>
      <c r="C1180" s="1" t="n">
        <v>45845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56068-2019</t>
        </is>
      </c>
      <c r="B1181" s="1" t="n">
        <v>43759</v>
      </c>
      <c r="C1181" s="1" t="n">
        <v>45845</v>
      </c>
      <c r="D1181" t="inlineStr">
        <is>
          <t>KRONOBERGS LÄN</t>
        </is>
      </c>
      <c r="E1181" t="inlineStr">
        <is>
          <t>LJUNGBY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55994-2019</t>
        </is>
      </c>
      <c r="B1182" s="1" t="n">
        <v>43761</v>
      </c>
      <c r="C1182" s="1" t="n">
        <v>45845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56079-2019</t>
        </is>
      </c>
      <c r="B1183" s="1" t="n">
        <v>43761</v>
      </c>
      <c r="C1183" s="1" t="n">
        <v>45845</v>
      </c>
      <c r="D1183" t="inlineStr">
        <is>
          <t>KRONOBERGS LÄN</t>
        </is>
      </c>
      <c r="E1183" t="inlineStr">
        <is>
          <t>ÄLMHULT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56002-2019</t>
        </is>
      </c>
      <c r="B1184" s="1" t="n">
        <v>43761</v>
      </c>
      <c r="C1184" s="1" t="n">
        <v>45845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56555-2019</t>
        </is>
      </c>
      <c r="B1185" s="1" t="n">
        <v>43763</v>
      </c>
      <c r="C1185" s="1" t="n">
        <v>45845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56564-2019</t>
        </is>
      </c>
      <c r="B1186" s="1" t="n">
        <v>43763</v>
      </c>
      <c r="C1186" s="1" t="n">
        <v>45845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56775-2019</t>
        </is>
      </c>
      <c r="B1187" s="1" t="n">
        <v>43763</v>
      </c>
      <c r="C1187" s="1" t="n">
        <v>45845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56784-2019</t>
        </is>
      </c>
      <c r="B1188" s="1" t="n">
        <v>43763</v>
      </c>
      <c r="C1188" s="1" t="n">
        <v>45845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56771-2019</t>
        </is>
      </c>
      <c r="B1189" s="1" t="n">
        <v>43763</v>
      </c>
      <c r="C1189" s="1" t="n">
        <v>45845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58529-2019</t>
        </is>
      </c>
      <c r="B1190" s="1" t="n">
        <v>43766</v>
      </c>
      <c r="C1190" s="1" t="n">
        <v>45845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57106-2019</t>
        </is>
      </c>
      <c r="B1191" s="1" t="n">
        <v>43766</v>
      </c>
      <c r="C1191" s="1" t="n">
        <v>45845</v>
      </c>
      <c r="D1191" t="inlineStr">
        <is>
          <t>KRONOBERGS LÄN</t>
        </is>
      </c>
      <c r="E1191" t="inlineStr">
        <is>
          <t>UPPVIDINGE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57306-2019</t>
        </is>
      </c>
      <c r="B1192" s="1" t="n">
        <v>43767</v>
      </c>
      <c r="C1192" s="1" t="n">
        <v>45845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57544-2019</t>
        </is>
      </c>
      <c r="B1193" s="1" t="n">
        <v>43767</v>
      </c>
      <c r="C1193" s="1" t="n">
        <v>45845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57383-2019</t>
        </is>
      </c>
      <c r="B1194" s="1" t="n">
        <v>43767</v>
      </c>
      <c r="C1194" s="1" t="n">
        <v>45845</v>
      </c>
      <c r="D1194" t="inlineStr">
        <is>
          <t>KRONOBERGS LÄN</t>
        </is>
      </c>
      <c r="E1194" t="inlineStr">
        <is>
          <t>VÄXJÖ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57681-2019</t>
        </is>
      </c>
      <c r="B1195" s="1" t="n">
        <v>43768</v>
      </c>
      <c r="C1195" s="1" t="n">
        <v>45845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57959-2019</t>
        </is>
      </c>
      <c r="B1196" s="1" t="n">
        <v>43769</v>
      </c>
      <c r="C1196" s="1" t="n">
        <v>45845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57927-2019</t>
        </is>
      </c>
      <c r="B1197" s="1" t="n">
        <v>43769</v>
      </c>
      <c r="C1197" s="1" t="n">
        <v>45845</v>
      </c>
      <c r="D1197" t="inlineStr">
        <is>
          <t>KRONOBERGS LÄN</t>
        </is>
      </c>
      <c r="E1197" t="inlineStr">
        <is>
          <t>UPPVIDINGE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58137-2019</t>
        </is>
      </c>
      <c r="B1198" s="1" t="n">
        <v>43769</v>
      </c>
      <c r="C1198" s="1" t="n">
        <v>45845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58726-2019</t>
        </is>
      </c>
      <c r="B1199" s="1" t="n">
        <v>43773</v>
      </c>
      <c r="C1199" s="1" t="n">
        <v>45845</v>
      </c>
      <c r="D1199" t="inlineStr">
        <is>
          <t>KRONOBERGS LÄN</t>
        </is>
      </c>
      <c r="E1199" t="inlineStr">
        <is>
          <t>ÄLMHULT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58777-2019</t>
        </is>
      </c>
      <c r="B1200" s="1" t="n">
        <v>43773</v>
      </c>
      <c r="C1200" s="1" t="n">
        <v>45845</v>
      </c>
      <c r="D1200" t="inlineStr">
        <is>
          <t>KRONOBERGS LÄN</t>
        </is>
      </c>
      <c r="E1200" t="inlineStr">
        <is>
          <t>ÄLMHULT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58781-2019</t>
        </is>
      </c>
      <c r="B1201" s="1" t="n">
        <v>43773</v>
      </c>
      <c r="C1201" s="1" t="n">
        <v>45845</v>
      </c>
      <c r="D1201" t="inlineStr">
        <is>
          <t>KRONOBERGS LÄN</t>
        </is>
      </c>
      <c r="E1201" t="inlineStr">
        <is>
          <t>LJUNGBY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58485-2019</t>
        </is>
      </c>
      <c r="B1202" s="1" t="n">
        <v>43773</v>
      </c>
      <c r="C1202" s="1" t="n">
        <v>45845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59063-2019</t>
        </is>
      </c>
      <c r="B1203" s="1" t="n">
        <v>43774</v>
      </c>
      <c r="C1203" s="1" t="n">
        <v>45845</v>
      </c>
      <c r="D1203" t="inlineStr">
        <is>
          <t>KRONOBERGS LÄN</t>
        </is>
      </c>
      <c r="E1203" t="inlineStr">
        <is>
          <t>ALVESTA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59065-2019</t>
        </is>
      </c>
      <c r="B1204" s="1" t="n">
        <v>43774</v>
      </c>
      <c r="C1204" s="1" t="n">
        <v>45845</v>
      </c>
      <c r="D1204" t="inlineStr">
        <is>
          <t>KRONOBERGS LÄN</t>
        </is>
      </c>
      <c r="E1204" t="inlineStr">
        <is>
          <t>ALVESTA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59703-2019</t>
        </is>
      </c>
      <c r="B1205" s="1" t="n">
        <v>43774</v>
      </c>
      <c r="C1205" s="1" t="n">
        <v>45845</v>
      </c>
      <c r="D1205" t="inlineStr">
        <is>
          <t>KRONOBERGS LÄN</t>
        </is>
      </c>
      <c r="E1205" t="inlineStr">
        <is>
          <t>ALVESTA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59708-2019</t>
        </is>
      </c>
      <c r="B1206" s="1" t="n">
        <v>43774</v>
      </c>
      <c r="C1206" s="1" t="n">
        <v>45845</v>
      </c>
      <c r="D1206" t="inlineStr">
        <is>
          <t>KRONOBERGS LÄN</t>
        </is>
      </c>
      <c r="E1206" t="inlineStr">
        <is>
          <t>ALVESTA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59062-2019</t>
        </is>
      </c>
      <c r="B1207" s="1" t="n">
        <v>43774</v>
      </c>
      <c r="C1207" s="1" t="n">
        <v>45845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59031-2019</t>
        </is>
      </c>
      <c r="B1208" s="1" t="n">
        <v>43774</v>
      </c>
      <c r="C1208" s="1" t="n">
        <v>45845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59234-2019</t>
        </is>
      </c>
      <c r="B1209" s="1" t="n">
        <v>43775</v>
      </c>
      <c r="C1209" s="1" t="n">
        <v>45845</v>
      </c>
      <c r="D1209" t="inlineStr">
        <is>
          <t>KRONOBERGS LÄN</t>
        </is>
      </c>
      <c r="E1209" t="inlineStr">
        <is>
          <t>ÄLMHULT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59236-2019</t>
        </is>
      </c>
      <c r="B1210" s="1" t="n">
        <v>43775</v>
      </c>
      <c r="C1210" s="1" t="n">
        <v>45845</v>
      </c>
      <c r="D1210" t="inlineStr">
        <is>
          <t>KRONOBERGS LÄN</t>
        </is>
      </c>
      <c r="E1210" t="inlineStr">
        <is>
          <t>ÄLMHULT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59247-2019</t>
        </is>
      </c>
      <c r="B1211" s="1" t="n">
        <v>43775</v>
      </c>
      <c r="C1211" s="1" t="n">
        <v>45845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59200-2019</t>
        </is>
      </c>
      <c r="B1212" s="1" t="n">
        <v>43775</v>
      </c>
      <c r="C1212" s="1" t="n">
        <v>45845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59666-2019</t>
        </is>
      </c>
      <c r="B1213" s="1" t="n">
        <v>43776</v>
      </c>
      <c r="C1213" s="1" t="n">
        <v>45845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59443-2019</t>
        </is>
      </c>
      <c r="B1214" s="1" t="n">
        <v>43776</v>
      </c>
      <c r="C1214" s="1" t="n">
        <v>45845</v>
      </c>
      <c r="D1214" t="inlineStr">
        <is>
          <t>KRONOBERGS LÄN</t>
        </is>
      </c>
      <c r="E1214" t="inlineStr">
        <is>
          <t>TINGSRYD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59530-2019</t>
        </is>
      </c>
      <c r="B1215" s="1" t="n">
        <v>43776</v>
      </c>
      <c r="C1215" s="1" t="n">
        <v>45845</v>
      </c>
      <c r="D1215" t="inlineStr">
        <is>
          <t>KRONOBERGS LÄN</t>
        </is>
      </c>
      <c r="E1215" t="inlineStr">
        <is>
          <t>TINGSRYD</t>
        </is>
      </c>
      <c r="F1215" t="inlineStr">
        <is>
          <t>Övriga Aktiebolag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59513-2019</t>
        </is>
      </c>
      <c r="B1216" s="1" t="n">
        <v>43776</v>
      </c>
      <c r="C1216" s="1" t="n">
        <v>45845</v>
      </c>
      <c r="D1216" t="inlineStr">
        <is>
          <t>KRONOBERGS LÄN</t>
        </is>
      </c>
      <c r="E1216" t="inlineStr">
        <is>
          <t>UPPVIDINGE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59848-2019</t>
        </is>
      </c>
      <c r="B1217" s="1" t="n">
        <v>43777</v>
      </c>
      <c r="C1217" s="1" t="n">
        <v>45845</v>
      </c>
      <c r="D1217" t="inlineStr">
        <is>
          <t>KRONOBERGS LÄN</t>
        </is>
      </c>
      <c r="E1217" t="inlineStr">
        <is>
          <t>ALVESTA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59945-2019</t>
        </is>
      </c>
      <c r="B1218" s="1" t="n">
        <v>43777</v>
      </c>
      <c r="C1218" s="1" t="n">
        <v>45845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59851-2019</t>
        </is>
      </c>
      <c r="B1219" s="1" t="n">
        <v>43777</v>
      </c>
      <c r="C1219" s="1" t="n">
        <v>45845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60493-2019</t>
        </is>
      </c>
      <c r="B1220" s="1" t="n">
        <v>43780</v>
      </c>
      <c r="C1220" s="1" t="n">
        <v>45845</v>
      </c>
      <c r="D1220" t="inlineStr">
        <is>
          <t>KRONOBERGS LÄN</t>
        </is>
      </c>
      <c r="E1220" t="inlineStr">
        <is>
          <t>LJUNGBY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60339-2019</t>
        </is>
      </c>
      <c r="B1221" s="1" t="n">
        <v>43780</v>
      </c>
      <c r="C1221" s="1" t="n">
        <v>45845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60156-2019</t>
        </is>
      </c>
      <c r="B1222" s="1" t="n">
        <v>43780</v>
      </c>
      <c r="C1222" s="1" t="n">
        <v>45845</v>
      </c>
      <c r="D1222" t="inlineStr">
        <is>
          <t>KRONOBERGS LÄN</t>
        </is>
      </c>
      <c r="E1222" t="inlineStr">
        <is>
          <t>LJUNGBY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60526-2019</t>
        </is>
      </c>
      <c r="B1223" s="1" t="n">
        <v>43781</v>
      </c>
      <c r="C1223" s="1" t="n">
        <v>45845</v>
      </c>
      <c r="D1223" t="inlineStr">
        <is>
          <t>KRONOBERGS LÄN</t>
        </is>
      </c>
      <c r="E1223" t="inlineStr">
        <is>
          <t>ALVESTA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61041-2019</t>
        </is>
      </c>
      <c r="B1224" s="1" t="n">
        <v>43782</v>
      </c>
      <c r="C1224" s="1" t="n">
        <v>45845</v>
      </c>
      <c r="D1224" t="inlineStr">
        <is>
          <t>KRONOBERGS LÄN</t>
        </is>
      </c>
      <c r="E1224" t="inlineStr">
        <is>
          <t>UPPVIDINGE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61153-2019</t>
        </is>
      </c>
      <c r="B1225" s="1" t="n">
        <v>43782</v>
      </c>
      <c r="C1225" s="1" t="n">
        <v>45845</v>
      </c>
      <c r="D1225" t="inlineStr">
        <is>
          <t>KRONOBERGS LÄN</t>
        </is>
      </c>
      <c r="E1225" t="inlineStr">
        <is>
          <t>VÄXJÖ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61363-2019</t>
        </is>
      </c>
      <c r="B1226" s="1" t="n">
        <v>43783</v>
      </c>
      <c r="C1226" s="1" t="n">
        <v>45845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61281-2019</t>
        </is>
      </c>
      <c r="B1227" s="1" t="n">
        <v>43783</v>
      </c>
      <c r="C1227" s="1" t="n">
        <v>45845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61369-2019</t>
        </is>
      </c>
      <c r="B1228" s="1" t="n">
        <v>43783</v>
      </c>
      <c r="C1228" s="1" t="n">
        <v>45845</v>
      </c>
      <c r="D1228" t="inlineStr">
        <is>
          <t>KRONOBERGS LÄN</t>
        </is>
      </c>
      <c r="E1228" t="inlineStr">
        <is>
          <t>MARKARYD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61243-2019</t>
        </is>
      </c>
      <c r="B1229" s="1" t="n">
        <v>43783</v>
      </c>
      <c r="C1229" s="1" t="n">
        <v>45845</v>
      </c>
      <c r="D1229" t="inlineStr">
        <is>
          <t>KRONOBERGS LÄN</t>
        </is>
      </c>
      <c r="E1229" t="inlineStr">
        <is>
          <t>VÄXJÖ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61892-2019</t>
        </is>
      </c>
      <c r="B1230" s="1" t="n">
        <v>43787</v>
      </c>
      <c r="C1230" s="1" t="n">
        <v>45845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62051-2019</t>
        </is>
      </c>
      <c r="B1231" s="1" t="n">
        <v>43787</v>
      </c>
      <c r="C1231" s="1" t="n">
        <v>45845</v>
      </c>
      <c r="D1231" t="inlineStr">
        <is>
          <t>KRONOBERGS LÄN</t>
        </is>
      </c>
      <c r="E1231" t="inlineStr">
        <is>
          <t>LJUNGBY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62121-2019</t>
        </is>
      </c>
      <c r="B1232" s="1" t="n">
        <v>43787</v>
      </c>
      <c r="C1232" s="1" t="n">
        <v>45845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62156-2019</t>
        </is>
      </c>
      <c r="B1233" s="1" t="n">
        <v>43787</v>
      </c>
      <c r="C1233" s="1" t="n">
        <v>45845</v>
      </c>
      <c r="D1233" t="inlineStr">
        <is>
          <t>KRONOBERGS LÄN</t>
        </is>
      </c>
      <c r="E1233" t="inlineStr">
        <is>
          <t>ALVESTA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62213-2019</t>
        </is>
      </c>
      <c r="B1234" s="1" t="n">
        <v>43788</v>
      </c>
      <c r="C1234" s="1" t="n">
        <v>45845</v>
      </c>
      <c r="D1234" t="inlineStr">
        <is>
          <t>KRONOBERGS LÄN</t>
        </is>
      </c>
      <c r="E1234" t="inlineStr">
        <is>
          <t>MARKARYD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63395-2019</t>
        </is>
      </c>
      <c r="B1235" s="1" t="n">
        <v>43788</v>
      </c>
      <c r="C1235" s="1" t="n">
        <v>45845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62670-2019</t>
        </is>
      </c>
      <c r="B1236" s="1" t="n">
        <v>43789</v>
      </c>
      <c r="C1236" s="1" t="n">
        <v>45845</v>
      </c>
      <c r="D1236" t="inlineStr">
        <is>
          <t>KRONOBERGS LÄN</t>
        </is>
      </c>
      <c r="E1236" t="inlineStr">
        <is>
          <t>MARKARYD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62687-2019</t>
        </is>
      </c>
      <c r="B1237" s="1" t="n">
        <v>43789</v>
      </c>
      <c r="C1237" s="1" t="n">
        <v>45845</v>
      </c>
      <c r="D1237" t="inlineStr">
        <is>
          <t>KRONOBERGS LÄN</t>
        </is>
      </c>
      <c r="E1237" t="inlineStr">
        <is>
          <t>LJUNGBY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62658-2019</t>
        </is>
      </c>
      <c r="B1238" s="1" t="n">
        <v>43789</v>
      </c>
      <c r="C1238" s="1" t="n">
        <v>45845</v>
      </c>
      <c r="D1238" t="inlineStr">
        <is>
          <t>KRONOBERGS LÄN</t>
        </is>
      </c>
      <c r="E1238" t="inlineStr">
        <is>
          <t>UPPVIDINGE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62668-2019</t>
        </is>
      </c>
      <c r="B1239" s="1" t="n">
        <v>43789</v>
      </c>
      <c r="C1239" s="1" t="n">
        <v>45845</v>
      </c>
      <c r="D1239" t="inlineStr">
        <is>
          <t>KRONOBERGS LÄN</t>
        </is>
      </c>
      <c r="E1239" t="inlineStr">
        <is>
          <t>MARKARYD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62769-2019</t>
        </is>
      </c>
      <c r="B1240" s="1" t="n">
        <v>43790</v>
      </c>
      <c r="C1240" s="1" t="n">
        <v>45845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62779-2019</t>
        </is>
      </c>
      <c r="B1241" s="1" t="n">
        <v>43790</v>
      </c>
      <c r="C1241" s="1" t="n">
        <v>45845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62956-2019</t>
        </is>
      </c>
      <c r="B1242" s="1" t="n">
        <v>43790</v>
      </c>
      <c r="C1242" s="1" t="n">
        <v>45845</v>
      </c>
      <c r="D1242" t="inlineStr">
        <is>
          <t>KRONOBERGS LÄN</t>
        </is>
      </c>
      <c r="E1242" t="inlineStr">
        <is>
          <t>LESSEBO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62761-2019</t>
        </is>
      </c>
      <c r="B1243" s="1" t="n">
        <v>43790</v>
      </c>
      <c r="C1243" s="1" t="n">
        <v>45845</v>
      </c>
      <c r="D1243" t="inlineStr">
        <is>
          <t>KRONOBERGS LÄN</t>
        </is>
      </c>
      <c r="E1243" t="inlineStr">
        <is>
          <t>VÄXJÖ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63081-2019</t>
        </is>
      </c>
      <c r="B1244" s="1" t="n">
        <v>43791</v>
      </c>
      <c r="C1244" s="1" t="n">
        <v>45845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63132-2019</t>
        </is>
      </c>
      <c r="B1245" s="1" t="n">
        <v>43791</v>
      </c>
      <c r="C1245" s="1" t="n">
        <v>45845</v>
      </c>
      <c r="D1245" t="inlineStr">
        <is>
          <t>KRONOBERGS LÄN</t>
        </is>
      </c>
      <c r="E1245" t="inlineStr">
        <is>
          <t>LESSEBO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63156-2019</t>
        </is>
      </c>
      <c r="B1246" s="1" t="n">
        <v>43791</v>
      </c>
      <c r="C1246" s="1" t="n">
        <v>45845</v>
      </c>
      <c r="D1246" t="inlineStr">
        <is>
          <t>KRONOBERGS LÄN</t>
        </is>
      </c>
      <c r="E1246" t="inlineStr">
        <is>
          <t>VÄXJÖ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63166-2019</t>
        </is>
      </c>
      <c r="B1247" s="1" t="n">
        <v>43791</v>
      </c>
      <c r="C1247" s="1" t="n">
        <v>45845</v>
      </c>
      <c r="D1247" t="inlineStr">
        <is>
          <t>KRONOBERGS LÄN</t>
        </is>
      </c>
      <c r="E1247" t="inlineStr">
        <is>
          <t>UPPVIDINGE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63174-2019</t>
        </is>
      </c>
      <c r="B1248" s="1" t="n">
        <v>43791</v>
      </c>
      <c r="C1248" s="1" t="n">
        <v>45845</v>
      </c>
      <c r="D1248" t="inlineStr">
        <is>
          <t>KRONOBERGS LÄN</t>
        </is>
      </c>
      <c r="E1248" t="inlineStr">
        <is>
          <t>ÄLMHULT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63171-2019</t>
        </is>
      </c>
      <c r="B1249" s="1" t="n">
        <v>43791</v>
      </c>
      <c r="C1249" s="1" t="n">
        <v>45845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63461-2019</t>
        </is>
      </c>
      <c r="B1250" s="1" t="n">
        <v>43794</v>
      </c>
      <c r="C1250" s="1" t="n">
        <v>45845</v>
      </c>
      <c r="D1250" t="inlineStr">
        <is>
          <t>KRONOBERGS LÄN</t>
        </is>
      </c>
      <c r="E1250" t="inlineStr">
        <is>
          <t>ALVESTA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63531-2019</t>
        </is>
      </c>
      <c r="B1251" s="1" t="n">
        <v>43794</v>
      </c>
      <c r="C1251" s="1" t="n">
        <v>45845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63608-2019</t>
        </is>
      </c>
      <c r="B1252" s="1" t="n">
        <v>43795</v>
      </c>
      <c r="C1252" s="1" t="n">
        <v>45845</v>
      </c>
      <c r="D1252" t="inlineStr">
        <is>
          <t>KRONOBERGS LÄN</t>
        </is>
      </c>
      <c r="E1252" t="inlineStr">
        <is>
          <t>TINGSRYD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63638-2019</t>
        </is>
      </c>
      <c r="B1253" s="1" t="n">
        <v>43795</v>
      </c>
      <c r="C1253" s="1" t="n">
        <v>45845</v>
      </c>
      <c r="D1253" t="inlineStr">
        <is>
          <t>KRONOBERGS LÄN</t>
        </is>
      </c>
      <c r="E1253" t="inlineStr">
        <is>
          <t>ALVESTA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HYPERLINK("https://klasma.github.io/Logging_0764/knärot/A 63638-2019 karta knärot.png", "A 63638-2019")</f>
        <v/>
      </c>
      <c r="V1253">
        <f>HYPERLINK("https://klasma.github.io/Logging_0764/klagomål/A 63638-2019 FSC-klagomål.docx", "A 63638-2019")</f>
        <v/>
      </c>
      <c r="W1253">
        <f>HYPERLINK("https://klasma.github.io/Logging_0764/klagomålsmail/A 63638-2019 FSC-klagomål mail.docx", "A 63638-2019")</f>
        <v/>
      </c>
      <c r="X1253">
        <f>HYPERLINK("https://klasma.github.io/Logging_0764/tillsyn/A 63638-2019 tillsynsbegäran.docx", "A 63638-2019")</f>
        <v/>
      </c>
      <c r="Y1253">
        <f>HYPERLINK("https://klasma.github.io/Logging_0764/tillsynsmail/A 63638-2019 tillsynsbegäran mail.docx", "A 63638-2019")</f>
        <v/>
      </c>
    </row>
    <row r="1254" ht="15" customHeight="1">
      <c r="A1254" t="inlineStr">
        <is>
          <t>A 63633-2019</t>
        </is>
      </c>
      <c r="B1254" s="1" t="n">
        <v>43795</v>
      </c>
      <c r="C1254" s="1" t="n">
        <v>45845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63631-2019</t>
        </is>
      </c>
      <c r="B1255" s="1" t="n">
        <v>43795</v>
      </c>
      <c r="C1255" s="1" t="n">
        <v>45845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63609-2019</t>
        </is>
      </c>
      <c r="B1256" s="1" t="n">
        <v>43795</v>
      </c>
      <c r="C1256" s="1" t="n">
        <v>45845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63639-2019</t>
        </is>
      </c>
      <c r="B1257" s="1" t="n">
        <v>43795</v>
      </c>
      <c r="C1257" s="1" t="n">
        <v>45845</v>
      </c>
      <c r="D1257" t="inlineStr">
        <is>
          <t>KRONOBERGS LÄN</t>
        </is>
      </c>
      <c r="E1257" t="inlineStr">
        <is>
          <t>ALVESTA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63664-2019</t>
        </is>
      </c>
      <c r="B1258" s="1" t="n">
        <v>43795</v>
      </c>
      <c r="C1258" s="1" t="n">
        <v>45845</v>
      </c>
      <c r="D1258" t="inlineStr">
        <is>
          <t>KRONOBERGS LÄN</t>
        </is>
      </c>
      <c r="E1258" t="inlineStr">
        <is>
          <t>ÄLMHULT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63814-2019</t>
        </is>
      </c>
      <c r="B1259" s="1" t="n">
        <v>43795</v>
      </c>
      <c r="C1259" s="1" t="n">
        <v>45845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63936-2019</t>
        </is>
      </c>
      <c r="B1260" s="1" t="n">
        <v>43796</v>
      </c>
      <c r="C1260" s="1" t="n">
        <v>45845</v>
      </c>
      <c r="D1260" t="inlineStr">
        <is>
          <t>KRONOBERGS LÄN</t>
        </is>
      </c>
      <c r="E1260" t="inlineStr">
        <is>
          <t>TINGSRYD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64024-2019</t>
        </is>
      </c>
      <c r="B1261" s="1" t="n">
        <v>43796</v>
      </c>
      <c r="C1261" s="1" t="n">
        <v>45845</v>
      </c>
      <c r="D1261" t="inlineStr">
        <is>
          <t>KRONOBERGS LÄN</t>
        </is>
      </c>
      <c r="E1261" t="inlineStr">
        <is>
          <t>VÄXJÖ</t>
        </is>
      </c>
      <c r="F1261" t="inlineStr">
        <is>
          <t>Kyrkan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63847-2019</t>
        </is>
      </c>
      <c r="B1262" s="1" t="n">
        <v>43796</v>
      </c>
      <c r="C1262" s="1" t="n">
        <v>45845</v>
      </c>
      <c r="D1262" t="inlineStr">
        <is>
          <t>KRONOBERGS LÄN</t>
        </is>
      </c>
      <c r="E1262" t="inlineStr">
        <is>
          <t>ÄLMHULT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64034-2019</t>
        </is>
      </c>
      <c r="B1263" s="1" t="n">
        <v>43796</v>
      </c>
      <c r="C1263" s="1" t="n">
        <v>45845</v>
      </c>
      <c r="D1263" t="inlineStr">
        <is>
          <t>KRONOBERGS LÄN</t>
        </is>
      </c>
      <c r="E1263" t="inlineStr">
        <is>
          <t>VÄXJÖ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63854-2019</t>
        </is>
      </c>
      <c r="B1264" s="1" t="n">
        <v>43796</v>
      </c>
      <c r="C1264" s="1" t="n">
        <v>45845</v>
      </c>
      <c r="D1264" t="inlineStr">
        <is>
          <t>KRONOBERGS LÄN</t>
        </is>
      </c>
      <c r="E1264" t="inlineStr">
        <is>
          <t>TINGSRYD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64038-2019</t>
        </is>
      </c>
      <c r="B1265" s="1" t="n">
        <v>43796</v>
      </c>
      <c r="C1265" s="1" t="n">
        <v>45845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64075-2019</t>
        </is>
      </c>
      <c r="B1266" s="1" t="n">
        <v>43796</v>
      </c>
      <c r="C1266" s="1" t="n">
        <v>45845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64202-2019</t>
        </is>
      </c>
      <c r="B1267" s="1" t="n">
        <v>43797</v>
      </c>
      <c r="C1267" s="1" t="n">
        <v>45845</v>
      </c>
      <c r="D1267" t="inlineStr">
        <is>
          <t>KRONOBERGS LÄN</t>
        </is>
      </c>
      <c r="E1267" t="inlineStr">
        <is>
          <t>VÄXJÖ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64278-2019</t>
        </is>
      </c>
      <c r="B1268" s="1" t="n">
        <v>43797</v>
      </c>
      <c r="C1268" s="1" t="n">
        <v>45845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64289-2019</t>
        </is>
      </c>
      <c r="B1269" s="1" t="n">
        <v>43797</v>
      </c>
      <c r="C1269" s="1" t="n">
        <v>45845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64429-2019</t>
        </is>
      </c>
      <c r="B1270" s="1" t="n">
        <v>43797</v>
      </c>
      <c r="C1270" s="1" t="n">
        <v>45845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64427-2019</t>
        </is>
      </c>
      <c r="B1271" s="1" t="n">
        <v>43797</v>
      </c>
      <c r="C1271" s="1" t="n">
        <v>45845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64434-2019</t>
        </is>
      </c>
      <c r="B1272" s="1" t="n">
        <v>43797</v>
      </c>
      <c r="C1272" s="1" t="n">
        <v>45845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64378-2019</t>
        </is>
      </c>
      <c r="B1273" s="1" t="n">
        <v>43797</v>
      </c>
      <c r="C1273" s="1" t="n">
        <v>45845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64596-2019</t>
        </is>
      </c>
      <c r="B1274" s="1" t="n">
        <v>43798</v>
      </c>
      <c r="C1274" s="1" t="n">
        <v>45845</v>
      </c>
      <c r="D1274" t="inlineStr">
        <is>
          <t>KRONOBERGS LÄN</t>
        </is>
      </c>
      <c r="E1274" t="inlineStr">
        <is>
          <t>MARKARYD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64608-2019</t>
        </is>
      </c>
      <c r="B1275" s="1" t="n">
        <v>43798</v>
      </c>
      <c r="C1275" s="1" t="n">
        <v>45845</v>
      </c>
      <c r="D1275" t="inlineStr">
        <is>
          <t>KRONOBERGS LÄN</t>
        </is>
      </c>
      <c r="E1275" t="inlineStr">
        <is>
          <t>VÄXJÖ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64493-2019</t>
        </is>
      </c>
      <c r="B1276" s="1" t="n">
        <v>43798</v>
      </c>
      <c r="C1276" s="1" t="n">
        <v>45845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64570-2019</t>
        </is>
      </c>
      <c r="B1277" s="1" t="n">
        <v>43798</v>
      </c>
      <c r="C1277" s="1" t="n">
        <v>45845</v>
      </c>
      <c r="D1277" t="inlineStr">
        <is>
          <t>KRONOBERGS LÄN</t>
        </is>
      </c>
      <c r="E1277" t="inlineStr">
        <is>
          <t>ALVESTA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64597-2019</t>
        </is>
      </c>
      <c r="B1278" s="1" t="n">
        <v>43798</v>
      </c>
      <c r="C1278" s="1" t="n">
        <v>45845</v>
      </c>
      <c r="D1278" t="inlineStr">
        <is>
          <t>KRONOBERGS LÄN</t>
        </is>
      </c>
      <c r="E1278" t="inlineStr">
        <is>
          <t>VÄXJÖ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64624-2019</t>
        </is>
      </c>
      <c r="B1279" s="1" t="n">
        <v>43798</v>
      </c>
      <c r="C1279" s="1" t="n">
        <v>45845</v>
      </c>
      <c r="D1279" t="inlineStr">
        <is>
          <t>KRONOBERGS LÄN</t>
        </is>
      </c>
      <c r="E1279" t="inlineStr">
        <is>
          <t>ÄLMHULT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64861-2019</t>
        </is>
      </c>
      <c r="B1280" s="1" t="n">
        <v>43801</v>
      </c>
      <c r="C1280" s="1" t="n">
        <v>45845</v>
      </c>
      <c r="D1280" t="inlineStr">
        <is>
          <t>KRONOBERGS LÄN</t>
        </is>
      </c>
      <c r="E1280" t="inlineStr">
        <is>
          <t>ÄLMHULT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64875-2019</t>
        </is>
      </c>
      <c r="B1281" s="1" t="n">
        <v>43801</v>
      </c>
      <c r="C1281" s="1" t="n">
        <v>45845</v>
      </c>
      <c r="D1281" t="inlineStr">
        <is>
          <t>KRONOBERGS LÄN</t>
        </is>
      </c>
      <c r="E1281" t="inlineStr">
        <is>
          <t>ALVESTA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65003-2019</t>
        </is>
      </c>
      <c r="B1282" s="1" t="n">
        <v>43801</v>
      </c>
      <c r="C1282" s="1" t="n">
        <v>45845</v>
      </c>
      <c r="D1282" t="inlineStr">
        <is>
          <t>KRONOBERGS LÄN</t>
        </is>
      </c>
      <c r="E1282" t="inlineStr">
        <is>
          <t>UPPVIDINGE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64936-2019</t>
        </is>
      </c>
      <c r="B1283" s="1" t="n">
        <v>43801</v>
      </c>
      <c r="C1283" s="1" t="n">
        <v>45845</v>
      </c>
      <c r="D1283" t="inlineStr">
        <is>
          <t>KRONOBERGS LÄN</t>
        </is>
      </c>
      <c r="E1283" t="inlineStr">
        <is>
          <t>UPPVIDINGE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64946-2019</t>
        </is>
      </c>
      <c r="B1284" s="1" t="n">
        <v>43801</v>
      </c>
      <c r="C1284" s="1" t="n">
        <v>45845</v>
      </c>
      <c r="D1284" t="inlineStr">
        <is>
          <t>KRONOBERGS LÄN</t>
        </is>
      </c>
      <c r="E1284" t="inlineStr">
        <is>
          <t>LJUNGBY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65171-2019</t>
        </is>
      </c>
      <c r="B1285" s="1" t="n">
        <v>43802</v>
      </c>
      <c r="C1285" s="1" t="n">
        <v>45845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65140-2019</t>
        </is>
      </c>
      <c r="B1286" s="1" t="n">
        <v>43802</v>
      </c>
      <c r="C1286" s="1" t="n">
        <v>45845</v>
      </c>
      <c r="D1286" t="inlineStr">
        <is>
          <t>KRONOBERGS LÄN</t>
        </is>
      </c>
      <c r="E1286" t="inlineStr">
        <is>
          <t>LESSEBO</t>
        </is>
      </c>
      <c r="F1286" t="inlineStr">
        <is>
          <t>Sveaskog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65172-2019</t>
        </is>
      </c>
      <c r="B1287" s="1" t="n">
        <v>43802</v>
      </c>
      <c r="C1287" s="1" t="n">
        <v>45845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65175-2019</t>
        </is>
      </c>
      <c r="B1288" s="1" t="n">
        <v>43802</v>
      </c>
      <c r="C1288" s="1" t="n">
        <v>45845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65297-2019</t>
        </is>
      </c>
      <c r="B1289" s="1" t="n">
        <v>43802</v>
      </c>
      <c r="C1289" s="1" t="n">
        <v>45845</v>
      </c>
      <c r="D1289" t="inlineStr">
        <is>
          <t>KRONOBERGS LÄN</t>
        </is>
      </c>
      <c r="E1289" t="inlineStr">
        <is>
          <t>ALVESTA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65097-2019</t>
        </is>
      </c>
      <c r="B1290" s="1" t="n">
        <v>43802</v>
      </c>
      <c r="C1290" s="1" t="n">
        <v>45845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65173-2019</t>
        </is>
      </c>
      <c r="B1291" s="1" t="n">
        <v>43802</v>
      </c>
      <c r="C1291" s="1" t="n">
        <v>45845</v>
      </c>
      <c r="D1291" t="inlineStr">
        <is>
          <t>KRONOBERGS LÄN</t>
        </is>
      </c>
      <c r="E1291" t="inlineStr">
        <is>
          <t>VÄXJÖ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65300-2019</t>
        </is>
      </c>
      <c r="B1292" s="1" t="n">
        <v>43802</v>
      </c>
      <c r="C1292" s="1" t="n">
        <v>45845</v>
      </c>
      <c r="D1292" t="inlineStr">
        <is>
          <t>KRONOBERGS LÄN</t>
        </is>
      </c>
      <c r="E1292" t="inlineStr">
        <is>
          <t>ALVESTA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65342-2019</t>
        </is>
      </c>
      <c r="B1293" s="1" t="n">
        <v>43803</v>
      </c>
      <c r="C1293" s="1" t="n">
        <v>45845</v>
      </c>
      <c r="D1293" t="inlineStr">
        <is>
          <t>KRONOBERGS LÄN</t>
        </is>
      </c>
      <c r="E1293" t="inlineStr">
        <is>
          <t>LJUNGBY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65653-2019</t>
        </is>
      </c>
      <c r="B1294" s="1" t="n">
        <v>43804</v>
      </c>
      <c r="C1294" s="1" t="n">
        <v>45845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65615-2019</t>
        </is>
      </c>
      <c r="B1295" s="1" t="n">
        <v>43804</v>
      </c>
      <c r="C1295" s="1" t="n">
        <v>45845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65654-2019</t>
        </is>
      </c>
      <c r="B1296" s="1" t="n">
        <v>43804</v>
      </c>
      <c r="C1296" s="1" t="n">
        <v>45845</v>
      </c>
      <c r="D1296" t="inlineStr">
        <is>
          <t>KRONOBERGS LÄN</t>
        </is>
      </c>
      <c r="E1296" t="inlineStr">
        <is>
          <t>LJUNGBY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65582-2019</t>
        </is>
      </c>
      <c r="B1297" s="1" t="n">
        <v>43804</v>
      </c>
      <c r="C1297" s="1" t="n">
        <v>45845</v>
      </c>
      <c r="D1297" t="inlineStr">
        <is>
          <t>KRONOBERGS LÄN</t>
        </is>
      </c>
      <c r="E1297" t="inlineStr">
        <is>
          <t>ÄLMHULT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65838-2019</t>
        </is>
      </c>
      <c r="B1298" s="1" t="n">
        <v>43805</v>
      </c>
      <c r="C1298" s="1" t="n">
        <v>45845</v>
      </c>
      <c r="D1298" t="inlineStr">
        <is>
          <t>KRONOBERGS LÄN</t>
        </is>
      </c>
      <c r="E1298" t="inlineStr">
        <is>
          <t>VÄXJÖ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65843-2019</t>
        </is>
      </c>
      <c r="B1299" s="1" t="n">
        <v>43805</v>
      </c>
      <c r="C1299" s="1" t="n">
        <v>45845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66994-2019</t>
        </is>
      </c>
      <c r="B1300" s="1" t="n">
        <v>43805</v>
      </c>
      <c r="C1300" s="1" t="n">
        <v>45845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66068-2019</t>
        </is>
      </c>
      <c r="B1301" s="1" t="n">
        <v>43806</v>
      </c>
      <c r="C1301" s="1" t="n">
        <v>45845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66069-2019</t>
        </is>
      </c>
      <c r="B1302" s="1" t="n">
        <v>43806</v>
      </c>
      <c r="C1302" s="1" t="n">
        <v>45845</v>
      </c>
      <c r="D1302" t="inlineStr">
        <is>
          <t>KRONOBERGS LÄN</t>
        </is>
      </c>
      <c r="E1302" t="inlineStr">
        <is>
          <t>TINGSRYD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66189-2019</t>
        </is>
      </c>
      <c r="B1303" s="1" t="n">
        <v>43808</v>
      </c>
      <c r="C1303" s="1" t="n">
        <v>45845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66323-2019</t>
        </is>
      </c>
      <c r="B1304" s="1" t="n">
        <v>43808</v>
      </c>
      <c r="C1304" s="1" t="n">
        <v>45845</v>
      </c>
      <c r="D1304" t="inlineStr">
        <is>
          <t>KRONOBERGS LÄN</t>
        </is>
      </c>
      <c r="E1304" t="inlineStr">
        <is>
          <t>TINGSRYD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66234-2019</t>
        </is>
      </c>
      <c r="B1305" s="1" t="n">
        <v>43808</v>
      </c>
      <c r="C1305" s="1" t="n">
        <v>45845</v>
      </c>
      <c r="D1305" t="inlineStr">
        <is>
          <t>KRONOBERGS LÄN</t>
        </is>
      </c>
      <c r="E1305" t="inlineStr">
        <is>
          <t>TINGSRYD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66246-2019</t>
        </is>
      </c>
      <c r="B1306" s="1" t="n">
        <v>43808</v>
      </c>
      <c r="C1306" s="1" t="n">
        <v>45845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66515-2019</t>
        </is>
      </c>
      <c r="B1307" s="1" t="n">
        <v>43809</v>
      </c>
      <c r="C1307" s="1" t="n">
        <v>45845</v>
      </c>
      <c r="D1307" t="inlineStr">
        <is>
          <t>KRONOBERGS LÄN</t>
        </is>
      </c>
      <c r="E1307" t="inlineStr">
        <is>
          <t>TINGSRYD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66593-2019</t>
        </is>
      </c>
      <c r="B1308" s="1" t="n">
        <v>43809</v>
      </c>
      <c r="C1308" s="1" t="n">
        <v>45845</v>
      </c>
      <c r="D1308" t="inlineStr">
        <is>
          <t>KRONOBERGS LÄN</t>
        </is>
      </c>
      <c r="E1308" t="inlineStr">
        <is>
          <t>ÄLMHULT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66898-2019</t>
        </is>
      </c>
      <c r="B1309" s="1" t="n">
        <v>43810</v>
      </c>
      <c r="C1309" s="1" t="n">
        <v>45845</v>
      </c>
      <c r="D1309" t="inlineStr">
        <is>
          <t>KRONOBERGS LÄN</t>
        </is>
      </c>
      <c r="E1309" t="inlineStr">
        <is>
          <t>LJUNGBY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66910-2019</t>
        </is>
      </c>
      <c r="B1310" s="1" t="n">
        <v>43810</v>
      </c>
      <c r="C1310" s="1" t="n">
        <v>45845</v>
      </c>
      <c r="D1310" t="inlineStr">
        <is>
          <t>KRONOBERGS LÄN</t>
        </is>
      </c>
      <c r="E1310" t="inlineStr">
        <is>
          <t>LJUNGBY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66906-2019</t>
        </is>
      </c>
      <c r="B1311" s="1" t="n">
        <v>43810</v>
      </c>
      <c r="C1311" s="1" t="n">
        <v>45845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66902-2019</t>
        </is>
      </c>
      <c r="B1312" s="1" t="n">
        <v>43810</v>
      </c>
      <c r="C1312" s="1" t="n">
        <v>45845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67093-2019</t>
        </is>
      </c>
      <c r="B1313" s="1" t="n">
        <v>43811</v>
      </c>
      <c r="C1313" s="1" t="n">
        <v>45845</v>
      </c>
      <c r="D1313" t="inlineStr">
        <is>
          <t>KRONOBERGS LÄN</t>
        </is>
      </c>
      <c r="E1313" t="inlineStr">
        <is>
          <t>UPPVIDINGE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67011-2019</t>
        </is>
      </c>
      <c r="B1314" s="1" t="n">
        <v>43811</v>
      </c>
      <c r="C1314" s="1" t="n">
        <v>45845</v>
      </c>
      <c r="D1314" t="inlineStr">
        <is>
          <t>KRONOBERGS LÄN</t>
        </is>
      </c>
      <c r="E1314" t="inlineStr">
        <is>
          <t>LESSEBO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67632-2019</t>
        </is>
      </c>
      <c r="B1315" s="1" t="n">
        <v>43815</v>
      </c>
      <c r="C1315" s="1" t="n">
        <v>45845</v>
      </c>
      <c r="D1315" t="inlineStr">
        <is>
          <t>KRONOBERGS LÄN</t>
        </is>
      </c>
      <c r="E1315" t="inlineStr">
        <is>
          <t>MARKARYD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67697-2019</t>
        </is>
      </c>
      <c r="B1316" s="1" t="n">
        <v>43815</v>
      </c>
      <c r="C1316" s="1" t="n">
        <v>45845</v>
      </c>
      <c r="D1316" t="inlineStr">
        <is>
          <t>KRONOBERGS LÄN</t>
        </is>
      </c>
      <c r="E1316" t="inlineStr">
        <is>
          <t>MARKARYD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67766-2019</t>
        </is>
      </c>
      <c r="B1317" s="1" t="n">
        <v>43815</v>
      </c>
      <c r="C1317" s="1" t="n">
        <v>45845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67908-2019</t>
        </is>
      </c>
      <c r="B1318" s="1" t="n">
        <v>43816</v>
      </c>
      <c r="C1318" s="1" t="n">
        <v>45845</v>
      </c>
      <c r="D1318" t="inlineStr">
        <is>
          <t>KRONOBERGS LÄN</t>
        </is>
      </c>
      <c r="E1318" t="inlineStr">
        <is>
          <t>ALVESTA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67917-2019</t>
        </is>
      </c>
      <c r="B1319" s="1" t="n">
        <v>43816</v>
      </c>
      <c r="C1319" s="1" t="n">
        <v>45845</v>
      </c>
      <c r="D1319" t="inlineStr">
        <is>
          <t>KRONOBERGS LÄN</t>
        </is>
      </c>
      <c r="E1319" t="inlineStr">
        <is>
          <t>VÄXJÖ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68160-2019</t>
        </is>
      </c>
      <c r="B1320" s="1" t="n">
        <v>43817</v>
      </c>
      <c r="C1320" s="1" t="n">
        <v>45845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68262-2019</t>
        </is>
      </c>
      <c r="B1321" s="1" t="n">
        <v>43817</v>
      </c>
      <c r="C1321" s="1" t="n">
        <v>45845</v>
      </c>
      <c r="D1321" t="inlineStr">
        <is>
          <t>KRONOBERGS LÄN</t>
        </is>
      </c>
      <c r="E1321" t="inlineStr">
        <is>
          <t>ALVESTA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68263-2019</t>
        </is>
      </c>
      <c r="B1322" s="1" t="n">
        <v>43817</v>
      </c>
      <c r="C1322" s="1" t="n">
        <v>45845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68261-2019</t>
        </is>
      </c>
      <c r="B1323" s="1" t="n">
        <v>43817</v>
      </c>
      <c r="C1323" s="1" t="n">
        <v>45845</v>
      </c>
      <c r="D1323" t="inlineStr">
        <is>
          <t>KRONOBERGS LÄN</t>
        </is>
      </c>
      <c r="E1323" t="inlineStr">
        <is>
          <t>ALVESTA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68414-2019</t>
        </is>
      </c>
      <c r="B1324" s="1" t="n">
        <v>43818</v>
      </c>
      <c r="C1324" s="1" t="n">
        <v>45845</v>
      </c>
      <c r="D1324" t="inlineStr">
        <is>
          <t>KRONOBERGS LÄN</t>
        </is>
      </c>
      <c r="E1324" t="inlineStr">
        <is>
          <t>LJUNGBY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68478-2019</t>
        </is>
      </c>
      <c r="B1325" s="1" t="n">
        <v>43818</v>
      </c>
      <c r="C1325" s="1" t="n">
        <v>45845</v>
      </c>
      <c r="D1325" t="inlineStr">
        <is>
          <t>KRONOBERGS LÄN</t>
        </is>
      </c>
      <c r="E1325" t="inlineStr">
        <is>
          <t>LJUNGBY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68479-2019</t>
        </is>
      </c>
      <c r="B1326" s="1" t="n">
        <v>43818</v>
      </c>
      <c r="C1326" s="1" t="n">
        <v>45845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68484-2019</t>
        </is>
      </c>
      <c r="B1327" s="1" t="n">
        <v>43818</v>
      </c>
      <c r="C1327" s="1" t="n">
        <v>45845</v>
      </c>
      <c r="D1327" t="inlineStr">
        <is>
          <t>KRONOBERGS LÄN</t>
        </is>
      </c>
      <c r="E1327" t="inlineStr">
        <is>
          <t>LJUNGBY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68652-2019</t>
        </is>
      </c>
      <c r="B1328" s="1" t="n">
        <v>43819</v>
      </c>
      <c r="C1328" s="1" t="n">
        <v>45845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68664-2019</t>
        </is>
      </c>
      <c r="B1329" s="1" t="n">
        <v>43819</v>
      </c>
      <c r="C1329" s="1" t="n">
        <v>45845</v>
      </c>
      <c r="D1329" t="inlineStr">
        <is>
          <t>KRONOBERGS LÄN</t>
        </is>
      </c>
      <c r="E1329" t="inlineStr">
        <is>
          <t>ALVESTA</t>
        </is>
      </c>
      <c r="F1329" t="inlineStr">
        <is>
          <t>Övriga Aktiebolag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68946-2019</t>
        </is>
      </c>
      <c r="B1330" s="1" t="n">
        <v>43822</v>
      </c>
      <c r="C1330" s="1" t="n">
        <v>45845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68950-2019</t>
        </is>
      </c>
      <c r="B1331" s="1" t="n">
        <v>43822</v>
      </c>
      <c r="C1331" s="1" t="n">
        <v>45845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68945-2019</t>
        </is>
      </c>
      <c r="B1332" s="1" t="n">
        <v>43822</v>
      </c>
      <c r="C1332" s="1" t="n">
        <v>45845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68986-2019</t>
        </is>
      </c>
      <c r="B1333" s="1" t="n">
        <v>43825</v>
      </c>
      <c r="C1333" s="1" t="n">
        <v>45845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68993-2019</t>
        </is>
      </c>
      <c r="B1334" s="1" t="n">
        <v>43826</v>
      </c>
      <c r="C1334" s="1" t="n">
        <v>45845</v>
      </c>
      <c r="D1334" t="inlineStr">
        <is>
          <t>KRONOBERGS LÄN</t>
        </is>
      </c>
      <c r="E1334" t="inlineStr">
        <is>
          <t>ALVESTA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69003-2019</t>
        </is>
      </c>
      <c r="B1335" s="1" t="n">
        <v>43826</v>
      </c>
      <c r="C1335" s="1" t="n">
        <v>45845</v>
      </c>
      <c r="D1335" t="inlineStr">
        <is>
          <t>KRONOBERGS LÄN</t>
        </is>
      </c>
      <c r="E1335" t="inlineStr">
        <is>
          <t>ALVESTA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69004-2019</t>
        </is>
      </c>
      <c r="B1336" s="1" t="n">
        <v>43826</v>
      </c>
      <c r="C1336" s="1" t="n">
        <v>45845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20-2020</t>
        </is>
      </c>
      <c r="B1337" s="1" t="n">
        <v>43832</v>
      </c>
      <c r="C1337" s="1" t="n">
        <v>45845</v>
      </c>
      <c r="D1337" t="inlineStr">
        <is>
          <t>KRONOBERGS LÄN</t>
        </is>
      </c>
      <c r="E1337" t="inlineStr">
        <is>
          <t>TINGSRYD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251-2020</t>
        </is>
      </c>
      <c r="B1338" s="1" t="n">
        <v>43835</v>
      </c>
      <c r="C1338" s="1" t="n">
        <v>45845</v>
      </c>
      <c r="D1338" t="inlineStr">
        <is>
          <t>KRONOBERGS LÄN</t>
        </is>
      </c>
      <c r="E1338" t="inlineStr">
        <is>
          <t>ÄLMHULT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253-2020</t>
        </is>
      </c>
      <c r="B1339" s="1" t="n">
        <v>43835</v>
      </c>
      <c r="C1339" s="1" t="n">
        <v>45845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240-2020</t>
        </is>
      </c>
      <c r="B1340" s="1" t="n">
        <v>43835</v>
      </c>
      <c r="C1340" s="1" t="n">
        <v>45845</v>
      </c>
      <c r="D1340" t="inlineStr">
        <is>
          <t>KRONOBERGS LÄN</t>
        </is>
      </c>
      <c r="E1340" t="inlineStr">
        <is>
          <t>ALVESTA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252-2020</t>
        </is>
      </c>
      <c r="B1341" s="1" t="n">
        <v>43835</v>
      </c>
      <c r="C1341" s="1" t="n">
        <v>45845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459-2020</t>
        </is>
      </c>
      <c r="B1342" s="1" t="n">
        <v>43837</v>
      </c>
      <c r="C1342" s="1" t="n">
        <v>45845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497-2020</t>
        </is>
      </c>
      <c r="B1343" s="1" t="n">
        <v>43837</v>
      </c>
      <c r="C1343" s="1" t="n">
        <v>45845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363-2020</t>
        </is>
      </c>
      <c r="B1344" s="1" t="n">
        <v>43837</v>
      </c>
      <c r="C1344" s="1" t="n">
        <v>45845</v>
      </c>
      <c r="D1344" t="inlineStr">
        <is>
          <t>KRONOBERGS LÄN</t>
        </is>
      </c>
      <c r="E1344" t="inlineStr">
        <is>
          <t>MARKARYD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456-2020</t>
        </is>
      </c>
      <c r="B1345" s="1" t="n">
        <v>43837</v>
      </c>
      <c r="C1345" s="1" t="n">
        <v>45845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519-2020</t>
        </is>
      </c>
      <c r="B1346" s="1" t="n">
        <v>43837</v>
      </c>
      <c r="C1346" s="1" t="n">
        <v>45845</v>
      </c>
      <c r="D1346" t="inlineStr">
        <is>
          <t>KRONOBERGS LÄN</t>
        </is>
      </c>
      <c r="E1346" t="inlineStr">
        <is>
          <t>ALVESTA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635-2020</t>
        </is>
      </c>
      <c r="B1347" s="1" t="n">
        <v>43838</v>
      </c>
      <c r="C1347" s="1" t="n">
        <v>45845</v>
      </c>
      <c r="D1347" t="inlineStr">
        <is>
          <t>KRONOBERGS LÄN</t>
        </is>
      </c>
      <c r="E1347" t="inlineStr">
        <is>
          <t>ALVESTA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631-2020</t>
        </is>
      </c>
      <c r="B1348" s="1" t="n">
        <v>43838</v>
      </c>
      <c r="C1348" s="1" t="n">
        <v>45845</v>
      </c>
      <c r="D1348" t="inlineStr">
        <is>
          <t>KRONOBERGS LÄN</t>
        </is>
      </c>
      <c r="E1348" t="inlineStr">
        <is>
          <t>VÄXJÖ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772-2020</t>
        </is>
      </c>
      <c r="B1349" s="1" t="n">
        <v>43838</v>
      </c>
      <c r="C1349" s="1" t="n">
        <v>45845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1986-2020</t>
        </is>
      </c>
      <c r="B1350" s="1" t="n">
        <v>43838</v>
      </c>
      <c r="C1350" s="1" t="n">
        <v>45845</v>
      </c>
      <c r="D1350" t="inlineStr">
        <is>
          <t>KRONOBERGS LÄN</t>
        </is>
      </c>
      <c r="E1350" t="inlineStr">
        <is>
          <t>TINGSRYD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774-2020</t>
        </is>
      </c>
      <c r="B1351" s="1" t="n">
        <v>43838</v>
      </c>
      <c r="C1351" s="1" t="n">
        <v>45845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855-2020</t>
        </is>
      </c>
      <c r="B1352" s="1" t="n">
        <v>43839</v>
      </c>
      <c r="C1352" s="1" t="n">
        <v>45845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1064-2020</t>
        </is>
      </c>
      <c r="B1353" s="1" t="n">
        <v>43839</v>
      </c>
      <c r="C1353" s="1" t="n">
        <v>45845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907-2020</t>
        </is>
      </c>
      <c r="B1354" s="1" t="n">
        <v>43839</v>
      </c>
      <c r="C1354" s="1" t="n">
        <v>45845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994-2020</t>
        </is>
      </c>
      <c r="B1355" s="1" t="n">
        <v>43839</v>
      </c>
      <c r="C1355" s="1" t="n">
        <v>45845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1023-2020</t>
        </is>
      </c>
      <c r="B1356" s="1" t="n">
        <v>43839</v>
      </c>
      <c r="C1356" s="1" t="n">
        <v>45845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1172-2020</t>
        </is>
      </c>
      <c r="B1357" s="1" t="n">
        <v>43840</v>
      </c>
      <c r="C1357" s="1" t="n">
        <v>45845</v>
      </c>
      <c r="D1357" t="inlineStr">
        <is>
          <t>KRONOBERGS LÄN</t>
        </is>
      </c>
      <c r="E1357" t="inlineStr">
        <is>
          <t>ALVESTA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1257-2020</t>
        </is>
      </c>
      <c r="B1358" s="1" t="n">
        <v>43840</v>
      </c>
      <c r="C1358" s="1" t="n">
        <v>45845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1178-2020</t>
        </is>
      </c>
      <c r="B1359" s="1" t="n">
        <v>43840</v>
      </c>
      <c r="C1359" s="1" t="n">
        <v>45845</v>
      </c>
      <c r="D1359" t="inlineStr">
        <is>
          <t>KRONOBERGS LÄN</t>
        </is>
      </c>
      <c r="E1359" t="inlineStr">
        <is>
          <t>ÄLMHULT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1248-2020</t>
        </is>
      </c>
      <c r="B1360" s="1" t="n">
        <v>43840</v>
      </c>
      <c r="C1360" s="1" t="n">
        <v>45845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1189-2020</t>
        </is>
      </c>
      <c r="B1361" s="1" t="n">
        <v>43840</v>
      </c>
      <c r="C1361" s="1" t="n">
        <v>45845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1192-2020</t>
        </is>
      </c>
      <c r="B1362" s="1" t="n">
        <v>43840</v>
      </c>
      <c r="C1362" s="1" t="n">
        <v>45845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1349-2020</t>
        </is>
      </c>
      <c r="B1363" s="1" t="n">
        <v>43843</v>
      </c>
      <c r="C1363" s="1" t="n">
        <v>45845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1400-2020</t>
        </is>
      </c>
      <c r="B1364" s="1" t="n">
        <v>43843</v>
      </c>
      <c r="C1364" s="1" t="n">
        <v>45845</v>
      </c>
      <c r="D1364" t="inlineStr">
        <is>
          <t>KRONOBERGS LÄN</t>
        </is>
      </c>
      <c r="E1364" t="inlineStr">
        <is>
          <t>TINGSRYD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1520-2020</t>
        </is>
      </c>
      <c r="B1365" s="1" t="n">
        <v>43843</v>
      </c>
      <c r="C1365" s="1" t="n">
        <v>45845</v>
      </c>
      <c r="D1365" t="inlineStr">
        <is>
          <t>KRONOBERGS LÄN</t>
        </is>
      </c>
      <c r="E1365" t="inlineStr">
        <is>
          <t>UPPVIDINGE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1385-2020</t>
        </is>
      </c>
      <c r="B1366" s="1" t="n">
        <v>43843</v>
      </c>
      <c r="C1366" s="1" t="n">
        <v>45845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1599-2020</t>
        </is>
      </c>
      <c r="B1367" s="1" t="n">
        <v>43844</v>
      </c>
      <c r="C1367" s="1" t="n">
        <v>45845</v>
      </c>
      <c r="D1367" t="inlineStr">
        <is>
          <t>KRONOBERGS LÄN</t>
        </is>
      </c>
      <c r="E1367" t="inlineStr">
        <is>
          <t>VÄXJÖ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1706-2020</t>
        </is>
      </c>
      <c r="B1368" s="1" t="n">
        <v>43844</v>
      </c>
      <c r="C1368" s="1" t="n">
        <v>45845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1743-2020</t>
        </is>
      </c>
      <c r="B1369" s="1" t="n">
        <v>43844</v>
      </c>
      <c r="C1369" s="1" t="n">
        <v>45845</v>
      </c>
      <c r="D1369" t="inlineStr">
        <is>
          <t>KRONOBERGS LÄN</t>
        </is>
      </c>
      <c r="E1369" t="inlineStr">
        <is>
          <t>VÄXJÖ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1837-2020</t>
        </is>
      </c>
      <c r="B1370" s="1" t="n">
        <v>43844</v>
      </c>
      <c r="C1370" s="1" t="n">
        <v>45845</v>
      </c>
      <c r="D1370" t="inlineStr">
        <is>
          <t>KRONOBERGS LÄN</t>
        </is>
      </c>
      <c r="E1370" t="inlineStr">
        <is>
          <t>UPPVIDINGE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1702-2020</t>
        </is>
      </c>
      <c r="B1371" s="1" t="n">
        <v>43844</v>
      </c>
      <c r="C1371" s="1" t="n">
        <v>45845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1709-2020</t>
        </is>
      </c>
      <c r="B1372" s="1" t="n">
        <v>43844</v>
      </c>
      <c r="C1372" s="1" t="n">
        <v>45845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1749-2020</t>
        </is>
      </c>
      <c r="B1373" s="1" t="n">
        <v>43844</v>
      </c>
      <c r="C1373" s="1" t="n">
        <v>45845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1704-2020</t>
        </is>
      </c>
      <c r="B1374" s="1" t="n">
        <v>43844</v>
      </c>
      <c r="C1374" s="1" t="n">
        <v>45845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2046-2020</t>
        </is>
      </c>
      <c r="B1375" s="1" t="n">
        <v>43845</v>
      </c>
      <c r="C1375" s="1" t="n">
        <v>45845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1958-2020</t>
        </is>
      </c>
      <c r="B1376" s="1" t="n">
        <v>43845</v>
      </c>
      <c r="C1376" s="1" t="n">
        <v>45845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2094-2020</t>
        </is>
      </c>
      <c r="B1377" s="1" t="n">
        <v>43845</v>
      </c>
      <c r="C1377" s="1" t="n">
        <v>45845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2271-2020</t>
        </is>
      </c>
      <c r="B1378" s="1" t="n">
        <v>43846</v>
      </c>
      <c r="C1378" s="1" t="n">
        <v>45845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2325-2020</t>
        </is>
      </c>
      <c r="B1379" s="1" t="n">
        <v>43846</v>
      </c>
      <c r="C1379" s="1" t="n">
        <v>45845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2506-2020</t>
        </is>
      </c>
      <c r="B1380" s="1" t="n">
        <v>43847</v>
      </c>
      <c r="C1380" s="1" t="n">
        <v>45845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2510-2020</t>
        </is>
      </c>
      <c r="B1381" s="1" t="n">
        <v>43847</v>
      </c>
      <c r="C1381" s="1" t="n">
        <v>45845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2522-2020</t>
        </is>
      </c>
      <c r="B1382" s="1" t="n">
        <v>43847</v>
      </c>
      <c r="C1382" s="1" t="n">
        <v>45845</v>
      </c>
      <c r="D1382" t="inlineStr">
        <is>
          <t>KRONOBERGS LÄN</t>
        </is>
      </c>
      <c r="E1382" t="inlineStr">
        <is>
          <t>MARKARYD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2644-2020</t>
        </is>
      </c>
      <c r="B1383" s="1" t="n">
        <v>43847</v>
      </c>
      <c r="C1383" s="1" t="n">
        <v>45845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2520-2020</t>
        </is>
      </c>
      <c r="B1384" s="1" t="n">
        <v>43847</v>
      </c>
      <c r="C1384" s="1" t="n">
        <v>45845</v>
      </c>
      <c r="D1384" t="inlineStr">
        <is>
          <t>KRONOBERGS LÄN</t>
        </is>
      </c>
      <c r="E1384" t="inlineStr">
        <is>
          <t>MARKARYD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2474-2020</t>
        </is>
      </c>
      <c r="B1385" s="1" t="n">
        <v>43847</v>
      </c>
      <c r="C1385" s="1" t="n">
        <v>45845</v>
      </c>
      <c r="D1385" t="inlineStr">
        <is>
          <t>KRONOBERGS LÄN</t>
        </is>
      </c>
      <c r="E1385" t="inlineStr">
        <is>
          <t>LJUNGBY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2779-2020</t>
        </is>
      </c>
      <c r="B1386" s="1" t="n">
        <v>43850</v>
      </c>
      <c r="C1386" s="1" t="n">
        <v>45845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3056-2020</t>
        </is>
      </c>
      <c r="B1387" s="1" t="n">
        <v>43851</v>
      </c>
      <c r="C1387" s="1" t="n">
        <v>45845</v>
      </c>
      <c r="D1387" t="inlineStr">
        <is>
          <t>KRONOBERGS LÄN</t>
        </is>
      </c>
      <c r="E1387" t="inlineStr">
        <is>
          <t>VÄXJÖ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3186-2020</t>
        </is>
      </c>
      <c r="B1388" s="1" t="n">
        <v>43851</v>
      </c>
      <c r="C1388" s="1" t="n">
        <v>45845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3313-2020</t>
        </is>
      </c>
      <c r="B1389" s="1" t="n">
        <v>43852</v>
      </c>
      <c r="C1389" s="1" t="n">
        <v>45845</v>
      </c>
      <c r="D1389" t="inlineStr">
        <is>
          <t>KRONOBERGS LÄN</t>
        </is>
      </c>
      <c r="E1389" t="inlineStr">
        <is>
          <t>MARKARYD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3248-2020</t>
        </is>
      </c>
      <c r="B1390" s="1" t="n">
        <v>43852</v>
      </c>
      <c r="C1390" s="1" t="n">
        <v>45845</v>
      </c>
      <c r="D1390" t="inlineStr">
        <is>
          <t>KRONOBERGS LÄN</t>
        </is>
      </c>
      <c r="E1390" t="inlineStr">
        <is>
          <t>ÄLMHULT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3709-2020</t>
        </is>
      </c>
      <c r="B1391" s="1" t="n">
        <v>43853</v>
      </c>
      <c r="C1391" s="1" t="n">
        <v>45845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3655-2020</t>
        </is>
      </c>
      <c r="B1392" s="1" t="n">
        <v>43853</v>
      </c>
      <c r="C1392" s="1" t="n">
        <v>45845</v>
      </c>
      <c r="D1392" t="inlineStr">
        <is>
          <t>KRONOBERGS LÄN</t>
        </is>
      </c>
      <c r="E1392" t="inlineStr">
        <is>
          <t>LJUNGBY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3712-2020</t>
        </is>
      </c>
      <c r="B1393" s="1" t="n">
        <v>43853</v>
      </c>
      <c r="C1393" s="1" t="n">
        <v>45845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5041-2020</t>
        </is>
      </c>
      <c r="B1394" s="1" t="n">
        <v>43853</v>
      </c>
      <c r="C1394" s="1" t="n">
        <v>45845</v>
      </c>
      <c r="D1394" t="inlineStr">
        <is>
          <t>KRONOBERGS LÄN</t>
        </is>
      </c>
      <c r="E1394" t="inlineStr">
        <is>
          <t>ÄLMHULT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3662-2020</t>
        </is>
      </c>
      <c r="B1395" s="1" t="n">
        <v>43853</v>
      </c>
      <c r="C1395" s="1" t="n">
        <v>45845</v>
      </c>
      <c r="D1395" t="inlineStr">
        <is>
          <t>KRONOBERGS LÄN</t>
        </is>
      </c>
      <c r="E1395" t="inlineStr">
        <is>
          <t>LJUNGBY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5058-2020</t>
        </is>
      </c>
      <c r="B1396" s="1" t="n">
        <v>43853</v>
      </c>
      <c r="C1396" s="1" t="n">
        <v>45845</v>
      </c>
      <c r="D1396" t="inlineStr">
        <is>
          <t>KRONOBERGS LÄN</t>
        </is>
      </c>
      <c r="E1396" t="inlineStr">
        <is>
          <t>ÄLMHULT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3587-2020</t>
        </is>
      </c>
      <c r="B1397" s="1" t="n">
        <v>43853</v>
      </c>
      <c r="C1397" s="1" t="n">
        <v>45845</v>
      </c>
      <c r="D1397" t="inlineStr">
        <is>
          <t>KRONOBERGS LÄN</t>
        </is>
      </c>
      <c r="E1397" t="inlineStr">
        <is>
          <t>TINGSRYD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3612-2020</t>
        </is>
      </c>
      <c r="B1398" s="1" t="n">
        <v>43853</v>
      </c>
      <c r="C1398" s="1" t="n">
        <v>45845</v>
      </c>
      <c r="D1398" t="inlineStr">
        <is>
          <t>KRONOBERGS LÄN</t>
        </is>
      </c>
      <c r="E1398" t="inlineStr">
        <is>
          <t>ALVESTA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3821-2020</t>
        </is>
      </c>
      <c r="B1399" s="1" t="n">
        <v>43854</v>
      </c>
      <c r="C1399" s="1" t="n">
        <v>45845</v>
      </c>
      <c r="D1399" t="inlineStr">
        <is>
          <t>KRONOBERGS LÄN</t>
        </is>
      </c>
      <c r="E1399" t="inlineStr">
        <is>
          <t>UPPVIDINGE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3767-2020</t>
        </is>
      </c>
      <c r="B1400" s="1" t="n">
        <v>43854</v>
      </c>
      <c r="C1400" s="1" t="n">
        <v>45845</v>
      </c>
      <c r="D1400" t="inlineStr">
        <is>
          <t>KRONOBERGS LÄN</t>
        </is>
      </c>
      <c r="E1400" t="inlineStr">
        <is>
          <t>ALVESTA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3819-2020</t>
        </is>
      </c>
      <c r="B1401" s="1" t="n">
        <v>43854</v>
      </c>
      <c r="C1401" s="1" t="n">
        <v>45845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3786-2020</t>
        </is>
      </c>
      <c r="B1402" s="1" t="n">
        <v>43854</v>
      </c>
      <c r="C1402" s="1" t="n">
        <v>45845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4111-2020</t>
        </is>
      </c>
      <c r="B1403" s="1" t="n">
        <v>43857</v>
      </c>
      <c r="C1403" s="1" t="n">
        <v>45845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4019-2020</t>
        </is>
      </c>
      <c r="B1404" s="1" t="n">
        <v>43857</v>
      </c>
      <c r="C1404" s="1" t="n">
        <v>45845</v>
      </c>
      <c r="D1404" t="inlineStr">
        <is>
          <t>KRONOBERGS LÄN</t>
        </is>
      </c>
      <c r="E1404" t="inlineStr">
        <is>
          <t>TINGSRYD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4255-2020</t>
        </is>
      </c>
      <c r="B1405" s="1" t="n">
        <v>43857</v>
      </c>
      <c r="C1405" s="1" t="n">
        <v>45845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4126-2020</t>
        </is>
      </c>
      <c r="B1406" s="1" t="n">
        <v>43857</v>
      </c>
      <c r="C1406" s="1" t="n">
        <v>45845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4563-2020</t>
        </is>
      </c>
      <c r="B1407" s="1" t="n">
        <v>43858</v>
      </c>
      <c r="C1407" s="1" t="n">
        <v>45845</v>
      </c>
      <c r="D1407" t="inlineStr">
        <is>
          <t>KRONOBERGS LÄN</t>
        </is>
      </c>
      <c r="E1407" t="inlineStr">
        <is>
          <t>VÄXJÖ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4627-2020</t>
        </is>
      </c>
      <c r="B1408" s="1" t="n">
        <v>43858</v>
      </c>
      <c r="C1408" s="1" t="n">
        <v>45845</v>
      </c>
      <c r="D1408" t="inlineStr">
        <is>
          <t>KRONOBERGS LÄN</t>
        </is>
      </c>
      <c r="E1408" t="inlineStr">
        <is>
          <t>TINGSRYD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4666-2020</t>
        </is>
      </c>
      <c r="B1409" s="1" t="n">
        <v>43858</v>
      </c>
      <c r="C1409" s="1" t="n">
        <v>45845</v>
      </c>
      <c r="D1409" t="inlineStr">
        <is>
          <t>KRONOBERGS LÄN</t>
        </is>
      </c>
      <c r="E1409" t="inlineStr">
        <is>
          <t>TINGSRYD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4719-2020</t>
        </is>
      </c>
      <c r="B1410" s="1" t="n">
        <v>43858</v>
      </c>
      <c r="C1410" s="1" t="n">
        <v>45845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4718-2020</t>
        </is>
      </c>
      <c r="B1411" s="1" t="n">
        <v>43858</v>
      </c>
      <c r="C1411" s="1" t="n">
        <v>45845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4722-2020</t>
        </is>
      </c>
      <c r="B1412" s="1" t="n">
        <v>43858</v>
      </c>
      <c r="C1412" s="1" t="n">
        <v>45845</v>
      </c>
      <c r="D1412" t="inlineStr">
        <is>
          <t>KRONOBERGS LÄN</t>
        </is>
      </c>
      <c r="E1412" t="inlineStr">
        <is>
          <t>ALVESTA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5323-2020</t>
        </is>
      </c>
      <c r="B1413" s="1" t="n">
        <v>43858</v>
      </c>
      <c r="C1413" s="1" t="n">
        <v>45845</v>
      </c>
      <c r="D1413" t="inlineStr">
        <is>
          <t>KRONOBERGS LÄN</t>
        </is>
      </c>
      <c r="E1413" t="inlineStr">
        <is>
          <t>LESSEBO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4662-2020</t>
        </is>
      </c>
      <c r="B1414" s="1" t="n">
        <v>43858</v>
      </c>
      <c r="C1414" s="1" t="n">
        <v>45845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4740-2020</t>
        </is>
      </c>
      <c r="B1415" s="1" t="n">
        <v>43859</v>
      </c>
      <c r="C1415" s="1" t="n">
        <v>45845</v>
      </c>
      <c r="D1415" t="inlineStr">
        <is>
          <t>KRONOBERGS LÄN</t>
        </is>
      </c>
      <c r="E1415" t="inlineStr">
        <is>
          <t>TINGSRYD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4739-2020</t>
        </is>
      </c>
      <c r="B1416" s="1" t="n">
        <v>43859</v>
      </c>
      <c r="C1416" s="1" t="n">
        <v>45845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4902-2020</t>
        </is>
      </c>
      <c r="B1417" s="1" t="n">
        <v>43859</v>
      </c>
      <c r="C1417" s="1" t="n">
        <v>45845</v>
      </c>
      <c r="D1417" t="inlineStr">
        <is>
          <t>KRONOBERGS LÄN</t>
        </is>
      </c>
      <c r="E1417" t="inlineStr">
        <is>
          <t>ALVESTA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5111-2020</t>
        </is>
      </c>
      <c r="B1418" s="1" t="n">
        <v>43860</v>
      </c>
      <c r="C1418" s="1" t="n">
        <v>45845</v>
      </c>
      <c r="D1418" t="inlineStr">
        <is>
          <t>KRONOBERGS LÄN</t>
        </is>
      </c>
      <c r="E1418" t="inlineStr">
        <is>
          <t>TINGSRYD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5128-2020</t>
        </is>
      </c>
      <c r="B1419" s="1" t="n">
        <v>43860</v>
      </c>
      <c r="C1419" s="1" t="n">
        <v>45845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5121-2020</t>
        </is>
      </c>
      <c r="B1420" s="1" t="n">
        <v>43860</v>
      </c>
      <c r="C1420" s="1" t="n">
        <v>45845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5366-2020</t>
        </is>
      </c>
      <c r="B1421" s="1" t="n">
        <v>43860</v>
      </c>
      <c r="C1421" s="1" t="n">
        <v>45845</v>
      </c>
      <c r="D1421" t="inlineStr">
        <is>
          <t>KRONOBERGS LÄN</t>
        </is>
      </c>
      <c r="E1421" t="inlineStr">
        <is>
          <t>VÄXJÖ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5655-2020</t>
        </is>
      </c>
      <c r="B1422" s="1" t="n">
        <v>43861</v>
      </c>
      <c r="C1422" s="1" t="n">
        <v>45845</v>
      </c>
      <c r="D1422" t="inlineStr">
        <is>
          <t>KRONOBERGS LÄN</t>
        </is>
      </c>
      <c r="E1422" t="inlineStr">
        <is>
          <t>VÄXJÖ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5480-2020</t>
        </is>
      </c>
      <c r="B1423" s="1" t="n">
        <v>43861</v>
      </c>
      <c r="C1423" s="1" t="n">
        <v>45845</v>
      </c>
      <c r="D1423" t="inlineStr">
        <is>
          <t>KRONOBERGS LÄN</t>
        </is>
      </c>
      <c r="E1423" t="inlineStr">
        <is>
          <t>VÄXJÖ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5684-2020</t>
        </is>
      </c>
      <c r="B1424" s="1" t="n">
        <v>43861</v>
      </c>
      <c r="C1424" s="1" t="n">
        <v>45845</v>
      </c>
      <c r="D1424" t="inlineStr">
        <is>
          <t>KRONOBERGS LÄN</t>
        </is>
      </c>
      <c r="E1424" t="inlineStr">
        <is>
          <t>UPPVIDINGE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5668-2020</t>
        </is>
      </c>
      <c r="B1425" s="1" t="n">
        <v>43861</v>
      </c>
      <c r="C1425" s="1" t="n">
        <v>45845</v>
      </c>
      <c r="D1425" t="inlineStr">
        <is>
          <t>KRONOBERGS LÄN</t>
        </is>
      </c>
      <c r="E1425" t="inlineStr">
        <is>
          <t>VÄXJÖ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5621-2020</t>
        </is>
      </c>
      <c r="B1426" s="1" t="n">
        <v>43861</v>
      </c>
      <c r="C1426" s="1" t="n">
        <v>45845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5770-2020</t>
        </is>
      </c>
      <c r="B1427" s="1" t="n">
        <v>43864</v>
      </c>
      <c r="C1427" s="1" t="n">
        <v>45845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6363-2020</t>
        </is>
      </c>
      <c r="B1428" s="1" t="n">
        <v>43866</v>
      </c>
      <c r="C1428" s="1" t="n">
        <v>45845</v>
      </c>
      <c r="D1428" t="inlineStr">
        <is>
          <t>KRONOBERGS LÄN</t>
        </is>
      </c>
      <c r="E1428" t="inlineStr">
        <is>
          <t>TINGSRYD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6230-2020</t>
        </is>
      </c>
      <c r="B1429" s="1" t="n">
        <v>43866</v>
      </c>
      <c r="C1429" s="1" t="n">
        <v>45845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6366-2020</t>
        </is>
      </c>
      <c r="B1430" s="1" t="n">
        <v>43866</v>
      </c>
      <c r="C1430" s="1" t="n">
        <v>45845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6477-2020</t>
        </is>
      </c>
      <c r="B1431" s="1" t="n">
        <v>43866</v>
      </c>
      <c r="C1431" s="1" t="n">
        <v>45845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6609-2020</t>
        </is>
      </c>
      <c r="B1432" s="1" t="n">
        <v>43867</v>
      </c>
      <c r="C1432" s="1" t="n">
        <v>45845</v>
      </c>
      <c r="D1432" t="inlineStr">
        <is>
          <t>KRONOBERGS LÄN</t>
        </is>
      </c>
      <c r="E1432" t="inlineStr">
        <is>
          <t>VÄXJÖ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6737-2020</t>
        </is>
      </c>
      <c r="B1433" s="1" t="n">
        <v>43867</v>
      </c>
      <c r="C1433" s="1" t="n">
        <v>45845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6523-2020</t>
        </is>
      </c>
      <c r="B1434" s="1" t="n">
        <v>43867</v>
      </c>
      <c r="C1434" s="1" t="n">
        <v>45845</v>
      </c>
      <c r="D1434" t="inlineStr">
        <is>
          <t>KRONOBERGS LÄN</t>
        </is>
      </c>
      <c r="E1434" t="inlineStr">
        <is>
          <t>VÄXJÖ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6580-2020</t>
        </is>
      </c>
      <c r="B1435" s="1" t="n">
        <v>43867</v>
      </c>
      <c r="C1435" s="1" t="n">
        <v>45845</v>
      </c>
      <c r="D1435" t="inlineStr">
        <is>
          <t>KRONOBERGS LÄN</t>
        </is>
      </c>
      <c r="E1435" t="inlineStr">
        <is>
          <t>LESSEBO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6726-2020</t>
        </is>
      </c>
      <c r="B1436" s="1" t="n">
        <v>43867</v>
      </c>
      <c r="C1436" s="1" t="n">
        <v>45845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6732-2020</t>
        </is>
      </c>
      <c r="B1437" s="1" t="n">
        <v>43867</v>
      </c>
      <c r="C1437" s="1" t="n">
        <v>45845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6801-2020</t>
        </is>
      </c>
      <c r="B1438" s="1" t="n">
        <v>43867</v>
      </c>
      <c r="C1438" s="1" t="n">
        <v>45845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6996-2020</t>
        </is>
      </c>
      <c r="B1439" s="1" t="n">
        <v>43868</v>
      </c>
      <c r="C1439" s="1" t="n">
        <v>45845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7048-2020</t>
        </is>
      </c>
      <c r="B1440" s="1" t="n">
        <v>43868</v>
      </c>
      <c r="C1440" s="1" t="n">
        <v>45845</v>
      </c>
      <c r="D1440" t="inlineStr">
        <is>
          <t>KRONOBERGS LÄN</t>
        </is>
      </c>
      <c r="E1440" t="inlineStr">
        <is>
          <t>TINGSRYD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7234-2020</t>
        </is>
      </c>
      <c r="B1441" s="1" t="n">
        <v>43871</v>
      </c>
      <c r="C1441" s="1" t="n">
        <v>45845</v>
      </c>
      <c r="D1441" t="inlineStr">
        <is>
          <t>KRONOBERGS LÄN</t>
        </is>
      </c>
      <c r="E1441" t="inlineStr">
        <is>
          <t>UPPVIDINGE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7189-2020</t>
        </is>
      </c>
      <c r="B1442" s="1" t="n">
        <v>43871</v>
      </c>
      <c r="C1442" s="1" t="n">
        <v>45845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7236-2020</t>
        </is>
      </c>
      <c r="B1443" s="1" t="n">
        <v>43871</v>
      </c>
      <c r="C1443" s="1" t="n">
        <v>45845</v>
      </c>
      <c r="D1443" t="inlineStr">
        <is>
          <t>KRONOBERGS LÄN</t>
        </is>
      </c>
      <c r="E1443" t="inlineStr">
        <is>
          <t>UPPVIDINGE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7245-2020</t>
        </is>
      </c>
      <c r="B1444" s="1" t="n">
        <v>43871</v>
      </c>
      <c r="C1444" s="1" t="n">
        <v>45845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7515-2020</t>
        </is>
      </c>
      <c r="B1445" s="1" t="n">
        <v>43872</v>
      </c>
      <c r="C1445" s="1" t="n">
        <v>45845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7878-2020</t>
        </is>
      </c>
      <c r="B1446" s="1" t="n">
        <v>43873</v>
      </c>
      <c r="C1446" s="1" t="n">
        <v>45845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7976-2020</t>
        </is>
      </c>
      <c r="B1447" s="1" t="n">
        <v>43873</v>
      </c>
      <c r="C1447" s="1" t="n">
        <v>45845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8001-2020</t>
        </is>
      </c>
      <c r="B1448" s="1" t="n">
        <v>43873</v>
      </c>
      <c r="C1448" s="1" t="n">
        <v>45845</v>
      </c>
      <c r="D1448" t="inlineStr">
        <is>
          <t>KRONOBERGS LÄN</t>
        </is>
      </c>
      <c r="E1448" t="inlineStr">
        <is>
          <t>MARKARYD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8024-2020</t>
        </is>
      </c>
      <c r="B1449" s="1" t="n">
        <v>43873</v>
      </c>
      <c r="C1449" s="1" t="n">
        <v>45845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8004-2020</t>
        </is>
      </c>
      <c r="B1450" s="1" t="n">
        <v>43873</v>
      </c>
      <c r="C1450" s="1" t="n">
        <v>45845</v>
      </c>
      <c r="D1450" t="inlineStr">
        <is>
          <t>KRONOBERGS LÄN</t>
        </is>
      </c>
      <c r="E1450" t="inlineStr">
        <is>
          <t>LJUNGBY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8063-2020</t>
        </is>
      </c>
      <c r="B1451" s="1" t="n">
        <v>43874</v>
      </c>
      <c r="C1451" s="1" t="n">
        <v>45845</v>
      </c>
      <c r="D1451" t="inlineStr">
        <is>
          <t>KRONOBERGS LÄN</t>
        </is>
      </c>
      <c r="E1451" t="inlineStr">
        <is>
          <t>LJUNGBY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8078-2020</t>
        </is>
      </c>
      <c r="B1452" s="1" t="n">
        <v>43874</v>
      </c>
      <c r="C1452" s="1" t="n">
        <v>45845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8418-2020</t>
        </is>
      </c>
      <c r="B1453" s="1" t="n">
        <v>43875</v>
      </c>
      <c r="C1453" s="1" t="n">
        <v>45845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8443-2020</t>
        </is>
      </c>
      <c r="B1454" s="1" t="n">
        <v>43875</v>
      </c>
      <c r="C1454" s="1" t="n">
        <v>45845</v>
      </c>
      <c r="D1454" t="inlineStr">
        <is>
          <t>KRONOBERGS LÄN</t>
        </is>
      </c>
      <c r="E1454" t="inlineStr">
        <is>
          <t>VÄXJÖ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8415-2020</t>
        </is>
      </c>
      <c r="B1455" s="1" t="n">
        <v>43875</v>
      </c>
      <c r="C1455" s="1" t="n">
        <v>45845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8618-2020</t>
        </is>
      </c>
      <c r="B1456" s="1" t="n">
        <v>43878</v>
      </c>
      <c r="C1456" s="1" t="n">
        <v>45845</v>
      </c>
      <c r="D1456" t="inlineStr">
        <is>
          <t>KRONOBERGS LÄN</t>
        </is>
      </c>
      <c r="E1456" t="inlineStr">
        <is>
          <t>ALVESTA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8592-2020</t>
        </is>
      </c>
      <c r="B1457" s="1" t="n">
        <v>43878</v>
      </c>
      <c r="C1457" s="1" t="n">
        <v>45845</v>
      </c>
      <c r="D1457" t="inlineStr">
        <is>
          <t>KRONOBERGS LÄN</t>
        </is>
      </c>
      <c r="E1457" t="inlineStr">
        <is>
          <t>TINGSRYD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8792-2020</t>
        </is>
      </c>
      <c r="B1458" s="1" t="n">
        <v>43878</v>
      </c>
      <c r="C1458" s="1" t="n">
        <v>45845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8817-2020</t>
        </is>
      </c>
      <c r="B1459" s="1" t="n">
        <v>43878</v>
      </c>
      <c r="C1459" s="1" t="n">
        <v>45845</v>
      </c>
      <c r="D1459" t="inlineStr">
        <is>
          <t>KRONOBERGS LÄN</t>
        </is>
      </c>
      <c r="E1459" t="inlineStr">
        <is>
          <t>ÄLMHULT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8753-2020</t>
        </is>
      </c>
      <c r="B1460" s="1" t="n">
        <v>43878</v>
      </c>
      <c r="C1460" s="1" t="n">
        <v>45845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8812-2020</t>
        </is>
      </c>
      <c r="B1461" s="1" t="n">
        <v>43878</v>
      </c>
      <c r="C1461" s="1" t="n">
        <v>45845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8983-2020</t>
        </is>
      </c>
      <c r="B1462" s="1" t="n">
        <v>43879</v>
      </c>
      <c r="C1462" s="1" t="n">
        <v>45845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9033-2020</t>
        </is>
      </c>
      <c r="B1463" s="1" t="n">
        <v>43879</v>
      </c>
      <c r="C1463" s="1" t="n">
        <v>45845</v>
      </c>
      <c r="D1463" t="inlineStr">
        <is>
          <t>KRONOBERGS LÄN</t>
        </is>
      </c>
      <c r="E1463" t="inlineStr">
        <is>
          <t>ÄLMHULT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9070-2020</t>
        </is>
      </c>
      <c r="B1464" s="1" t="n">
        <v>43879</v>
      </c>
      <c r="C1464" s="1" t="n">
        <v>45845</v>
      </c>
      <c r="D1464" t="inlineStr">
        <is>
          <t>KRONOBERGS LÄN</t>
        </is>
      </c>
      <c r="E1464" t="inlineStr">
        <is>
          <t>ALVESTA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9149-2020</t>
        </is>
      </c>
      <c r="B1465" s="1" t="n">
        <v>43879</v>
      </c>
      <c r="C1465" s="1" t="n">
        <v>45845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9223-2020</t>
        </is>
      </c>
      <c r="B1466" s="1" t="n">
        <v>43879</v>
      </c>
      <c r="C1466" s="1" t="n">
        <v>45845</v>
      </c>
      <c r="D1466" t="inlineStr">
        <is>
          <t>KRONOBERGS LÄN</t>
        </is>
      </c>
      <c r="E1466" t="inlineStr">
        <is>
          <t>TINGSRYD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9344-2020</t>
        </is>
      </c>
      <c r="B1467" s="1" t="n">
        <v>43880</v>
      </c>
      <c r="C1467" s="1" t="n">
        <v>45845</v>
      </c>
      <c r="D1467" t="inlineStr">
        <is>
          <t>KRONOBERGS LÄN</t>
        </is>
      </c>
      <c r="E1467" t="inlineStr">
        <is>
          <t>UPPVIDINGE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9303-2020</t>
        </is>
      </c>
      <c r="B1468" s="1" t="n">
        <v>43880</v>
      </c>
      <c r="C1468" s="1" t="n">
        <v>45845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9370-2020</t>
        </is>
      </c>
      <c r="B1469" s="1" t="n">
        <v>43880</v>
      </c>
      <c r="C1469" s="1" t="n">
        <v>45845</v>
      </c>
      <c r="D1469" t="inlineStr">
        <is>
          <t>KRONOBERGS LÄN</t>
        </is>
      </c>
      <c r="E1469" t="inlineStr">
        <is>
          <t>MARKARYD</t>
        </is>
      </c>
      <c r="F1469" t="inlineStr">
        <is>
          <t>Kommuner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9339-2020</t>
        </is>
      </c>
      <c r="B1470" s="1" t="n">
        <v>43880</v>
      </c>
      <c r="C1470" s="1" t="n">
        <v>45845</v>
      </c>
      <c r="D1470" t="inlineStr">
        <is>
          <t>KRONOBERGS LÄN</t>
        </is>
      </c>
      <c r="E1470" t="inlineStr">
        <is>
          <t>UPPVIDINGE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9347-2020</t>
        </is>
      </c>
      <c r="B1471" s="1" t="n">
        <v>43880</v>
      </c>
      <c r="C1471" s="1" t="n">
        <v>45845</v>
      </c>
      <c r="D1471" t="inlineStr">
        <is>
          <t>KRONOBERGS LÄN</t>
        </is>
      </c>
      <c r="E1471" t="inlineStr">
        <is>
          <t>UPPVIDINGE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9300-2020</t>
        </is>
      </c>
      <c r="B1472" s="1" t="n">
        <v>43880</v>
      </c>
      <c r="C1472" s="1" t="n">
        <v>45845</v>
      </c>
      <c r="D1472" t="inlineStr">
        <is>
          <t>KRONOBERGS LÄN</t>
        </is>
      </c>
      <c r="E1472" t="inlineStr">
        <is>
          <t>ALVESTA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9320-2020</t>
        </is>
      </c>
      <c r="B1473" s="1" t="n">
        <v>43880</v>
      </c>
      <c r="C1473" s="1" t="n">
        <v>45845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9340-2020</t>
        </is>
      </c>
      <c r="B1474" s="1" t="n">
        <v>43880</v>
      </c>
      <c r="C1474" s="1" t="n">
        <v>45845</v>
      </c>
      <c r="D1474" t="inlineStr">
        <is>
          <t>KRONOBERGS LÄN</t>
        </is>
      </c>
      <c r="E1474" t="inlineStr">
        <is>
          <t>UPPVIDINGE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9350-2020</t>
        </is>
      </c>
      <c r="B1475" s="1" t="n">
        <v>43880</v>
      </c>
      <c r="C1475" s="1" t="n">
        <v>45845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9615-2020</t>
        </is>
      </c>
      <c r="B1476" s="1" t="n">
        <v>43881</v>
      </c>
      <c r="C1476" s="1" t="n">
        <v>45845</v>
      </c>
      <c r="D1476" t="inlineStr">
        <is>
          <t>KRONOBERGS LÄN</t>
        </is>
      </c>
      <c r="E1476" t="inlineStr">
        <is>
          <t>TINGSRYD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9614-2020</t>
        </is>
      </c>
      <c r="B1477" s="1" t="n">
        <v>43881</v>
      </c>
      <c r="C1477" s="1" t="n">
        <v>45845</v>
      </c>
      <c r="D1477" t="inlineStr">
        <is>
          <t>KRONOBERGS LÄN</t>
        </is>
      </c>
      <c r="E1477" t="inlineStr">
        <is>
          <t>VÄXJÖ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9620-2020</t>
        </is>
      </c>
      <c r="B1478" s="1" t="n">
        <v>43881</v>
      </c>
      <c r="C1478" s="1" t="n">
        <v>45845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9753-2020</t>
        </is>
      </c>
      <c r="B1479" s="1" t="n">
        <v>43881</v>
      </c>
      <c r="C1479" s="1" t="n">
        <v>45845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9779-2020</t>
        </is>
      </c>
      <c r="B1480" s="1" t="n">
        <v>43881</v>
      </c>
      <c r="C1480" s="1" t="n">
        <v>45845</v>
      </c>
      <c r="D1480" t="inlineStr">
        <is>
          <t>KRONOBERGS LÄN</t>
        </is>
      </c>
      <c r="E1480" t="inlineStr">
        <is>
          <t>TINGSRYD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9821-2020</t>
        </is>
      </c>
      <c r="B1481" s="1" t="n">
        <v>43881</v>
      </c>
      <c r="C1481" s="1" t="n">
        <v>45845</v>
      </c>
      <c r="D1481" t="inlineStr">
        <is>
          <t>KRONOBERGS LÄN</t>
        </is>
      </c>
      <c r="E1481" t="inlineStr">
        <is>
          <t>LJUNGBY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9868-2020</t>
        </is>
      </c>
      <c r="B1482" s="1" t="n">
        <v>43882</v>
      </c>
      <c r="C1482" s="1" t="n">
        <v>45845</v>
      </c>
      <c r="D1482" t="inlineStr">
        <is>
          <t>KRONOBERGS LÄN</t>
        </is>
      </c>
      <c r="E1482" t="inlineStr">
        <is>
          <t>ÄLMHULT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9990-2020</t>
        </is>
      </c>
      <c r="B1483" s="1" t="n">
        <v>43882</v>
      </c>
      <c r="C1483" s="1" t="n">
        <v>45845</v>
      </c>
      <c r="D1483" t="inlineStr">
        <is>
          <t>KRONOBERGS LÄN</t>
        </is>
      </c>
      <c r="E1483" t="inlineStr">
        <is>
          <t>ÄLMHULT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10194-2020</t>
        </is>
      </c>
      <c r="B1484" s="1" t="n">
        <v>43885</v>
      </c>
      <c r="C1484" s="1" t="n">
        <v>45845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10208-2020</t>
        </is>
      </c>
      <c r="B1485" s="1" t="n">
        <v>43885</v>
      </c>
      <c r="C1485" s="1" t="n">
        <v>45845</v>
      </c>
      <c r="D1485" t="inlineStr">
        <is>
          <t>KRONOBERGS LÄN</t>
        </is>
      </c>
      <c r="E1485" t="inlineStr">
        <is>
          <t>VÄXJÖ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10278-2020</t>
        </is>
      </c>
      <c r="B1486" s="1" t="n">
        <v>43885</v>
      </c>
      <c r="C1486" s="1" t="n">
        <v>45845</v>
      </c>
      <c r="D1486" t="inlineStr">
        <is>
          <t>KRONOBERGS LÄN</t>
        </is>
      </c>
      <c r="E1486" t="inlineStr">
        <is>
          <t>UPPVIDINGE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11046-2020</t>
        </is>
      </c>
      <c r="B1487" s="1" t="n">
        <v>43885</v>
      </c>
      <c r="C1487" s="1" t="n">
        <v>45845</v>
      </c>
      <c r="D1487" t="inlineStr">
        <is>
          <t>KRONOBERGS LÄN</t>
        </is>
      </c>
      <c r="E1487" t="inlineStr">
        <is>
          <t>UPPVIDINGE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10427-2020</t>
        </is>
      </c>
      <c r="B1488" s="1" t="n">
        <v>43886</v>
      </c>
      <c r="C1488" s="1" t="n">
        <v>45845</v>
      </c>
      <c r="D1488" t="inlineStr">
        <is>
          <t>KRONOBERGS LÄN</t>
        </is>
      </c>
      <c r="E1488" t="inlineStr">
        <is>
          <t>TINGSRYD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10531-2020</t>
        </is>
      </c>
      <c r="B1489" s="1" t="n">
        <v>43886</v>
      </c>
      <c r="C1489" s="1" t="n">
        <v>45845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10178-2020</t>
        </is>
      </c>
      <c r="B1490" s="1" t="n">
        <v>43887</v>
      </c>
      <c r="C1490" s="1" t="n">
        <v>45845</v>
      </c>
      <c r="D1490" t="inlineStr">
        <is>
          <t>KRONOBERGS LÄN</t>
        </is>
      </c>
      <c r="E1490" t="inlineStr">
        <is>
          <t>UPPVIDINGE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10106-2020</t>
        </is>
      </c>
      <c r="B1491" s="1" t="n">
        <v>43887</v>
      </c>
      <c r="C1491" s="1" t="n">
        <v>45845</v>
      </c>
      <c r="D1491" t="inlineStr">
        <is>
          <t>KRONOBERGS LÄN</t>
        </is>
      </c>
      <c r="E1491" t="inlineStr">
        <is>
          <t>MARKARYD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10169-2020</t>
        </is>
      </c>
      <c r="B1492" s="1" t="n">
        <v>43887</v>
      </c>
      <c r="C1492" s="1" t="n">
        <v>45845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10606-2020</t>
        </is>
      </c>
      <c r="B1493" s="1" t="n">
        <v>43887</v>
      </c>
      <c r="C1493" s="1" t="n">
        <v>45845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10732-2020</t>
        </is>
      </c>
      <c r="B1494" s="1" t="n">
        <v>43888</v>
      </c>
      <c r="C1494" s="1" t="n">
        <v>45845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10774-2020</t>
        </is>
      </c>
      <c r="B1495" s="1" t="n">
        <v>43888</v>
      </c>
      <c r="C1495" s="1" t="n">
        <v>45845</v>
      </c>
      <c r="D1495" t="inlineStr">
        <is>
          <t>KRONOBERGS LÄN</t>
        </is>
      </c>
      <c r="E1495" t="inlineStr">
        <is>
          <t>UPPVIDINGE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10775-2020</t>
        </is>
      </c>
      <c r="B1496" s="1" t="n">
        <v>43888</v>
      </c>
      <c r="C1496" s="1" t="n">
        <v>45845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10997-2020</t>
        </is>
      </c>
      <c r="B1497" s="1" t="n">
        <v>43889</v>
      </c>
      <c r="C1497" s="1" t="n">
        <v>45845</v>
      </c>
      <c r="D1497" t="inlineStr">
        <is>
          <t>KRONOBERGS LÄN</t>
        </is>
      </c>
      <c r="E1497" t="inlineStr">
        <is>
          <t>MARKARYD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11123-2020</t>
        </is>
      </c>
      <c r="B1498" s="1" t="n">
        <v>43889</v>
      </c>
      <c r="C1498" s="1" t="n">
        <v>45845</v>
      </c>
      <c r="D1498" t="inlineStr">
        <is>
          <t>KRONOBERGS LÄN</t>
        </is>
      </c>
      <c r="E1498" t="inlineStr">
        <is>
          <t>UPPVIDINGE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11232-2020</t>
        </is>
      </c>
      <c r="B1499" s="1" t="n">
        <v>43892</v>
      </c>
      <c r="C1499" s="1" t="n">
        <v>45845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11402-2020</t>
        </is>
      </c>
      <c r="B1500" s="1" t="n">
        <v>43892</v>
      </c>
      <c r="C1500" s="1" t="n">
        <v>45845</v>
      </c>
      <c r="D1500" t="inlineStr">
        <is>
          <t>KRONOBERGS LÄN</t>
        </is>
      </c>
      <c r="E1500" t="inlineStr">
        <is>
          <t>ÄLMHULT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11236-2020</t>
        </is>
      </c>
      <c r="B1501" s="1" t="n">
        <v>43892</v>
      </c>
      <c r="C1501" s="1" t="n">
        <v>45845</v>
      </c>
      <c r="D1501" t="inlineStr">
        <is>
          <t>KRONOBERGS LÄN</t>
        </is>
      </c>
      <c r="E1501" t="inlineStr">
        <is>
          <t>TINGSRYD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11401-2020</t>
        </is>
      </c>
      <c r="B1502" s="1" t="n">
        <v>43892</v>
      </c>
      <c r="C1502" s="1" t="n">
        <v>45845</v>
      </c>
      <c r="D1502" t="inlineStr">
        <is>
          <t>KRONOBERGS LÄN</t>
        </is>
      </c>
      <c r="E1502" t="inlineStr">
        <is>
          <t>ÄLMHULT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11233-2020</t>
        </is>
      </c>
      <c r="B1503" s="1" t="n">
        <v>43892</v>
      </c>
      <c r="C1503" s="1" t="n">
        <v>45845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11182-2020</t>
        </is>
      </c>
      <c r="B1504" s="1" t="n">
        <v>43892</v>
      </c>
      <c r="C1504" s="1" t="n">
        <v>45845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11400-2020</t>
        </is>
      </c>
      <c r="B1505" s="1" t="n">
        <v>43892</v>
      </c>
      <c r="C1505" s="1" t="n">
        <v>45845</v>
      </c>
      <c r="D1505" t="inlineStr">
        <is>
          <t>KRONOBERGS LÄN</t>
        </is>
      </c>
      <c r="E1505" t="inlineStr">
        <is>
          <t>ÄLMHULT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11403-2020</t>
        </is>
      </c>
      <c r="B1506" s="1" t="n">
        <v>43892</v>
      </c>
      <c r="C1506" s="1" t="n">
        <v>45845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11583-2020</t>
        </is>
      </c>
      <c r="B1507" s="1" t="n">
        <v>43893</v>
      </c>
      <c r="C1507" s="1" t="n">
        <v>45845</v>
      </c>
      <c r="D1507" t="inlineStr">
        <is>
          <t>KRONOBERGS LÄN</t>
        </is>
      </c>
      <c r="E1507" t="inlineStr">
        <is>
          <t>ALVESTA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11571-2020</t>
        </is>
      </c>
      <c r="B1508" s="1" t="n">
        <v>43893</v>
      </c>
      <c r="C1508" s="1" t="n">
        <v>45845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11582-2020</t>
        </is>
      </c>
      <c r="B1509" s="1" t="n">
        <v>43893</v>
      </c>
      <c r="C1509" s="1" t="n">
        <v>45845</v>
      </c>
      <c r="D1509" t="inlineStr">
        <is>
          <t>KRONOBERGS LÄN</t>
        </is>
      </c>
      <c r="E1509" t="inlineStr">
        <is>
          <t>ALVESTA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11570-2020</t>
        </is>
      </c>
      <c r="B1510" s="1" t="n">
        <v>43893</v>
      </c>
      <c r="C1510" s="1" t="n">
        <v>45845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11706-2020</t>
        </is>
      </c>
      <c r="B1511" s="1" t="n">
        <v>43894</v>
      </c>
      <c r="C1511" s="1" t="n">
        <v>45845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11958-2020</t>
        </is>
      </c>
      <c r="B1512" s="1" t="n">
        <v>43894</v>
      </c>
      <c r="C1512" s="1" t="n">
        <v>45845</v>
      </c>
      <c r="D1512" t="inlineStr">
        <is>
          <t>KRONOBERGS LÄN</t>
        </is>
      </c>
      <c r="E1512" t="inlineStr">
        <is>
          <t>ALVESTA</t>
        </is>
      </c>
      <c r="F1512" t="inlineStr">
        <is>
          <t>Kyrkan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12004-2020</t>
        </is>
      </c>
      <c r="B1513" s="1" t="n">
        <v>43894</v>
      </c>
      <c r="C1513" s="1" t="n">
        <v>45845</v>
      </c>
      <c r="D1513" t="inlineStr">
        <is>
          <t>KRONOBERGS LÄN</t>
        </is>
      </c>
      <c r="E1513" t="inlineStr">
        <is>
          <t>UPPVIDINGE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12040-2020</t>
        </is>
      </c>
      <c r="B1514" s="1" t="n">
        <v>43894</v>
      </c>
      <c r="C1514" s="1" t="n">
        <v>45845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13412-2020</t>
        </is>
      </c>
      <c r="B1515" s="1" t="n">
        <v>43894</v>
      </c>
      <c r="C1515" s="1" t="n">
        <v>45845</v>
      </c>
      <c r="D1515" t="inlineStr">
        <is>
          <t>KRONOBERGS LÄN</t>
        </is>
      </c>
      <c r="E1515" t="inlineStr">
        <is>
          <t>VÄXJÖ</t>
        </is>
      </c>
      <c r="G1515" t="n">
        <v>18.9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12085-2020</t>
        </is>
      </c>
      <c r="B1516" s="1" t="n">
        <v>43895</v>
      </c>
      <c r="C1516" s="1" t="n">
        <v>45845</v>
      </c>
      <c r="D1516" t="inlineStr">
        <is>
          <t>KRONOBERGS LÄN</t>
        </is>
      </c>
      <c r="E1516" t="inlineStr">
        <is>
          <t>ÄLMHULT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12159-2020</t>
        </is>
      </c>
      <c r="B1517" s="1" t="n">
        <v>43895</v>
      </c>
      <c r="C1517" s="1" t="n">
        <v>45845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12091-2020</t>
        </is>
      </c>
      <c r="B1518" s="1" t="n">
        <v>43895</v>
      </c>
      <c r="C1518" s="1" t="n">
        <v>45845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12132-2020</t>
        </is>
      </c>
      <c r="B1519" s="1" t="n">
        <v>43895</v>
      </c>
      <c r="C1519" s="1" t="n">
        <v>45845</v>
      </c>
      <c r="D1519" t="inlineStr">
        <is>
          <t>KRONOBERGS LÄN</t>
        </is>
      </c>
      <c r="E1519" t="inlineStr">
        <is>
          <t>ALVESTA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12436-2020</t>
        </is>
      </c>
      <c r="B1520" s="1" t="n">
        <v>43896</v>
      </c>
      <c r="C1520" s="1" t="n">
        <v>45845</v>
      </c>
      <c r="D1520" t="inlineStr">
        <is>
          <t>KRONOBERGS LÄN</t>
        </is>
      </c>
      <c r="E1520" t="inlineStr">
        <is>
          <t>ÄLMHULT</t>
        </is>
      </c>
      <c r="G1520" t="n">
        <v>16.2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12344-2020</t>
        </is>
      </c>
      <c r="B1521" s="1" t="n">
        <v>43896</v>
      </c>
      <c r="C1521" s="1" t="n">
        <v>45845</v>
      </c>
      <c r="D1521" t="inlineStr">
        <is>
          <t>KRONOBERGS LÄN</t>
        </is>
      </c>
      <c r="E1521" t="inlineStr">
        <is>
          <t>TINGSRYD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12350-2020</t>
        </is>
      </c>
      <c r="B1522" s="1" t="n">
        <v>43896</v>
      </c>
      <c r="C1522" s="1" t="n">
        <v>45845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12551-2020</t>
        </is>
      </c>
      <c r="B1523" s="1" t="n">
        <v>43897</v>
      </c>
      <c r="C1523" s="1" t="n">
        <v>45845</v>
      </c>
      <c r="D1523" t="inlineStr">
        <is>
          <t>KRONOBERGS LÄN</t>
        </is>
      </c>
      <c r="E1523" t="inlineStr">
        <is>
          <t>ÄLMHULT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12642-2020</t>
        </is>
      </c>
      <c r="B1524" s="1" t="n">
        <v>43899</v>
      </c>
      <c r="C1524" s="1" t="n">
        <v>45845</v>
      </c>
      <c r="D1524" t="inlineStr">
        <is>
          <t>KRONOBERGS LÄN</t>
        </is>
      </c>
      <c r="E1524" t="inlineStr">
        <is>
          <t>UPPVIDINGE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12577-2020</t>
        </is>
      </c>
      <c r="B1525" s="1" t="n">
        <v>43899</v>
      </c>
      <c r="C1525" s="1" t="n">
        <v>45845</v>
      </c>
      <c r="D1525" t="inlineStr">
        <is>
          <t>KRONOBERGS LÄN</t>
        </is>
      </c>
      <c r="E1525" t="inlineStr">
        <is>
          <t>TINGSRYD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12809-2020</t>
        </is>
      </c>
      <c r="B1526" s="1" t="n">
        <v>43899</v>
      </c>
      <c r="C1526" s="1" t="n">
        <v>45845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12806-2020</t>
        </is>
      </c>
      <c r="B1527" s="1" t="n">
        <v>43899</v>
      </c>
      <c r="C1527" s="1" t="n">
        <v>45845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12808-2020</t>
        </is>
      </c>
      <c r="B1528" s="1" t="n">
        <v>43899</v>
      </c>
      <c r="C1528" s="1" t="n">
        <v>45845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13961-2020</t>
        </is>
      </c>
      <c r="B1529" s="1" t="n">
        <v>43899</v>
      </c>
      <c r="C1529" s="1" t="n">
        <v>45845</v>
      </c>
      <c r="D1529" t="inlineStr">
        <is>
          <t>KRONOBERGS LÄN</t>
        </is>
      </c>
      <c r="E1529" t="inlineStr">
        <is>
          <t>TINGSRYD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14192-2020</t>
        </is>
      </c>
      <c r="B1530" s="1" t="n">
        <v>43899</v>
      </c>
      <c r="C1530" s="1" t="n">
        <v>45845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13959-2020</t>
        </is>
      </c>
      <c r="B1531" s="1" t="n">
        <v>43899</v>
      </c>
      <c r="C1531" s="1" t="n">
        <v>45845</v>
      </c>
      <c r="D1531" t="inlineStr">
        <is>
          <t>KRONOBERGS LÄN</t>
        </is>
      </c>
      <c r="E1531" t="inlineStr">
        <is>
          <t>TINGSRYD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12883-2020</t>
        </is>
      </c>
      <c r="B1532" s="1" t="n">
        <v>43900</v>
      </c>
      <c r="C1532" s="1" t="n">
        <v>45845</v>
      </c>
      <c r="D1532" t="inlineStr">
        <is>
          <t>KRONOBERGS LÄN</t>
        </is>
      </c>
      <c r="E1532" t="inlineStr">
        <is>
          <t>TINGSRYD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13010-2020</t>
        </is>
      </c>
      <c r="B1533" s="1" t="n">
        <v>43900</v>
      </c>
      <c r="C1533" s="1" t="n">
        <v>45845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12879-2020</t>
        </is>
      </c>
      <c r="B1534" s="1" t="n">
        <v>43900</v>
      </c>
      <c r="C1534" s="1" t="n">
        <v>45845</v>
      </c>
      <c r="D1534" t="inlineStr">
        <is>
          <t>KRONOBERGS LÄN</t>
        </is>
      </c>
      <c r="E1534" t="inlineStr">
        <is>
          <t>TINGSRYD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13226-2020</t>
        </is>
      </c>
      <c r="B1535" s="1" t="n">
        <v>43901</v>
      </c>
      <c r="C1535" s="1" t="n">
        <v>45845</v>
      </c>
      <c r="D1535" t="inlineStr">
        <is>
          <t>KRONOBERGS LÄN</t>
        </is>
      </c>
      <c r="E1535" t="inlineStr">
        <is>
          <t>UPPVIDINGE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13120-2020</t>
        </is>
      </c>
      <c r="B1536" s="1" t="n">
        <v>43901</v>
      </c>
      <c r="C1536" s="1" t="n">
        <v>45845</v>
      </c>
      <c r="D1536" t="inlineStr">
        <is>
          <t>KRONOBERGS LÄN</t>
        </is>
      </c>
      <c r="E1536" t="inlineStr">
        <is>
          <t>ALVESTA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13348-2020</t>
        </is>
      </c>
      <c r="B1537" s="1" t="n">
        <v>43902</v>
      </c>
      <c r="C1537" s="1" t="n">
        <v>45845</v>
      </c>
      <c r="D1537" t="inlineStr">
        <is>
          <t>KRONOBERGS LÄN</t>
        </is>
      </c>
      <c r="E1537" t="inlineStr">
        <is>
          <t>VÄXJÖ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13363-2020</t>
        </is>
      </c>
      <c r="B1538" s="1" t="n">
        <v>43902</v>
      </c>
      <c r="C1538" s="1" t="n">
        <v>45845</v>
      </c>
      <c r="D1538" t="inlineStr">
        <is>
          <t>KRONOBERGS LÄN</t>
        </is>
      </c>
      <c r="E1538" t="inlineStr">
        <is>
          <t>UPPVIDINGE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13437-2020</t>
        </is>
      </c>
      <c r="B1539" s="1" t="n">
        <v>43902</v>
      </c>
      <c r="C1539" s="1" t="n">
        <v>45845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13423-2020</t>
        </is>
      </c>
      <c r="B1540" s="1" t="n">
        <v>43902</v>
      </c>
      <c r="C1540" s="1" t="n">
        <v>45845</v>
      </c>
      <c r="D1540" t="inlineStr">
        <is>
          <t>KRONOBERGS LÄN</t>
        </is>
      </c>
      <c r="E1540" t="inlineStr">
        <is>
          <t>TINGSRYD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13723-2020</t>
        </is>
      </c>
      <c r="B1541" s="1" t="n">
        <v>43903</v>
      </c>
      <c r="C1541" s="1" t="n">
        <v>45845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13721-2020</t>
        </is>
      </c>
      <c r="B1542" s="1" t="n">
        <v>43903</v>
      </c>
      <c r="C1542" s="1" t="n">
        <v>45845</v>
      </c>
      <c r="D1542" t="inlineStr">
        <is>
          <t>KRONOBERGS LÄN</t>
        </is>
      </c>
      <c r="E1542" t="inlineStr">
        <is>
          <t>LESSEBO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13772-2020</t>
        </is>
      </c>
      <c r="B1543" s="1" t="n">
        <v>43903</v>
      </c>
      <c r="C1543" s="1" t="n">
        <v>45845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13719-2020</t>
        </is>
      </c>
      <c r="B1544" s="1" t="n">
        <v>43903</v>
      </c>
      <c r="C1544" s="1" t="n">
        <v>45845</v>
      </c>
      <c r="D1544" t="inlineStr">
        <is>
          <t>KRONOBERGS LÄN</t>
        </is>
      </c>
      <c r="E1544" t="inlineStr">
        <is>
          <t>LESSEBO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13891-2020</t>
        </is>
      </c>
      <c r="B1545" s="1" t="n">
        <v>43906</v>
      </c>
      <c r="C1545" s="1" t="n">
        <v>45845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15002-2020</t>
        </is>
      </c>
      <c r="B1546" s="1" t="n">
        <v>43907</v>
      </c>
      <c r="C1546" s="1" t="n">
        <v>45845</v>
      </c>
      <c r="D1546" t="inlineStr">
        <is>
          <t>KRONOBERGS LÄN</t>
        </is>
      </c>
      <c r="E1546" t="inlineStr">
        <is>
          <t>UPPVIDINGE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14320-2020</t>
        </is>
      </c>
      <c r="B1547" s="1" t="n">
        <v>43907</v>
      </c>
      <c r="C1547" s="1" t="n">
        <v>45845</v>
      </c>
      <c r="D1547" t="inlineStr">
        <is>
          <t>KRONOBERGS LÄN</t>
        </is>
      </c>
      <c r="E1547" t="inlineStr">
        <is>
          <t>TINGSRYD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15577-2020</t>
        </is>
      </c>
      <c r="B1548" s="1" t="n">
        <v>43907</v>
      </c>
      <c r="C1548" s="1" t="n">
        <v>45845</v>
      </c>
      <c r="D1548" t="inlineStr">
        <is>
          <t>KRONOBERGS LÄN</t>
        </is>
      </c>
      <c r="E1548" t="inlineStr">
        <is>
          <t>UPPVIDINGE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16116-2020</t>
        </is>
      </c>
      <c r="B1549" s="1" t="n">
        <v>43907</v>
      </c>
      <c r="C1549" s="1" t="n">
        <v>45845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14156-2020</t>
        </is>
      </c>
      <c r="B1550" s="1" t="n">
        <v>43907</v>
      </c>
      <c r="C1550" s="1" t="n">
        <v>45845</v>
      </c>
      <c r="D1550" t="inlineStr">
        <is>
          <t>KRONOBERGS LÄN</t>
        </is>
      </c>
      <c r="E1550" t="inlineStr">
        <is>
          <t>ÄLMHULT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14264-2020</t>
        </is>
      </c>
      <c r="B1551" s="1" t="n">
        <v>43907</v>
      </c>
      <c r="C1551" s="1" t="n">
        <v>45845</v>
      </c>
      <c r="D1551" t="inlineStr">
        <is>
          <t>KRONOBERGS LÄN</t>
        </is>
      </c>
      <c r="E1551" t="inlineStr">
        <is>
          <t>VÄXJÖ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14204-2020</t>
        </is>
      </c>
      <c r="B1552" s="1" t="n">
        <v>43907</v>
      </c>
      <c r="C1552" s="1" t="n">
        <v>45845</v>
      </c>
      <c r="D1552" t="inlineStr">
        <is>
          <t>KRONOBERGS LÄN</t>
        </is>
      </c>
      <c r="E1552" t="inlineStr">
        <is>
          <t>TINGSRYD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14254-2020</t>
        </is>
      </c>
      <c r="B1553" s="1" t="n">
        <v>43907</v>
      </c>
      <c r="C1553" s="1" t="n">
        <v>45845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14443-2020</t>
        </is>
      </c>
      <c r="B1554" s="1" t="n">
        <v>43908</v>
      </c>
      <c r="C1554" s="1" t="n">
        <v>45845</v>
      </c>
      <c r="D1554" t="inlineStr">
        <is>
          <t>KRONOBERGS LÄN</t>
        </is>
      </c>
      <c r="E1554" t="inlineStr">
        <is>
          <t>ÄLMHULT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14392-2020</t>
        </is>
      </c>
      <c r="B1555" s="1" t="n">
        <v>43908</v>
      </c>
      <c r="C1555" s="1" t="n">
        <v>45845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14411-2020</t>
        </is>
      </c>
      <c r="B1556" s="1" t="n">
        <v>43908</v>
      </c>
      <c r="C1556" s="1" t="n">
        <v>45845</v>
      </c>
      <c r="D1556" t="inlineStr">
        <is>
          <t>KRONOBERGS LÄN</t>
        </is>
      </c>
      <c r="E1556" t="inlineStr">
        <is>
          <t>MARKARYD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14415-2020</t>
        </is>
      </c>
      <c r="B1557" s="1" t="n">
        <v>43908</v>
      </c>
      <c r="C1557" s="1" t="n">
        <v>45845</v>
      </c>
      <c r="D1557" t="inlineStr">
        <is>
          <t>KRONOBERGS LÄN</t>
        </is>
      </c>
      <c r="E1557" t="inlineStr">
        <is>
          <t>ÄLMHULT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15349-2020</t>
        </is>
      </c>
      <c r="B1558" s="1" t="n">
        <v>43908</v>
      </c>
      <c r="C1558" s="1" t="n">
        <v>45845</v>
      </c>
      <c r="D1558" t="inlineStr">
        <is>
          <t>KRONOBERGS LÄN</t>
        </is>
      </c>
      <c r="E1558" t="inlineStr">
        <is>
          <t>TINGSRYD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15347-2020</t>
        </is>
      </c>
      <c r="B1559" s="1" t="n">
        <v>43908</v>
      </c>
      <c r="C1559" s="1" t="n">
        <v>45845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14599-2020</t>
        </is>
      </c>
      <c r="B1560" s="1" t="n">
        <v>43909</v>
      </c>
      <c r="C1560" s="1" t="n">
        <v>45845</v>
      </c>
      <c r="D1560" t="inlineStr">
        <is>
          <t>KRONOBERGS LÄN</t>
        </is>
      </c>
      <c r="E1560" t="inlineStr">
        <is>
          <t>TINGSRYD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14766-2020</t>
        </is>
      </c>
      <c r="B1561" s="1" t="n">
        <v>43909</v>
      </c>
      <c r="C1561" s="1" t="n">
        <v>45845</v>
      </c>
      <c r="D1561" t="inlineStr">
        <is>
          <t>KRONOBERGS LÄN</t>
        </is>
      </c>
      <c r="E1561" t="inlineStr">
        <is>
          <t>ÄLMHULT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16602-2020</t>
        </is>
      </c>
      <c r="B1562" s="1" t="n">
        <v>43909</v>
      </c>
      <c r="C1562" s="1" t="n">
        <v>45845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16622-2020</t>
        </is>
      </c>
      <c r="B1563" s="1" t="n">
        <v>43909</v>
      </c>
      <c r="C1563" s="1" t="n">
        <v>45845</v>
      </c>
      <c r="D1563" t="inlineStr">
        <is>
          <t>KRONOBERGS LÄN</t>
        </is>
      </c>
      <c r="E1563" t="inlineStr">
        <is>
          <t>VÄXJÖ</t>
        </is>
      </c>
      <c r="G1563" t="n">
        <v>14.3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16598-2020</t>
        </is>
      </c>
      <c r="B1564" s="1" t="n">
        <v>43909</v>
      </c>
      <c r="C1564" s="1" t="n">
        <v>45845</v>
      </c>
      <c r="D1564" t="inlineStr">
        <is>
          <t>KRONOBERGS LÄN</t>
        </is>
      </c>
      <c r="E1564" t="inlineStr">
        <is>
          <t>VÄXJÖ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15108-2020</t>
        </is>
      </c>
      <c r="B1565" s="1" t="n">
        <v>43910</v>
      </c>
      <c r="C1565" s="1" t="n">
        <v>45845</v>
      </c>
      <c r="D1565" t="inlineStr">
        <is>
          <t>KRONOBERGS LÄN</t>
        </is>
      </c>
      <c r="E1565" t="inlineStr">
        <is>
          <t>LJUNGBY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15341-2020</t>
        </is>
      </c>
      <c r="B1566" s="1" t="n">
        <v>43913</v>
      </c>
      <c r="C1566" s="1" t="n">
        <v>45845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15366-2020</t>
        </is>
      </c>
      <c r="B1567" s="1" t="n">
        <v>43913</v>
      </c>
      <c r="C1567" s="1" t="n">
        <v>45845</v>
      </c>
      <c r="D1567" t="inlineStr">
        <is>
          <t>KRONOBERGS LÄN</t>
        </is>
      </c>
      <c r="E1567" t="inlineStr">
        <is>
          <t>TINGSRYD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15192-2020</t>
        </is>
      </c>
      <c r="B1568" s="1" t="n">
        <v>43913</v>
      </c>
      <c r="C1568" s="1" t="n">
        <v>45845</v>
      </c>
      <c r="D1568" t="inlineStr">
        <is>
          <t>KRONOBERGS LÄN</t>
        </is>
      </c>
      <c r="E1568" t="inlineStr">
        <is>
          <t>TINGSRYD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15188-2020</t>
        </is>
      </c>
      <c r="B1569" s="1" t="n">
        <v>43913</v>
      </c>
      <c r="C1569" s="1" t="n">
        <v>45845</v>
      </c>
      <c r="D1569" t="inlineStr">
        <is>
          <t>KRONOBERGS LÄN</t>
        </is>
      </c>
      <c r="E1569" t="inlineStr">
        <is>
          <t>TINGSRYD</t>
        </is>
      </c>
      <c r="G1569" t="n">
        <v>16.4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15231-2020</t>
        </is>
      </c>
      <c r="B1570" s="1" t="n">
        <v>43913</v>
      </c>
      <c r="C1570" s="1" t="n">
        <v>45845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15239-2020</t>
        </is>
      </c>
      <c r="B1571" s="1" t="n">
        <v>43913</v>
      </c>
      <c r="C1571" s="1" t="n">
        <v>45845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17214-2020</t>
        </is>
      </c>
      <c r="B1572" s="1" t="n">
        <v>43913</v>
      </c>
      <c r="C1572" s="1" t="n">
        <v>45845</v>
      </c>
      <c r="D1572" t="inlineStr">
        <is>
          <t>KRONOBERGS LÄN</t>
        </is>
      </c>
      <c r="E1572" t="inlineStr">
        <is>
          <t>ÄLMHULT</t>
        </is>
      </c>
      <c r="F1572" t="inlineStr">
        <is>
          <t>Kyrkan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15487-2020</t>
        </is>
      </c>
      <c r="B1573" s="1" t="n">
        <v>43914</v>
      </c>
      <c r="C1573" s="1" t="n">
        <v>45845</v>
      </c>
      <c r="D1573" t="inlineStr">
        <is>
          <t>KRONOBERGS LÄN</t>
        </is>
      </c>
      <c r="E1573" t="inlineStr">
        <is>
          <t>LJUNGBY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15585-2020</t>
        </is>
      </c>
      <c r="B1574" s="1" t="n">
        <v>43914</v>
      </c>
      <c r="C1574" s="1" t="n">
        <v>45845</v>
      </c>
      <c r="D1574" t="inlineStr">
        <is>
          <t>KRONOBERGS LÄN</t>
        </is>
      </c>
      <c r="E1574" t="inlineStr">
        <is>
          <t>MARKARYD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15449-2020</t>
        </is>
      </c>
      <c r="B1575" s="1" t="n">
        <v>43914</v>
      </c>
      <c r="C1575" s="1" t="n">
        <v>45845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15602-2020</t>
        </is>
      </c>
      <c r="B1576" s="1" t="n">
        <v>43914</v>
      </c>
      <c r="C1576" s="1" t="n">
        <v>45845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15791-2020</t>
        </is>
      </c>
      <c r="B1577" s="1" t="n">
        <v>43915</v>
      </c>
      <c r="C1577" s="1" t="n">
        <v>45845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15773-2020</t>
        </is>
      </c>
      <c r="B1578" s="1" t="n">
        <v>43915</v>
      </c>
      <c r="C1578" s="1" t="n">
        <v>45845</v>
      </c>
      <c r="D1578" t="inlineStr">
        <is>
          <t>KRONOBERGS LÄN</t>
        </is>
      </c>
      <c r="E1578" t="inlineStr">
        <is>
          <t>ALVESTA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15718-2020</t>
        </is>
      </c>
      <c r="B1579" s="1" t="n">
        <v>43915</v>
      </c>
      <c r="C1579" s="1" t="n">
        <v>45845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15858-2020</t>
        </is>
      </c>
      <c r="B1580" s="1" t="n">
        <v>43915</v>
      </c>
      <c r="C1580" s="1" t="n">
        <v>45845</v>
      </c>
      <c r="D1580" t="inlineStr">
        <is>
          <t>KRONOBERGS LÄN</t>
        </is>
      </c>
      <c r="E1580" t="inlineStr">
        <is>
          <t>LJUNGBY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15830-2020</t>
        </is>
      </c>
      <c r="B1581" s="1" t="n">
        <v>43915</v>
      </c>
      <c r="C1581" s="1" t="n">
        <v>45845</v>
      </c>
      <c r="D1581" t="inlineStr">
        <is>
          <t>KRONOBERGS LÄN</t>
        </is>
      </c>
      <c r="E1581" t="inlineStr">
        <is>
          <t>ÄLMHULT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15881-2020</t>
        </is>
      </c>
      <c r="B1582" s="1" t="n">
        <v>43915</v>
      </c>
      <c r="C1582" s="1" t="n">
        <v>45845</v>
      </c>
      <c r="D1582" t="inlineStr">
        <is>
          <t>KRONOBERGS LÄN</t>
        </is>
      </c>
      <c r="E1582" t="inlineStr">
        <is>
          <t>TINGSRYD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15770-2020</t>
        </is>
      </c>
      <c r="B1583" s="1" t="n">
        <v>43915</v>
      </c>
      <c r="C1583" s="1" t="n">
        <v>45845</v>
      </c>
      <c r="D1583" t="inlineStr">
        <is>
          <t>KRONOBERGS LÄN</t>
        </is>
      </c>
      <c r="E1583" t="inlineStr">
        <is>
          <t>ALVESTA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15759-2020</t>
        </is>
      </c>
      <c r="B1584" s="1" t="n">
        <v>43915</v>
      </c>
      <c r="C1584" s="1" t="n">
        <v>45845</v>
      </c>
      <c r="D1584" t="inlineStr">
        <is>
          <t>KRONOBERGS LÄN</t>
        </is>
      </c>
      <c r="E1584" t="inlineStr">
        <is>
          <t>ÄLMHULT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17293-2020</t>
        </is>
      </c>
      <c r="B1585" s="1" t="n">
        <v>43915</v>
      </c>
      <c r="C1585" s="1" t="n">
        <v>45845</v>
      </c>
      <c r="D1585" t="inlineStr">
        <is>
          <t>KRONOBERGS LÄN</t>
        </is>
      </c>
      <c r="E1585" t="inlineStr">
        <is>
          <t>TINGSRYD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16099-2020</t>
        </is>
      </c>
      <c r="B1586" s="1" t="n">
        <v>43916</v>
      </c>
      <c r="C1586" s="1" t="n">
        <v>45845</v>
      </c>
      <c r="D1586" t="inlineStr">
        <is>
          <t>KRONOBERGS LÄN</t>
        </is>
      </c>
      <c r="E1586" t="inlineStr">
        <is>
          <t>LJUNGBY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16117-2020</t>
        </is>
      </c>
      <c r="B1587" s="1" t="n">
        <v>43916</v>
      </c>
      <c r="C1587" s="1" t="n">
        <v>45845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17363-2020</t>
        </is>
      </c>
      <c r="B1588" s="1" t="n">
        <v>43916</v>
      </c>
      <c r="C1588" s="1" t="n">
        <v>45845</v>
      </c>
      <c r="D1588" t="inlineStr">
        <is>
          <t>KRONOBERGS LÄN</t>
        </is>
      </c>
      <c r="E1588" t="inlineStr">
        <is>
          <t>TINGSRYD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17379-2020</t>
        </is>
      </c>
      <c r="B1589" s="1" t="n">
        <v>43916</v>
      </c>
      <c r="C1589" s="1" t="n">
        <v>45845</v>
      </c>
      <c r="D1589" t="inlineStr">
        <is>
          <t>KRONOBERGS LÄN</t>
        </is>
      </c>
      <c r="E1589" t="inlineStr">
        <is>
          <t>VÄXJÖ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17359-2020</t>
        </is>
      </c>
      <c r="B1590" s="1" t="n">
        <v>43916</v>
      </c>
      <c r="C1590" s="1" t="n">
        <v>45845</v>
      </c>
      <c r="D1590" t="inlineStr">
        <is>
          <t>KRONOBERGS LÄN</t>
        </is>
      </c>
      <c r="E1590" t="inlineStr">
        <is>
          <t>TINGSRYD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17358-2020</t>
        </is>
      </c>
      <c r="B1591" s="1" t="n">
        <v>43916</v>
      </c>
      <c r="C1591" s="1" t="n">
        <v>45845</v>
      </c>
      <c r="D1591" t="inlineStr">
        <is>
          <t>KRONOBERGS LÄN</t>
        </is>
      </c>
      <c r="E1591" t="inlineStr">
        <is>
          <t>TINGSRYD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17439-2020</t>
        </is>
      </c>
      <c r="B1592" s="1" t="n">
        <v>43916</v>
      </c>
      <c r="C1592" s="1" t="n">
        <v>45845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16175-2020</t>
        </is>
      </c>
      <c r="B1593" s="1" t="n">
        <v>43917</v>
      </c>
      <c r="C1593" s="1" t="n">
        <v>45845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16324-2020</t>
        </is>
      </c>
      <c r="B1594" s="1" t="n">
        <v>43917</v>
      </c>
      <c r="C1594" s="1" t="n">
        <v>45845</v>
      </c>
      <c r="D1594" t="inlineStr">
        <is>
          <t>KRONOBERGS LÄN</t>
        </is>
      </c>
      <c r="E1594" t="inlineStr">
        <is>
          <t>TINGSRYD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16291-2020</t>
        </is>
      </c>
      <c r="B1595" s="1" t="n">
        <v>43917</v>
      </c>
      <c r="C1595" s="1" t="n">
        <v>45845</v>
      </c>
      <c r="D1595" t="inlineStr">
        <is>
          <t>KRONOBERGS LÄN</t>
        </is>
      </c>
      <c r="E1595" t="inlineStr">
        <is>
          <t>ÄLMHULT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16337-2020</t>
        </is>
      </c>
      <c r="B1596" s="1" t="n">
        <v>43917</v>
      </c>
      <c r="C1596" s="1" t="n">
        <v>45845</v>
      </c>
      <c r="D1596" t="inlineStr">
        <is>
          <t>KRONOBERGS LÄN</t>
        </is>
      </c>
      <c r="E1596" t="inlineStr">
        <is>
          <t>TINGSRYD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16272-2020</t>
        </is>
      </c>
      <c r="B1597" s="1" t="n">
        <v>43917</v>
      </c>
      <c r="C1597" s="1" t="n">
        <v>45845</v>
      </c>
      <c r="D1597" t="inlineStr">
        <is>
          <t>KRONOBERGS LÄN</t>
        </is>
      </c>
      <c r="E1597" t="inlineStr">
        <is>
          <t>MARKARYD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16328-2020</t>
        </is>
      </c>
      <c r="B1598" s="1" t="n">
        <v>43917</v>
      </c>
      <c r="C1598" s="1" t="n">
        <v>45845</v>
      </c>
      <c r="D1598" t="inlineStr">
        <is>
          <t>KRONOBERGS LÄN</t>
        </is>
      </c>
      <c r="E1598" t="inlineStr">
        <is>
          <t>TINGSRYD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16336-2020</t>
        </is>
      </c>
      <c r="B1599" s="1" t="n">
        <v>43917</v>
      </c>
      <c r="C1599" s="1" t="n">
        <v>45845</v>
      </c>
      <c r="D1599" t="inlineStr">
        <is>
          <t>KRONOBERGS LÄN</t>
        </is>
      </c>
      <c r="E1599" t="inlineStr">
        <is>
          <t>TINGSRYD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16323-2020</t>
        </is>
      </c>
      <c r="B1600" s="1" t="n">
        <v>43917</v>
      </c>
      <c r="C1600" s="1" t="n">
        <v>45845</v>
      </c>
      <c r="D1600" t="inlineStr">
        <is>
          <t>KRONOBERGS LÄN</t>
        </is>
      </c>
      <c r="E1600" t="inlineStr">
        <is>
          <t>TINGSRYD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16346-2020</t>
        </is>
      </c>
      <c r="B1601" s="1" t="n">
        <v>43917</v>
      </c>
      <c r="C1601" s="1" t="n">
        <v>45845</v>
      </c>
      <c r="D1601" t="inlineStr">
        <is>
          <t>KRONOBERGS LÄN</t>
        </is>
      </c>
      <c r="E1601" t="inlineStr">
        <is>
          <t>TINGSRYD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16360-2020</t>
        </is>
      </c>
      <c r="B1602" s="1" t="n">
        <v>43917</v>
      </c>
      <c r="C1602" s="1" t="n">
        <v>45845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16549-2020</t>
        </is>
      </c>
      <c r="B1603" s="1" t="n">
        <v>43920</v>
      </c>
      <c r="C1603" s="1" t="n">
        <v>45845</v>
      </c>
      <c r="D1603" t="inlineStr">
        <is>
          <t>KRONOBERGS LÄN</t>
        </is>
      </c>
      <c r="E1603" t="inlineStr">
        <is>
          <t>LESSEBO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16596-2020</t>
        </is>
      </c>
      <c r="B1604" s="1" t="n">
        <v>43920</v>
      </c>
      <c r="C1604" s="1" t="n">
        <v>45845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16719-2020</t>
        </is>
      </c>
      <c r="B1605" s="1" t="n">
        <v>43920</v>
      </c>
      <c r="C1605" s="1" t="n">
        <v>45845</v>
      </c>
      <c r="D1605" t="inlineStr">
        <is>
          <t>KRONOBERGS LÄN</t>
        </is>
      </c>
      <c r="E1605" t="inlineStr">
        <is>
          <t>ÄLMHULT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16735-2020</t>
        </is>
      </c>
      <c r="B1606" s="1" t="n">
        <v>43920</v>
      </c>
      <c r="C1606" s="1" t="n">
        <v>45845</v>
      </c>
      <c r="D1606" t="inlineStr">
        <is>
          <t>KRONOBERGS LÄN</t>
        </is>
      </c>
      <c r="E1606" t="inlineStr">
        <is>
          <t>VÄXJÖ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16581-2020</t>
        </is>
      </c>
      <c r="B1607" s="1" t="n">
        <v>43920</v>
      </c>
      <c r="C1607" s="1" t="n">
        <v>45845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16653-2020</t>
        </is>
      </c>
      <c r="B1608" s="1" t="n">
        <v>43920</v>
      </c>
      <c r="C1608" s="1" t="n">
        <v>45845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16683-2020</t>
        </is>
      </c>
      <c r="B1609" s="1" t="n">
        <v>43920</v>
      </c>
      <c r="C1609" s="1" t="n">
        <v>45845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16739-2020</t>
        </is>
      </c>
      <c r="B1610" s="1" t="n">
        <v>43920</v>
      </c>
      <c r="C1610" s="1" t="n">
        <v>45845</v>
      </c>
      <c r="D1610" t="inlineStr">
        <is>
          <t>KRONOBERGS LÄN</t>
        </is>
      </c>
      <c r="E1610" t="inlineStr">
        <is>
          <t>VÄXJÖ</t>
        </is>
      </c>
      <c r="G1610" t="n">
        <v>12.2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16941-2020</t>
        </is>
      </c>
      <c r="B1611" s="1" t="n">
        <v>43921</v>
      </c>
      <c r="C1611" s="1" t="n">
        <v>45845</v>
      </c>
      <c r="D1611" t="inlineStr">
        <is>
          <t>KRONOBERGS LÄN</t>
        </is>
      </c>
      <c r="E1611" t="inlineStr">
        <is>
          <t>TINGSRYD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16954-2020</t>
        </is>
      </c>
      <c r="B1612" s="1" t="n">
        <v>43921</v>
      </c>
      <c r="C1612" s="1" t="n">
        <v>45845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16855-2020</t>
        </is>
      </c>
      <c r="B1613" s="1" t="n">
        <v>43921</v>
      </c>
      <c r="C1613" s="1" t="n">
        <v>45845</v>
      </c>
      <c r="D1613" t="inlineStr">
        <is>
          <t>KRONOBERGS LÄN</t>
        </is>
      </c>
      <c r="E1613" t="inlineStr">
        <is>
          <t>TINGSRYD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16802-2020</t>
        </is>
      </c>
      <c r="B1614" s="1" t="n">
        <v>43921</v>
      </c>
      <c r="C1614" s="1" t="n">
        <v>45845</v>
      </c>
      <c r="D1614" t="inlineStr">
        <is>
          <t>KRONOBERGS LÄN</t>
        </is>
      </c>
      <c r="E1614" t="inlineStr">
        <is>
          <t>ÄLMHULT</t>
        </is>
      </c>
      <c r="G1614" t="n">
        <v>19.4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16945-2020</t>
        </is>
      </c>
      <c r="B1615" s="1" t="n">
        <v>43921</v>
      </c>
      <c r="C1615" s="1" t="n">
        <v>45845</v>
      </c>
      <c r="D1615" t="inlineStr">
        <is>
          <t>KRONOBERGS LÄN</t>
        </is>
      </c>
      <c r="E1615" t="inlineStr">
        <is>
          <t>ALVESTA</t>
        </is>
      </c>
      <c r="F1615" t="inlineStr">
        <is>
          <t>Kyrkan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16957-2020</t>
        </is>
      </c>
      <c r="B1616" s="1" t="n">
        <v>43921</v>
      </c>
      <c r="C1616" s="1" t="n">
        <v>45845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16926-2020</t>
        </is>
      </c>
      <c r="B1617" s="1" t="n">
        <v>43921</v>
      </c>
      <c r="C1617" s="1" t="n">
        <v>45845</v>
      </c>
      <c r="D1617" t="inlineStr">
        <is>
          <t>KRONOBERGS LÄN</t>
        </is>
      </c>
      <c r="E1617" t="inlineStr">
        <is>
          <t>TINGSRYD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16944-2020</t>
        </is>
      </c>
      <c r="B1618" s="1" t="n">
        <v>43921</v>
      </c>
      <c r="C1618" s="1" t="n">
        <v>45845</v>
      </c>
      <c r="D1618" t="inlineStr">
        <is>
          <t>KRONOBERGS LÄN</t>
        </is>
      </c>
      <c r="E1618" t="inlineStr">
        <is>
          <t>VÄXJÖ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16956-2020</t>
        </is>
      </c>
      <c r="B1619" s="1" t="n">
        <v>43921</v>
      </c>
      <c r="C1619" s="1" t="n">
        <v>45845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16967-2020</t>
        </is>
      </c>
      <c r="B1620" s="1" t="n">
        <v>43921</v>
      </c>
      <c r="C1620" s="1" t="n">
        <v>45845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17329-2020</t>
        </is>
      </c>
      <c r="B1621" s="1" t="n">
        <v>43922</v>
      </c>
      <c r="C1621" s="1" t="n">
        <v>45845</v>
      </c>
      <c r="D1621" t="inlineStr">
        <is>
          <t>KRONOBERGS LÄN</t>
        </is>
      </c>
      <c r="E1621" t="inlineStr">
        <is>
          <t>LJUNGBY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17508-2020</t>
        </is>
      </c>
      <c r="B1622" s="1" t="n">
        <v>43923</v>
      </c>
      <c r="C1622" s="1" t="n">
        <v>45845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17705-2020</t>
        </is>
      </c>
      <c r="B1623" s="1" t="n">
        <v>43924</v>
      </c>
      <c r="C1623" s="1" t="n">
        <v>45845</v>
      </c>
      <c r="D1623" t="inlineStr">
        <is>
          <t>KRONOBERGS LÄN</t>
        </is>
      </c>
      <c r="E1623" t="inlineStr">
        <is>
          <t>LJUNGBY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17827-2020</t>
        </is>
      </c>
      <c r="B1624" s="1" t="n">
        <v>43924</v>
      </c>
      <c r="C1624" s="1" t="n">
        <v>45845</v>
      </c>
      <c r="D1624" t="inlineStr">
        <is>
          <t>KRONOBERGS LÄN</t>
        </is>
      </c>
      <c r="E1624" t="inlineStr">
        <is>
          <t>MARKARYD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17982-2020</t>
        </is>
      </c>
      <c r="B1625" s="1" t="n">
        <v>43926</v>
      </c>
      <c r="C1625" s="1" t="n">
        <v>45845</v>
      </c>
      <c r="D1625" t="inlineStr">
        <is>
          <t>KRONOBERGS LÄN</t>
        </is>
      </c>
      <c r="E1625" t="inlineStr">
        <is>
          <t>ÄLMHULT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18061-2020</t>
        </is>
      </c>
      <c r="B1626" s="1" t="n">
        <v>43927</v>
      </c>
      <c r="C1626" s="1" t="n">
        <v>45845</v>
      </c>
      <c r="D1626" t="inlineStr">
        <is>
          <t>KRONOBERGS LÄN</t>
        </is>
      </c>
      <c r="E1626" t="inlineStr">
        <is>
          <t>TINGSRYD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18072-2020</t>
        </is>
      </c>
      <c r="B1627" s="1" t="n">
        <v>43927</v>
      </c>
      <c r="C1627" s="1" t="n">
        <v>45845</v>
      </c>
      <c r="D1627" t="inlineStr">
        <is>
          <t>KRONOBERGS LÄN</t>
        </is>
      </c>
      <c r="E1627" t="inlineStr">
        <is>
          <t>UPPVIDINGE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18192-2020</t>
        </is>
      </c>
      <c r="B1628" s="1" t="n">
        <v>43927</v>
      </c>
      <c r="C1628" s="1" t="n">
        <v>45845</v>
      </c>
      <c r="D1628" t="inlineStr">
        <is>
          <t>KRONOBERGS LÄN</t>
        </is>
      </c>
      <c r="E1628" t="inlineStr">
        <is>
          <t>LJUNGBY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18028-2020</t>
        </is>
      </c>
      <c r="B1629" s="1" t="n">
        <v>43927</v>
      </c>
      <c r="C1629" s="1" t="n">
        <v>45845</v>
      </c>
      <c r="D1629" t="inlineStr">
        <is>
          <t>KRONOBERGS LÄN</t>
        </is>
      </c>
      <c r="E1629" t="inlineStr">
        <is>
          <t>VÄXJÖ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18330-2020</t>
        </is>
      </c>
      <c r="B1630" s="1" t="n">
        <v>43927</v>
      </c>
      <c r="C1630" s="1" t="n">
        <v>45845</v>
      </c>
      <c r="D1630" t="inlineStr">
        <is>
          <t>KRONOBERGS LÄN</t>
        </is>
      </c>
      <c r="E1630" t="inlineStr">
        <is>
          <t>LJUNGBY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18297-2020</t>
        </is>
      </c>
      <c r="B1631" s="1" t="n">
        <v>43928</v>
      </c>
      <c r="C1631" s="1" t="n">
        <v>45845</v>
      </c>
      <c r="D1631" t="inlineStr">
        <is>
          <t>KRONOBERGS LÄN</t>
        </is>
      </c>
      <c r="E1631" t="inlineStr">
        <is>
          <t>MARKARYD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18292-2020</t>
        </is>
      </c>
      <c r="B1632" s="1" t="n">
        <v>43928</v>
      </c>
      <c r="C1632" s="1" t="n">
        <v>45845</v>
      </c>
      <c r="D1632" t="inlineStr">
        <is>
          <t>KRONOBERGS LÄN</t>
        </is>
      </c>
      <c r="E1632" t="inlineStr">
        <is>
          <t>MARKARYD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18373-2020</t>
        </is>
      </c>
      <c r="B1633" s="1" t="n">
        <v>43928</v>
      </c>
      <c r="C1633" s="1" t="n">
        <v>45845</v>
      </c>
      <c r="D1633" t="inlineStr">
        <is>
          <t>KRONOBERGS LÄN</t>
        </is>
      </c>
      <c r="E1633" t="inlineStr">
        <is>
          <t>TINGSRYD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18526-2020</t>
        </is>
      </c>
      <c r="B1634" s="1" t="n">
        <v>43929</v>
      </c>
      <c r="C1634" s="1" t="n">
        <v>45845</v>
      </c>
      <c r="D1634" t="inlineStr">
        <is>
          <t>KRONOBERGS LÄN</t>
        </is>
      </c>
      <c r="E1634" t="inlineStr">
        <is>
          <t>MARKARYD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18522-2020</t>
        </is>
      </c>
      <c r="B1635" s="1" t="n">
        <v>43929</v>
      </c>
      <c r="C1635" s="1" t="n">
        <v>45845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18537-2020</t>
        </is>
      </c>
      <c r="B1636" s="1" t="n">
        <v>43929</v>
      </c>
      <c r="C1636" s="1" t="n">
        <v>45845</v>
      </c>
      <c r="D1636" t="inlineStr">
        <is>
          <t>KRONOBERGS LÄN</t>
        </is>
      </c>
      <c r="E1636" t="inlineStr">
        <is>
          <t>TINGSRYD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18574-2020</t>
        </is>
      </c>
      <c r="B1637" s="1" t="n">
        <v>43929</v>
      </c>
      <c r="C1637" s="1" t="n">
        <v>45845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18589-2020</t>
        </is>
      </c>
      <c r="B1638" s="1" t="n">
        <v>43929</v>
      </c>
      <c r="C1638" s="1" t="n">
        <v>45845</v>
      </c>
      <c r="D1638" t="inlineStr">
        <is>
          <t>KRONOBERGS LÄN</t>
        </is>
      </c>
      <c r="E1638" t="inlineStr">
        <is>
          <t>LJUNGBY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18737-2020</t>
        </is>
      </c>
      <c r="B1639" s="1" t="n">
        <v>43930</v>
      </c>
      <c r="C1639" s="1" t="n">
        <v>45845</v>
      </c>
      <c r="D1639" t="inlineStr">
        <is>
          <t>KRONOBERGS LÄN</t>
        </is>
      </c>
      <c r="E1639" t="inlineStr">
        <is>
          <t>TINGSRYD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18742-2020</t>
        </is>
      </c>
      <c r="B1640" s="1" t="n">
        <v>43930</v>
      </c>
      <c r="C1640" s="1" t="n">
        <v>45845</v>
      </c>
      <c r="D1640" t="inlineStr">
        <is>
          <t>KRONOBERGS LÄN</t>
        </is>
      </c>
      <c r="E1640" t="inlineStr">
        <is>
          <t>TINGSRYD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19105-2020</t>
        </is>
      </c>
      <c r="B1641" s="1" t="n">
        <v>43936</v>
      </c>
      <c r="C1641" s="1" t="n">
        <v>45845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19110-2020</t>
        </is>
      </c>
      <c r="B1642" s="1" t="n">
        <v>43936</v>
      </c>
      <c r="C1642" s="1" t="n">
        <v>45845</v>
      </c>
      <c r="D1642" t="inlineStr">
        <is>
          <t>KRONOBERGS LÄN</t>
        </is>
      </c>
      <c r="E1642" t="inlineStr">
        <is>
          <t>VÄXJÖ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19563-2020</t>
        </is>
      </c>
      <c r="B1643" s="1" t="n">
        <v>43936</v>
      </c>
      <c r="C1643" s="1" t="n">
        <v>45845</v>
      </c>
      <c r="D1643" t="inlineStr">
        <is>
          <t>KRONOBERGS LÄN</t>
        </is>
      </c>
      <c r="E1643" t="inlineStr">
        <is>
          <t>LESSEBO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19117-2020</t>
        </is>
      </c>
      <c r="B1644" s="1" t="n">
        <v>43936</v>
      </c>
      <c r="C1644" s="1" t="n">
        <v>45845</v>
      </c>
      <c r="D1644" t="inlineStr">
        <is>
          <t>KRONOBERGS LÄN</t>
        </is>
      </c>
      <c r="E1644" t="inlineStr">
        <is>
          <t>ÄLMHULT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19144-2020</t>
        </is>
      </c>
      <c r="B1645" s="1" t="n">
        <v>43936</v>
      </c>
      <c r="C1645" s="1" t="n">
        <v>45845</v>
      </c>
      <c r="D1645" t="inlineStr">
        <is>
          <t>KRONOBERGS LÄN</t>
        </is>
      </c>
      <c r="E1645" t="inlineStr">
        <is>
          <t>LJUNGBY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19104-2020</t>
        </is>
      </c>
      <c r="B1646" s="1" t="n">
        <v>43936</v>
      </c>
      <c r="C1646" s="1" t="n">
        <v>45845</v>
      </c>
      <c r="D1646" t="inlineStr">
        <is>
          <t>KRONOBERGS LÄN</t>
        </is>
      </c>
      <c r="E1646" t="inlineStr">
        <is>
          <t>VÄXJÖ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19145-2020</t>
        </is>
      </c>
      <c r="B1647" s="1" t="n">
        <v>43936</v>
      </c>
      <c r="C1647" s="1" t="n">
        <v>45845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19326-2020</t>
        </is>
      </c>
      <c r="B1648" s="1" t="n">
        <v>43937</v>
      </c>
      <c r="C1648" s="1" t="n">
        <v>45845</v>
      </c>
      <c r="D1648" t="inlineStr">
        <is>
          <t>KRONOBERGS LÄN</t>
        </is>
      </c>
      <c r="E1648" t="inlineStr">
        <is>
          <t>LJUNGBY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19325-2020</t>
        </is>
      </c>
      <c r="B1649" s="1" t="n">
        <v>43937</v>
      </c>
      <c r="C1649" s="1" t="n">
        <v>45845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19328-2020</t>
        </is>
      </c>
      <c r="B1650" s="1" t="n">
        <v>43937</v>
      </c>
      <c r="C1650" s="1" t="n">
        <v>45845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19329-2020</t>
        </is>
      </c>
      <c r="B1651" s="1" t="n">
        <v>43937</v>
      </c>
      <c r="C1651" s="1" t="n">
        <v>45845</v>
      </c>
      <c r="D1651" t="inlineStr">
        <is>
          <t>KRONOBERGS LÄN</t>
        </is>
      </c>
      <c r="E1651" t="inlineStr">
        <is>
          <t>LJUNGBY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19420-2020</t>
        </is>
      </c>
      <c r="B1652" s="1" t="n">
        <v>43938</v>
      </c>
      <c r="C1652" s="1" t="n">
        <v>45845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19342-2020</t>
        </is>
      </c>
      <c r="B1653" s="1" t="n">
        <v>43938</v>
      </c>
      <c r="C1653" s="1" t="n">
        <v>45845</v>
      </c>
      <c r="D1653" t="inlineStr">
        <is>
          <t>KRONOBERGS LÄN</t>
        </is>
      </c>
      <c r="E1653" t="inlineStr">
        <is>
          <t>VÄXJÖ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19551-2020</t>
        </is>
      </c>
      <c r="B1654" s="1" t="n">
        <v>43941</v>
      </c>
      <c r="C1654" s="1" t="n">
        <v>45845</v>
      </c>
      <c r="D1654" t="inlineStr">
        <is>
          <t>KRONOBERGS LÄN</t>
        </is>
      </c>
      <c r="E1654" t="inlineStr">
        <is>
          <t>ALVESTA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19595-2020</t>
        </is>
      </c>
      <c r="B1655" s="1" t="n">
        <v>43941</v>
      </c>
      <c r="C1655" s="1" t="n">
        <v>45845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19555-2020</t>
        </is>
      </c>
      <c r="B1656" s="1" t="n">
        <v>43941</v>
      </c>
      <c r="C1656" s="1" t="n">
        <v>45845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19586-2020</t>
        </is>
      </c>
      <c r="B1657" s="1" t="n">
        <v>43941</v>
      </c>
      <c r="C1657" s="1" t="n">
        <v>45845</v>
      </c>
      <c r="D1657" t="inlineStr">
        <is>
          <t>KRONOBERGS LÄN</t>
        </is>
      </c>
      <c r="E1657" t="inlineStr">
        <is>
          <t>VÄXJÖ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19599-2020</t>
        </is>
      </c>
      <c r="B1658" s="1" t="n">
        <v>43941</v>
      </c>
      <c r="C1658" s="1" t="n">
        <v>45845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19760-2020</t>
        </is>
      </c>
      <c r="B1659" s="1" t="n">
        <v>43942</v>
      </c>
      <c r="C1659" s="1" t="n">
        <v>45845</v>
      </c>
      <c r="D1659" t="inlineStr">
        <is>
          <t>KRONOBERGS LÄN</t>
        </is>
      </c>
      <c r="E1659" t="inlineStr">
        <is>
          <t>TINGSRYD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19896-2020</t>
        </is>
      </c>
      <c r="B1660" s="1" t="n">
        <v>43942</v>
      </c>
      <c r="C1660" s="1" t="n">
        <v>45845</v>
      </c>
      <c r="D1660" t="inlineStr">
        <is>
          <t>KRONOBERGS LÄN</t>
        </is>
      </c>
      <c r="E1660" t="inlineStr">
        <is>
          <t>LJUNGBY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19982-2020</t>
        </is>
      </c>
      <c r="B1661" s="1" t="n">
        <v>43943</v>
      </c>
      <c r="C1661" s="1" t="n">
        <v>45845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20147-2020</t>
        </is>
      </c>
      <c r="B1662" s="1" t="n">
        <v>43944</v>
      </c>
      <c r="C1662" s="1" t="n">
        <v>45845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Kommuner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20217-2020</t>
        </is>
      </c>
      <c r="B1663" s="1" t="n">
        <v>43944</v>
      </c>
      <c r="C1663" s="1" t="n">
        <v>45845</v>
      </c>
      <c r="D1663" t="inlineStr">
        <is>
          <t>KRONOBERGS LÄN</t>
        </is>
      </c>
      <c r="E1663" t="inlineStr">
        <is>
          <t>MARKARYD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20267-2020</t>
        </is>
      </c>
      <c r="B1664" s="1" t="n">
        <v>43945</v>
      </c>
      <c r="C1664" s="1" t="n">
        <v>45845</v>
      </c>
      <c r="D1664" t="inlineStr">
        <is>
          <t>KRONOBERGS LÄN</t>
        </is>
      </c>
      <c r="E1664" t="inlineStr">
        <is>
          <t>MARKARYD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20272-2020</t>
        </is>
      </c>
      <c r="B1665" s="1" t="n">
        <v>43945</v>
      </c>
      <c r="C1665" s="1" t="n">
        <v>45845</v>
      </c>
      <c r="D1665" t="inlineStr">
        <is>
          <t>KRONOBERGS LÄN</t>
        </is>
      </c>
      <c r="E1665" t="inlineStr">
        <is>
          <t>MARKARYD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20591-2020</t>
        </is>
      </c>
      <c r="B1666" s="1" t="n">
        <v>43948</v>
      </c>
      <c r="C1666" s="1" t="n">
        <v>45845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20911-2020</t>
        </is>
      </c>
      <c r="B1667" s="1" t="n">
        <v>43948</v>
      </c>
      <c r="C1667" s="1" t="n">
        <v>45845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20460-2020</t>
        </is>
      </c>
      <c r="B1668" s="1" t="n">
        <v>43948</v>
      </c>
      <c r="C1668" s="1" t="n">
        <v>45845</v>
      </c>
      <c r="D1668" t="inlineStr">
        <is>
          <t>KRONOBERGS LÄN</t>
        </is>
      </c>
      <c r="E1668" t="inlineStr">
        <is>
          <t>MARKARYD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20679-2020</t>
        </is>
      </c>
      <c r="B1669" s="1" t="n">
        <v>43949</v>
      </c>
      <c r="C1669" s="1" t="n">
        <v>45845</v>
      </c>
      <c r="D1669" t="inlineStr">
        <is>
          <t>KRONOBERGS LÄN</t>
        </is>
      </c>
      <c r="E1669" t="inlineStr">
        <is>
          <t>VÄXJÖ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21034-2020</t>
        </is>
      </c>
      <c r="B1670" s="1" t="n">
        <v>43950</v>
      </c>
      <c r="C1670" s="1" t="n">
        <v>45845</v>
      </c>
      <c r="D1670" t="inlineStr">
        <is>
          <t>KRONOBERGS LÄN</t>
        </is>
      </c>
      <c r="E1670" t="inlineStr">
        <is>
          <t>LJUNGBY</t>
        </is>
      </c>
      <c r="F1670" t="inlineStr">
        <is>
          <t>Kommuner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20846-2020</t>
        </is>
      </c>
      <c r="B1671" s="1" t="n">
        <v>43950</v>
      </c>
      <c r="C1671" s="1" t="n">
        <v>45845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20944-2020</t>
        </is>
      </c>
      <c r="B1672" s="1" t="n">
        <v>43950</v>
      </c>
      <c r="C1672" s="1" t="n">
        <v>45845</v>
      </c>
      <c r="D1672" t="inlineStr">
        <is>
          <t>KRONOBERGS LÄN</t>
        </is>
      </c>
      <c r="E1672" t="inlineStr">
        <is>
          <t>UPPVIDINGE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21136-2020</t>
        </is>
      </c>
      <c r="B1673" s="1" t="n">
        <v>43951</v>
      </c>
      <c r="C1673" s="1" t="n">
        <v>45845</v>
      </c>
      <c r="D1673" t="inlineStr">
        <is>
          <t>KRONOBERGS LÄN</t>
        </is>
      </c>
      <c r="E1673" t="inlineStr">
        <is>
          <t>LJUNGBY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21135-2020</t>
        </is>
      </c>
      <c r="B1674" s="1" t="n">
        <v>43951</v>
      </c>
      <c r="C1674" s="1" t="n">
        <v>45845</v>
      </c>
      <c r="D1674" t="inlineStr">
        <is>
          <t>KRONOBERGS LÄN</t>
        </is>
      </c>
      <c r="E1674" t="inlineStr">
        <is>
          <t>LJUNGBY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21366-2020</t>
        </is>
      </c>
      <c r="B1675" s="1" t="n">
        <v>43955</v>
      </c>
      <c r="C1675" s="1" t="n">
        <v>45845</v>
      </c>
      <c r="D1675" t="inlineStr">
        <is>
          <t>KRONOBERGS LÄN</t>
        </is>
      </c>
      <c r="E1675" t="inlineStr">
        <is>
          <t>ALVESTA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21272-2020</t>
        </is>
      </c>
      <c r="B1676" s="1" t="n">
        <v>43955</v>
      </c>
      <c r="C1676" s="1" t="n">
        <v>45845</v>
      </c>
      <c r="D1676" t="inlineStr">
        <is>
          <t>KRONOBERGS LÄN</t>
        </is>
      </c>
      <c r="E1676" t="inlineStr">
        <is>
          <t>TINGSRYD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21674-2020</t>
        </is>
      </c>
      <c r="B1677" s="1" t="n">
        <v>43957</v>
      </c>
      <c r="C1677" s="1" t="n">
        <v>45845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21941-2020</t>
        </is>
      </c>
      <c r="B1678" s="1" t="n">
        <v>43958</v>
      </c>
      <c r="C1678" s="1" t="n">
        <v>45845</v>
      </c>
      <c r="D1678" t="inlineStr">
        <is>
          <t>KRONOBERGS LÄN</t>
        </is>
      </c>
      <c r="E1678" t="inlineStr">
        <is>
          <t>UPPVIDINGE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22269-2020</t>
        </is>
      </c>
      <c r="B1679" s="1" t="n">
        <v>43962</v>
      </c>
      <c r="C1679" s="1" t="n">
        <v>45845</v>
      </c>
      <c r="D1679" t="inlineStr">
        <is>
          <t>KRONOBERGS LÄN</t>
        </is>
      </c>
      <c r="E1679" t="inlineStr">
        <is>
          <t>ALVESTA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22382-2020</t>
        </is>
      </c>
      <c r="B1680" s="1" t="n">
        <v>43962</v>
      </c>
      <c r="C1680" s="1" t="n">
        <v>45845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22393-2020</t>
        </is>
      </c>
      <c r="B1681" s="1" t="n">
        <v>43962</v>
      </c>
      <c r="C1681" s="1" t="n">
        <v>45845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22434-2020</t>
        </is>
      </c>
      <c r="B1682" s="1" t="n">
        <v>43962</v>
      </c>
      <c r="C1682" s="1" t="n">
        <v>45845</v>
      </c>
      <c r="D1682" t="inlineStr">
        <is>
          <t>KRONOBERGS LÄN</t>
        </is>
      </c>
      <c r="E1682" t="inlineStr">
        <is>
          <t>UPPVIDINGE</t>
        </is>
      </c>
      <c r="G1682" t="n">
        <v>13.2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22537-2020</t>
        </is>
      </c>
      <c r="B1683" s="1" t="n">
        <v>43963</v>
      </c>
      <c r="C1683" s="1" t="n">
        <v>45845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22674-2020</t>
        </is>
      </c>
      <c r="B1684" s="1" t="n">
        <v>43963</v>
      </c>
      <c r="C1684" s="1" t="n">
        <v>45845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22535-2020</t>
        </is>
      </c>
      <c r="B1685" s="1" t="n">
        <v>43963</v>
      </c>
      <c r="C1685" s="1" t="n">
        <v>45845</v>
      </c>
      <c r="D1685" t="inlineStr">
        <is>
          <t>KRONOBERGS LÄN</t>
        </is>
      </c>
      <c r="E1685" t="inlineStr">
        <is>
          <t>VÄXJÖ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22862-2020</t>
        </is>
      </c>
      <c r="B1686" s="1" t="n">
        <v>43964</v>
      </c>
      <c r="C1686" s="1" t="n">
        <v>45845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22771-2020</t>
        </is>
      </c>
      <c r="B1687" s="1" t="n">
        <v>43964</v>
      </c>
      <c r="C1687" s="1" t="n">
        <v>45845</v>
      </c>
      <c r="D1687" t="inlineStr">
        <is>
          <t>KRONOBERGS LÄN</t>
        </is>
      </c>
      <c r="E1687" t="inlineStr">
        <is>
          <t>LESSEBO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22766-2020</t>
        </is>
      </c>
      <c r="B1688" s="1" t="n">
        <v>43964</v>
      </c>
      <c r="C1688" s="1" t="n">
        <v>45845</v>
      </c>
      <c r="D1688" t="inlineStr">
        <is>
          <t>KRONOBERGS LÄN</t>
        </is>
      </c>
      <c r="E1688" t="inlineStr">
        <is>
          <t>LESSEBO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23027-2020</t>
        </is>
      </c>
      <c r="B1689" s="1" t="n">
        <v>43965</v>
      </c>
      <c r="C1689" s="1" t="n">
        <v>45845</v>
      </c>
      <c r="D1689" t="inlineStr">
        <is>
          <t>KRONOBERGS LÄN</t>
        </is>
      </c>
      <c r="E1689" t="inlineStr">
        <is>
          <t>ÄLMHULT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23025-2020</t>
        </is>
      </c>
      <c r="B1690" s="1" t="n">
        <v>43965</v>
      </c>
      <c r="C1690" s="1" t="n">
        <v>45845</v>
      </c>
      <c r="D1690" t="inlineStr">
        <is>
          <t>KRONOBERGS LÄN</t>
        </is>
      </c>
      <c r="E1690" t="inlineStr">
        <is>
          <t>ÄLMHULT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23036-2020</t>
        </is>
      </c>
      <c r="B1691" s="1" t="n">
        <v>43965</v>
      </c>
      <c r="C1691" s="1" t="n">
        <v>45845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23071-2020</t>
        </is>
      </c>
      <c r="B1692" s="1" t="n">
        <v>43965</v>
      </c>
      <c r="C1692" s="1" t="n">
        <v>45845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23121-2020</t>
        </is>
      </c>
      <c r="B1693" s="1" t="n">
        <v>43965</v>
      </c>
      <c r="C1693" s="1" t="n">
        <v>45845</v>
      </c>
      <c r="D1693" t="inlineStr">
        <is>
          <t>KRONOBERGS LÄN</t>
        </is>
      </c>
      <c r="E1693" t="inlineStr">
        <is>
          <t>UPPVIDINGE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23030-2020</t>
        </is>
      </c>
      <c r="B1694" s="1" t="n">
        <v>43965</v>
      </c>
      <c r="C1694" s="1" t="n">
        <v>45845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23093-2020</t>
        </is>
      </c>
      <c r="B1695" s="1" t="n">
        <v>43965</v>
      </c>
      <c r="C1695" s="1" t="n">
        <v>45845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23150-2020</t>
        </is>
      </c>
      <c r="B1696" s="1" t="n">
        <v>43966</v>
      </c>
      <c r="C1696" s="1" t="n">
        <v>45845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23184-2020</t>
        </is>
      </c>
      <c r="B1697" s="1" t="n">
        <v>43966</v>
      </c>
      <c r="C1697" s="1" t="n">
        <v>45845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23163-2020</t>
        </is>
      </c>
      <c r="B1698" s="1" t="n">
        <v>43966</v>
      </c>
      <c r="C1698" s="1" t="n">
        <v>45845</v>
      </c>
      <c r="D1698" t="inlineStr">
        <is>
          <t>KRONOBERGS LÄN</t>
        </is>
      </c>
      <c r="E1698" t="inlineStr">
        <is>
          <t>LJUNGBY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23262-2020</t>
        </is>
      </c>
      <c r="B1699" s="1" t="n">
        <v>43966</v>
      </c>
      <c r="C1699" s="1" t="n">
        <v>45845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23313-2020</t>
        </is>
      </c>
      <c r="B1700" s="1" t="n">
        <v>43966</v>
      </c>
      <c r="C1700" s="1" t="n">
        <v>45845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23367-2020</t>
        </is>
      </c>
      <c r="B1701" s="1" t="n">
        <v>43967</v>
      </c>
      <c r="C1701" s="1" t="n">
        <v>45845</v>
      </c>
      <c r="D1701" t="inlineStr">
        <is>
          <t>KRONOBERGS LÄN</t>
        </is>
      </c>
      <c r="E1701" t="inlineStr">
        <is>
          <t>ÄLMHULT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23727-2020</t>
        </is>
      </c>
      <c r="B1702" s="1" t="n">
        <v>43970</v>
      </c>
      <c r="C1702" s="1" t="n">
        <v>45845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23798-2020</t>
        </is>
      </c>
      <c r="B1703" s="1" t="n">
        <v>43970</v>
      </c>
      <c r="C1703" s="1" t="n">
        <v>45845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23661-2020</t>
        </is>
      </c>
      <c r="B1704" s="1" t="n">
        <v>43970</v>
      </c>
      <c r="C1704" s="1" t="n">
        <v>45845</v>
      </c>
      <c r="D1704" t="inlineStr">
        <is>
          <t>KRONOBERGS LÄN</t>
        </is>
      </c>
      <c r="E1704" t="inlineStr">
        <is>
          <t>LJUNGBY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23781-2020</t>
        </is>
      </c>
      <c r="B1705" s="1" t="n">
        <v>43970</v>
      </c>
      <c r="C1705" s="1" t="n">
        <v>45845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23945-2020</t>
        </is>
      </c>
      <c r="B1706" s="1" t="n">
        <v>43971</v>
      </c>
      <c r="C1706" s="1" t="n">
        <v>45845</v>
      </c>
      <c r="D1706" t="inlineStr">
        <is>
          <t>KRONOBERGS LÄN</t>
        </is>
      </c>
      <c r="E1706" t="inlineStr">
        <is>
          <t>LJUNGBY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23982-2020</t>
        </is>
      </c>
      <c r="B1707" s="1" t="n">
        <v>43971</v>
      </c>
      <c r="C1707" s="1" t="n">
        <v>45845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23905-2020</t>
        </is>
      </c>
      <c r="B1708" s="1" t="n">
        <v>43971</v>
      </c>
      <c r="C1708" s="1" t="n">
        <v>45845</v>
      </c>
      <c r="D1708" t="inlineStr">
        <is>
          <t>KRONOBERGS LÄN</t>
        </is>
      </c>
      <c r="E1708" t="inlineStr">
        <is>
          <t>UPPVIDINGE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23930-2020</t>
        </is>
      </c>
      <c r="B1709" s="1" t="n">
        <v>43971</v>
      </c>
      <c r="C1709" s="1" t="n">
        <v>45845</v>
      </c>
      <c r="D1709" t="inlineStr">
        <is>
          <t>KRONOBERGS LÄN</t>
        </is>
      </c>
      <c r="E1709" t="inlineStr">
        <is>
          <t>LJUNGBY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24163-2020</t>
        </is>
      </c>
      <c r="B1710" s="1" t="n">
        <v>43974</v>
      </c>
      <c r="C1710" s="1" t="n">
        <v>45845</v>
      </c>
      <c r="D1710" t="inlineStr">
        <is>
          <t>KRONOBERGS LÄN</t>
        </is>
      </c>
      <c r="E1710" t="inlineStr">
        <is>
          <t>LESSEBO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24164-2020</t>
        </is>
      </c>
      <c r="B1711" s="1" t="n">
        <v>43974</v>
      </c>
      <c r="C1711" s="1" t="n">
        <v>45845</v>
      </c>
      <c r="D1711" t="inlineStr">
        <is>
          <t>KRONOBERGS LÄN</t>
        </is>
      </c>
      <c r="E1711" t="inlineStr">
        <is>
          <t>LESSEBO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24347-2020</t>
        </is>
      </c>
      <c r="B1712" s="1" t="n">
        <v>43976</v>
      </c>
      <c r="C1712" s="1" t="n">
        <v>45845</v>
      </c>
      <c r="D1712" t="inlineStr">
        <is>
          <t>KRONOBERGS LÄN</t>
        </is>
      </c>
      <c r="E1712" t="inlineStr">
        <is>
          <t>MARKARYD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24471-2020</t>
        </is>
      </c>
      <c r="B1713" s="1" t="n">
        <v>43976</v>
      </c>
      <c r="C1713" s="1" t="n">
        <v>45845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24530-2020</t>
        </is>
      </c>
      <c r="B1714" s="1" t="n">
        <v>43977</v>
      </c>
      <c r="C1714" s="1" t="n">
        <v>45845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24581-2020</t>
        </is>
      </c>
      <c r="B1715" s="1" t="n">
        <v>43977</v>
      </c>
      <c r="C1715" s="1" t="n">
        <v>45845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24592-2020</t>
        </is>
      </c>
      <c r="B1716" s="1" t="n">
        <v>43977</v>
      </c>
      <c r="C1716" s="1" t="n">
        <v>45845</v>
      </c>
      <c r="D1716" t="inlineStr">
        <is>
          <t>KRONOBERGS LÄN</t>
        </is>
      </c>
      <c r="E1716" t="inlineStr">
        <is>
          <t>ÄLMHULT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24708-2020</t>
        </is>
      </c>
      <c r="B1717" s="1" t="n">
        <v>43978</v>
      </c>
      <c r="C1717" s="1" t="n">
        <v>45845</v>
      </c>
      <c r="D1717" t="inlineStr">
        <is>
          <t>KRONOBERGS LÄN</t>
        </is>
      </c>
      <c r="E1717" t="inlineStr">
        <is>
          <t>TINGSRYD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24836-2020</t>
        </is>
      </c>
      <c r="B1718" s="1" t="n">
        <v>43978</v>
      </c>
      <c r="C1718" s="1" t="n">
        <v>45845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25197-2020</t>
        </is>
      </c>
      <c r="B1719" s="1" t="n">
        <v>43979</v>
      </c>
      <c r="C1719" s="1" t="n">
        <v>45845</v>
      </c>
      <c r="D1719" t="inlineStr">
        <is>
          <t>KRONOBERGS LÄN</t>
        </is>
      </c>
      <c r="E1719" t="inlineStr">
        <is>
          <t>UPPVIDINGE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24913-2020</t>
        </is>
      </c>
      <c r="B1720" s="1" t="n">
        <v>43979</v>
      </c>
      <c r="C1720" s="1" t="n">
        <v>45845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24946-2020</t>
        </is>
      </c>
      <c r="B1721" s="1" t="n">
        <v>43979</v>
      </c>
      <c r="C1721" s="1" t="n">
        <v>45845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24944-2020</t>
        </is>
      </c>
      <c r="B1722" s="1" t="n">
        <v>43979</v>
      </c>
      <c r="C1722" s="1" t="n">
        <v>45845</v>
      </c>
      <c r="D1722" t="inlineStr">
        <is>
          <t>KRONOBERGS LÄN</t>
        </is>
      </c>
      <c r="E1722" t="inlineStr">
        <is>
          <t>ALVESTA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24917-2020</t>
        </is>
      </c>
      <c r="B1723" s="1" t="n">
        <v>43979</v>
      </c>
      <c r="C1723" s="1" t="n">
        <v>45845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24924-2020</t>
        </is>
      </c>
      <c r="B1724" s="1" t="n">
        <v>43979</v>
      </c>
      <c r="C1724" s="1" t="n">
        <v>45845</v>
      </c>
      <c r="D1724" t="inlineStr">
        <is>
          <t>KRONOBERGS LÄN</t>
        </is>
      </c>
      <c r="E1724" t="inlineStr">
        <is>
          <t>UPPVIDINGE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24977-2020</t>
        </is>
      </c>
      <c r="B1725" s="1" t="n">
        <v>43979</v>
      </c>
      <c r="C1725" s="1" t="n">
        <v>45845</v>
      </c>
      <c r="D1725" t="inlineStr">
        <is>
          <t>KRONOBERGS LÄN</t>
        </is>
      </c>
      <c r="E1725" t="inlineStr">
        <is>
          <t>VÄXJÖ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25335-2020</t>
        </is>
      </c>
      <c r="B1726" s="1" t="n">
        <v>43980</v>
      </c>
      <c r="C1726" s="1" t="n">
        <v>45845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25351-2020</t>
        </is>
      </c>
      <c r="B1727" s="1" t="n">
        <v>43980</v>
      </c>
      <c r="C1727" s="1" t="n">
        <v>45845</v>
      </c>
      <c r="D1727" t="inlineStr">
        <is>
          <t>KRONOBERGS LÄN</t>
        </is>
      </c>
      <c r="E1727" t="inlineStr">
        <is>
          <t>VÄXJÖ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25510-2020</t>
        </is>
      </c>
      <c r="B1728" s="1" t="n">
        <v>43983</v>
      </c>
      <c r="C1728" s="1" t="n">
        <v>45845</v>
      </c>
      <c r="D1728" t="inlineStr">
        <is>
          <t>KRONOBERGS LÄN</t>
        </is>
      </c>
      <c r="E1728" t="inlineStr">
        <is>
          <t>VÄXJÖ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25507-2020</t>
        </is>
      </c>
      <c r="B1729" s="1" t="n">
        <v>43983</v>
      </c>
      <c r="C1729" s="1" t="n">
        <v>45845</v>
      </c>
      <c r="D1729" t="inlineStr">
        <is>
          <t>KRONOBERGS LÄN</t>
        </is>
      </c>
      <c r="E1729" t="inlineStr">
        <is>
          <t>VÄXJÖ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25845-2020</t>
        </is>
      </c>
      <c r="B1730" s="1" t="n">
        <v>43984</v>
      </c>
      <c r="C1730" s="1" t="n">
        <v>45845</v>
      </c>
      <c r="D1730" t="inlineStr">
        <is>
          <t>KRONOBERGS LÄN</t>
        </is>
      </c>
      <c r="E1730" t="inlineStr">
        <is>
          <t>TINGSRYD</t>
        </is>
      </c>
      <c r="G1730" t="n">
        <v>10.7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25767-2020</t>
        </is>
      </c>
      <c r="B1731" s="1" t="n">
        <v>43984</v>
      </c>
      <c r="C1731" s="1" t="n">
        <v>45845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25838-2020</t>
        </is>
      </c>
      <c r="B1732" s="1" t="n">
        <v>43984</v>
      </c>
      <c r="C1732" s="1" t="n">
        <v>45845</v>
      </c>
      <c r="D1732" t="inlineStr">
        <is>
          <t>KRONOBERGS LÄN</t>
        </is>
      </c>
      <c r="E1732" t="inlineStr">
        <is>
          <t>LJUNGBY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26143-2020</t>
        </is>
      </c>
      <c r="B1733" s="1" t="n">
        <v>43985</v>
      </c>
      <c r="C1733" s="1" t="n">
        <v>45845</v>
      </c>
      <c r="D1733" t="inlineStr">
        <is>
          <t>KRONOBERGS LÄN</t>
        </is>
      </c>
      <c r="E1733" t="inlineStr">
        <is>
          <t>TINGSRYD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26158-2020</t>
        </is>
      </c>
      <c r="B1734" s="1" t="n">
        <v>43985</v>
      </c>
      <c r="C1734" s="1" t="n">
        <v>45845</v>
      </c>
      <c r="D1734" t="inlineStr">
        <is>
          <t>KRONOBERGS LÄN</t>
        </is>
      </c>
      <c r="E1734" t="inlineStr">
        <is>
          <t>TINGSRYD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25982-2020</t>
        </is>
      </c>
      <c r="B1735" s="1" t="n">
        <v>43985</v>
      </c>
      <c r="C1735" s="1" t="n">
        <v>45845</v>
      </c>
      <c r="D1735" t="inlineStr">
        <is>
          <t>KRONOBERGS LÄN</t>
        </is>
      </c>
      <c r="E1735" t="inlineStr">
        <is>
          <t>UPPVIDINGE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26142-2020</t>
        </is>
      </c>
      <c r="B1736" s="1" t="n">
        <v>43985</v>
      </c>
      <c r="C1736" s="1" t="n">
        <v>45845</v>
      </c>
      <c r="D1736" t="inlineStr">
        <is>
          <t>KRONOBERGS LÄN</t>
        </is>
      </c>
      <c r="E1736" t="inlineStr">
        <is>
          <t>LESSEBO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26120-2020</t>
        </is>
      </c>
      <c r="B1737" s="1" t="n">
        <v>43985</v>
      </c>
      <c r="C1737" s="1" t="n">
        <v>45845</v>
      </c>
      <c r="D1737" t="inlineStr">
        <is>
          <t>KRONOBERGS LÄN</t>
        </is>
      </c>
      <c r="E1737" t="inlineStr">
        <is>
          <t>ALVESTA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26208-2020</t>
        </is>
      </c>
      <c r="B1738" s="1" t="n">
        <v>43986</v>
      </c>
      <c r="C1738" s="1" t="n">
        <v>45845</v>
      </c>
      <c r="D1738" t="inlineStr">
        <is>
          <t>KRONOBERGS LÄN</t>
        </is>
      </c>
      <c r="E1738" t="inlineStr">
        <is>
          <t>VÄXJÖ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26360-2020</t>
        </is>
      </c>
      <c r="B1739" s="1" t="n">
        <v>43986</v>
      </c>
      <c r="C1739" s="1" t="n">
        <v>45845</v>
      </c>
      <c r="D1739" t="inlineStr">
        <is>
          <t>KRONOBERGS LÄN</t>
        </is>
      </c>
      <c r="E1739" t="inlineStr">
        <is>
          <t>VÄXJÖ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26497-2020</t>
        </is>
      </c>
      <c r="B1740" s="1" t="n">
        <v>43987</v>
      </c>
      <c r="C1740" s="1" t="n">
        <v>45845</v>
      </c>
      <c r="D1740" t="inlineStr">
        <is>
          <t>KRONOBERGS LÄN</t>
        </is>
      </c>
      <c r="E1740" t="inlineStr">
        <is>
          <t>VÄXJÖ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26504-2020</t>
        </is>
      </c>
      <c r="B1741" s="1" t="n">
        <v>43987</v>
      </c>
      <c r="C1741" s="1" t="n">
        <v>45845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26675-2020</t>
        </is>
      </c>
      <c r="B1742" s="1" t="n">
        <v>43989</v>
      </c>
      <c r="C1742" s="1" t="n">
        <v>45845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26851-2020</t>
        </is>
      </c>
      <c r="B1743" s="1" t="n">
        <v>43990</v>
      </c>
      <c r="C1743" s="1" t="n">
        <v>45845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26939-2020</t>
        </is>
      </c>
      <c r="B1744" s="1" t="n">
        <v>43990</v>
      </c>
      <c r="C1744" s="1" t="n">
        <v>45845</v>
      </c>
      <c r="D1744" t="inlineStr">
        <is>
          <t>KRONOBERGS LÄN</t>
        </is>
      </c>
      <c r="E1744" t="inlineStr">
        <is>
          <t>TINGSRYD</t>
        </is>
      </c>
      <c r="F1744" t="inlineStr">
        <is>
          <t>Övriga Aktiebolag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26845-2020</t>
        </is>
      </c>
      <c r="B1745" s="1" t="n">
        <v>43990</v>
      </c>
      <c r="C1745" s="1" t="n">
        <v>45845</v>
      </c>
      <c r="D1745" t="inlineStr">
        <is>
          <t>KRONOBERGS LÄN</t>
        </is>
      </c>
      <c r="E1745" t="inlineStr">
        <is>
          <t>VÄXJÖ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26934-2020</t>
        </is>
      </c>
      <c r="B1746" s="1" t="n">
        <v>43990</v>
      </c>
      <c r="C1746" s="1" t="n">
        <v>45845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27001-2020</t>
        </is>
      </c>
      <c r="B1747" s="1" t="n">
        <v>43990</v>
      </c>
      <c r="C1747" s="1" t="n">
        <v>45845</v>
      </c>
      <c r="D1747" t="inlineStr">
        <is>
          <t>KRONOBERGS LÄN</t>
        </is>
      </c>
      <c r="E1747" t="inlineStr">
        <is>
          <t>LESSEBO</t>
        </is>
      </c>
      <c r="G1747" t="n">
        <v>18.7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27216-2020</t>
        </is>
      </c>
      <c r="B1748" s="1" t="n">
        <v>43991</v>
      </c>
      <c r="C1748" s="1" t="n">
        <v>45845</v>
      </c>
      <c r="D1748" t="inlineStr">
        <is>
          <t>KRONOBERGS LÄN</t>
        </is>
      </c>
      <c r="E1748" t="inlineStr">
        <is>
          <t>MARKARYD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27362-2020</t>
        </is>
      </c>
      <c r="B1749" s="1" t="n">
        <v>43991</v>
      </c>
      <c r="C1749" s="1" t="n">
        <v>45845</v>
      </c>
      <c r="D1749" t="inlineStr">
        <is>
          <t>KRONOBERGS LÄN</t>
        </is>
      </c>
      <c r="E1749" t="inlineStr">
        <is>
          <t>MARKARYD</t>
        </is>
      </c>
      <c r="F1749" t="inlineStr">
        <is>
          <t>Kyrkan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27349-2020</t>
        </is>
      </c>
      <c r="B1750" s="1" t="n">
        <v>43992</v>
      </c>
      <c r="C1750" s="1" t="n">
        <v>45845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27367-2020</t>
        </is>
      </c>
      <c r="B1751" s="1" t="n">
        <v>43992</v>
      </c>
      <c r="C1751" s="1" t="n">
        <v>45845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27381-2020</t>
        </is>
      </c>
      <c r="B1752" s="1" t="n">
        <v>43992</v>
      </c>
      <c r="C1752" s="1" t="n">
        <v>45845</v>
      </c>
      <c r="D1752" t="inlineStr">
        <is>
          <t>KRONOBERGS LÄN</t>
        </is>
      </c>
      <c r="E1752" t="inlineStr">
        <is>
          <t>UPPVIDINGE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27751-2020</t>
        </is>
      </c>
      <c r="B1753" s="1" t="n">
        <v>43992</v>
      </c>
      <c r="C1753" s="1" t="n">
        <v>45845</v>
      </c>
      <c r="D1753" t="inlineStr">
        <is>
          <t>KRONOBERGS LÄN</t>
        </is>
      </c>
      <c r="E1753" t="inlineStr">
        <is>
          <t>ALVESTA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27221-2020</t>
        </is>
      </c>
      <c r="B1754" s="1" t="n">
        <v>43992</v>
      </c>
      <c r="C1754" s="1" t="n">
        <v>45845</v>
      </c>
      <c r="D1754" t="inlineStr">
        <is>
          <t>KRONOBERGS LÄN</t>
        </is>
      </c>
      <c r="E1754" t="inlineStr">
        <is>
          <t>VÄXJÖ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27753-2020</t>
        </is>
      </c>
      <c r="B1755" s="1" t="n">
        <v>43992</v>
      </c>
      <c r="C1755" s="1" t="n">
        <v>45845</v>
      </c>
      <c r="D1755" t="inlineStr">
        <is>
          <t>KRONOBERGS LÄN</t>
        </is>
      </c>
      <c r="E1755" t="inlineStr">
        <is>
          <t>ALVESTA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27702-2020</t>
        </is>
      </c>
      <c r="B1756" s="1" t="n">
        <v>43992</v>
      </c>
      <c r="C1756" s="1" t="n">
        <v>45845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27711-2020</t>
        </is>
      </c>
      <c r="B1757" s="1" t="n">
        <v>43994</v>
      </c>
      <c r="C1757" s="1" t="n">
        <v>45845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27856-2020</t>
        </is>
      </c>
      <c r="B1758" s="1" t="n">
        <v>43994</v>
      </c>
      <c r="C1758" s="1" t="n">
        <v>45845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28150-2020</t>
        </is>
      </c>
      <c r="B1759" s="1" t="n">
        <v>43997</v>
      </c>
      <c r="C1759" s="1" t="n">
        <v>45845</v>
      </c>
      <c r="D1759" t="inlineStr">
        <is>
          <t>KRONOBERGS LÄN</t>
        </is>
      </c>
      <c r="E1759" t="inlineStr">
        <is>
          <t>VÄXJÖ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28464-2020</t>
        </is>
      </c>
      <c r="B1760" s="1" t="n">
        <v>43998</v>
      </c>
      <c r="C1760" s="1" t="n">
        <v>45845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28470-2020</t>
        </is>
      </c>
      <c r="B1761" s="1" t="n">
        <v>43998</v>
      </c>
      <c r="C1761" s="1" t="n">
        <v>45845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28468-2020</t>
        </is>
      </c>
      <c r="B1762" s="1" t="n">
        <v>43998</v>
      </c>
      <c r="C1762" s="1" t="n">
        <v>45845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28469-2020</t>
        </is>
      </c>
      <c r="B1763" s="1" t="n">
        <v>43998</v>
      </c>
      <c r="C1763" s="1" t="n">
        <v>45845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28668-2020</t>
        </is>
      </c>
      <c r="B1764" s="1" t="n">
        <v>43999</v>
      </c>
      <c r="C1764" s="1" t="n">
        <v>45845</v>
      </c>
      <c r="D1764" t="inlineStr">
        <is>
          <t>KRONOBERGS LÄN</t>
        </is>
      </c>
      <c r="E1764" t="inlineStr">
        <is>
          <t>LJUNGBY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28614-2020</t>
        </is>
      </c>
      <c r="B1765" s="1" t="n">
        <v>43999</v>
      </c>
      <c r="C1765" s="1" t="n">
        <v>45845</v>
      </c>
      <c r="D1765" t="inlineStr">
        <is>
          <t>KRONOBERGS LÄN</t>
        </is>
      </c>
      <c r="E1765" t="inlineStr">
        <is>
          <t>ÄLMHULT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28626-2020</t>
        </is>
      </c>
      <c r="B1766" s="1" t="n">
        <v>43999</v>
      </c>
      <c r="C1766" s="1" t="n">
        <v>45845</v>
      </c>
      <c r="D1766" t="inlineStr">
        <is>
          <t>KRONOBERGS LÄN</t>
        </is>
      </c>
      <c r="E1766" t="inlineStr">
        <is>
          <t>TINGSRYD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28607-2020</t>
        </is>
      </c>
      <c r="B1767" s="1" t="n">
        <v>43999</v>
      </c>
      <c r="C1767" s="1" t="n">
        <v>45845</v>
      </c>
      <c r="D1767" t="inlineStr">
        <is>
          <t>KRONOBERGS LÄN</t>
        </is>
      </c>
      <c r="E1767" t="inlineStr">
        <is>
          <t>LJUNGBY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28818-2020</t>
        </is>
      </c>
      <c r="B1768" s="1" t="n">
        <v>44000</v>
      </c>
      <c r="C1768" s="1" t="n">
        <v>45845</v>
      </c>
      <c r="D1768" t="inlineStr">
        <is>
          <t>KRONOBERGS LÄN</t>
        </is>
      </c>
      <c r="E1768" t="inlineStr">
        <is>
          <t>ALVESTA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28820-2020</t>
        </is>
      </c>
      <c r="B1769" s="1" t="n">
        <v>44000</v>
      </c>
      <c r="C1769" s="1" t="n">
        <v>45845</v>
      </c>
      <c r="D1769" t="inlineStr">
        <is>
          <t>KRONOBERGS LÄN</t>
        </is>
      </c>
      <c r="E1769" t="inlineStr">
        <is>
          <t>ALVESTA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28848-2020</t>
        </is>
      </c>
      <c r="B1770" s="1" t="n">
        <v>44000</v>
      </c>
      <c r="C1770" s="1" t="n">
        <v>45845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28908-2020</t>
        </is>
      </c>
      <c r="B1771" s="1" t="n">
        <v>44000</v>
      </c>
      <c r="C1771" s="1" t="n">
        <v>45845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28846-2020</t>
        </is>
      </c>
      <c r="B1772" s="1" t="n">
        <v>44000</v>
      </c>
      <c r="C1772" s="1" t="n">
        <v>45845</v>
      </c>
      <c r="D1772" t="inlineStr">
        <is>
          <t>KRONOBERGS LÄN</t>
        </is>
      </c>
      <c r="E1772" t="inlineStr">
        <is>
          <t>LJUNGBY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29348-2020</t>
        </is>
      </c>
      <c r="B1773" s="1" t="n">
        <v>44000</v>
      </c>
      <c r="C1773" s="1" t="n">
        <v>45845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29342-2020</t>
        </is>
      </c>
      <c r="B1774" s="1" t="n">
        <v>44000</v>
      </c>
      <c r="C1774" s="1" t="n">
        <v>45845</v>
      </c>
      <c r="D1774" t="inlineStr">
        <is>
          <t>KRONOBERGS LÄN</t>
        </is>
      </c>
      <c r="E1774" t="inlineStr">
        <is>
          <t>ALVESTA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29332-2020</t>
        </is>
      </c>
      <c r="B1775" s="1" t="n">
        <v>44000</v>
      </c>
      <c r="C1775" s="1" t="n">
        <v>45845</v>
      </c>
      <c r="D1775" t="inlineStr">
        <is>
          <t>KRONOBERGS LÄN</t>
        </is>
      </c>
      <c r="E1775" t="inlineStr">
        <is>
          <t>ALVESTA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29077-2020</t>
        </is>
      </c>
      <c r="B1776" s="1" t="n">
        <v>44002</v>
      </c>
      <c r="C1776" s="1" t="n">
        <v>45845</v>
      </c>
      <c r="D1776" t="inlineStr">
        <is>
          <t>KRONOBERGS LÄN</t>
        </is>
      </c>
      <c r="E1776" t="inlineStr">
        <is>
          <t>ÄLMHULT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29079-2020</t>
        </is>
      </c>
      <c r="B1777" s="1" t="n">
        <v>44002</v>
      </c>
      <c r="C1777" s="1" t="n">
        <v>45845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29078-2020</t>
        </is>
      </c>
      <c r="B1778" s="1" t="n">
        <v>44002</v>
      </c>
      <c r="C1778" s="1" t="n">
        <v>45845</v>
      </c>
      <c r="D1778" t="inlineStr">
        <is>
          <t>KRONOBERGS LÄN</t>
        </is>
      </c>
      <c r="E1778" t="inlineStr">
        <is>
          <t>ÄLMHULT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29351-2020</t>
        </is>
      </c>
      <c r="B1779" s="1" t="n">
        <v>44004</v>
      </c>
      <c r="C1779" s="1" t="n">
        <v>45845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29357-2020</t>
        </is>
      </c>
      <c r="B1780" s="1" t="n">
        <v>44004</v>
      </c>
      <c r="C1780" s="1" t="n">
        <v>45845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29120-2020</t>
        </is>
      </c>
      <c r="B1781" s="1" t="n">
        <v>44004</v>
      </c>
      <c r="C1781" s="1" t="n">
        <v>45845</v>
      </c>
      <c r="D1781" t="inlineStr">
        <is>
          <t>KRONOBERGS LÄN</t>
        </is>
      </c>
      <c r="E1781" t="inlineStr">
        <is>
          <t>ALVESTA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29349-2020</t>
        </is>
      </c>
      <c r="B1782" s="1" t="n">
        <v>44004</v>
      </c>
      <c r="C1782" s="1" t="n">
        <v>45845</v>
      </c>
      <c r="D1782" t="inlineStr">
        <is>
          <t>KRONOBERGS LÄN</t>
        </is>
      </c>
      <c r="E1782" t="inlineStr">
        <is>
          <t>UPPVIDINGE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29305-2020</t>
        </is>
      </c>
      <c r="B1783" s="1" t="n">
        <v>44004</v>
      </c>
      <c r="C1783" s="1" t="n">
        <v>45845</v>
      </c>
      <c r="D1783" t="inlineStr">
        <is>
          <t>KRONOBERGS LÄN</t>
        </is>
      </c>
      <c r="E1783" t="inlineStr">
        <is>
          <t>MARKARYD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29352-2020</t>
        </is>
      </c>
      <c r="B1784" s="1" t="n">
        <v>44004</v>
      </c>
      <c r="C1784" s="1" t="n">
        <v>45845</v>
      </c>
      <c r="D1784" t="inlineStr">
        <is>
          <t>KRONOBERGS LÄN</t>
        </is>
      </c>
      <c r="E1784" t="inlineStr">
        <is>
          <t>LJUNGBY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29450-2020</t>
        </is>
      </c>
      <c r="B1785" s="1" t="n">
        <v>44004</v>
      </c>
      <c r="C1785" s="1" t="n">
        <v>45845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29466-2020</t>
        </is>
      </c>
      <c r="B1786" s="1" t="n">
        <v>44004</v>
      </c>
      <c r="C1786" s="1" t="n">
        <v>45845</v>
      </c>
      <c r="D1786" t="inlineStr">
        <is>
          <t>KRONOBERGS LÄN</t>
        </is>
      </c>
      <c r="E1786" t="inlineStr">
        <is>
          <t>MARKARYD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29524-2020</t>
        </is>
      </c>
      <c r="B1787" s="1" t="n">
        <v>44005</v>
      </c>
      <c r="C1787" s="1" t="n">
        <v>45845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29651-2020</t>
        </is>
      </c>
      <c r="B1788" s="1" t="n">
        <v>44005</v>
      </c>
      <c r="C1788" s="1" t="n">
        <v>45845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Kommuner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29561-2020</t>
        </is>
      </c>
      <c r="B1789" s="1" t="n">
        <v>44005</v>
      </c>
      <c r="C1789" s="1" t="n">
        <v>45845</v>
      </c>
      <c r="D1789" t="inlineStr">
        <is>
          <t>KRONOBERGS LÄN</t>
        </is>
      </c>
      <c r="E1789" t="inlineStr">
        <is>
          <t>LJUNGBY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29677-2020</t>
        </is>
      </c>
      <c r="B1790" s="1" t="n">
        <v>44005</v>
      </c>
      <c r="C1790" s="1" t="n">
        <v>45845</v>
      </c>
      <c r="D1790" t="inlineStr">
        <is>
          <t>KRONOBERGS LÄN</t>
        </is>
      </c>
      <c r="E1790" t="inlineStr">
        <is>
          <t>MARKARYD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29765-2020</t>
        </is>
      </c>
      <c r="B1791" s="1" t="n">
        <v>44005</v>
      </c>
      <c r="C1791" s="1" t="n">
        <v>45845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30246-2020</t>
        </is>
      </c>
      <c r="B1792" s="1" t="n">
        <v>44007</v>
      </c>
      <c r="C1792" s="1" t="n">
        <v>45845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30379-2020</t>
        </is>
      </c>
      <c r="B1793" s="1" t="n">
        <v>44007</v>
      </c>
      <c r="C1793" s="1" t="n">
        <v>45845</v>
      </c>
      <c r="D1793" t="inlineStr">
        <is>
          <t>KRONOBERGS LÄN</t>
        </is>
      </c>
      <c r="E1793" t="inlineStr">
        <is>
          <t>LJUNGBY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30438-2020</t>
        </is>
      </c>
      <c r="B1794" s="1" t="n">
        <v>44007</v>
      </c>
      <c r="C1794" s="1" t="n">
        <v>45845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30151-2020</t>
        </is>
      </c>
      <c r="B1795" s="1" t="n">
        <v>44007</v>
      </c>
      <c r="C1795" s="1" t="n">
        <v>45845</v>
      </c>
      <c r="D1795" t="inlineStr">
        <is>
          <t>KRONOBERGS LÄN</t>
        </is>
      </c>
      <c r="E1795" t="inlineStr">
        <is>
          <t>MARKARYD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30700-2020</t>
        </is>
      </c>
      <c r="B1796" s="1" t="n">
        <v>44008</v>
      </c>
      <c r="C1796" s="1" t="n">
        <v>45845</v>
      </c>
      <c r="D1796" t="inlineStr">
        <is>
          <t>KRONOBERGS LÄN</t>
        </is>
      </c>
      <c r="E1796" t="inlineStr">
        <is>
          <t>LJUNGBY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30551-2020</t>
        </is>
      </c>
      <c r="B1797" s="1" t="n">
        <v>44008</v>
      </c>
      <c r="C1797" s="1" t="n">
        <v>45845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30607-2020</t>
        </is>
      </c>
      <c r="B1798" s="1" t="n">
        <v>44008</v>
      </c>
      <c r="C1798" s="1" t="n">
        <v>45845</v>
      </c>
      <c r="D1798" t="inlineStr">
        <is>
          <t>KRONOBERGS LÄN</t>
        </is>
      </c>
      <c r="E1798" t="inlineStr">
        <is>
          <t>ÄLMHULT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30702-2020</t>
        </is>
      </c>
      <c r="B1799" s="1" t="n">
        <v>44008</v>
      </c>
      <c r="C1799" s="1" t="n">
        <v>45845</v>
      </c>
      <c r="D1799" t="inlineStr">
        <is>
          <t>KRONOBERGS LÄN</t>
        </is>
      </c>
      <c r="E1799" t="inlineStr">
        <is>
          <t>LJUNGBY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30769-2020</t>
        </is>
      </c>
      <c r="B1800" s="1" t="n">
        <v>44009</v>
      </c>
      <c r="C1800" s="1" t="n">
        <v>45845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30862-2020</t>
        </is>
      </c>
      <c r="B1801" s="1" t="n">
        <v>44011</v>
      </c>
      <c r="C1801" s="1" t="n">
        <v>45845</v>
      </c>
      <c r="D1801" t="inlineStr">
        <is>
          <t>KRONOBERGS LÄN</t>
        </is>
      </c>
      <c r="E1801" t="inlineStr">
        <is>
          <t>MARKARYD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30827-2020</t>
        </is>
      </c>
      <c r="B1802" s="1" t="n">
        <v>44011</v>
      </c>
      <c r="C1802" s="1" t="n">
        <v>45845</v>
      </c>
      <c r="D1802" t="inlineStr">
        <is>
          <t>KRONOBERGS LÄN</t>
        </is>
      </c>
      <c r="E1802" t="inlineStr">
        <is>
          <t>LJUNGBY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31140-2020</t>
        </is>
      </c>
      <c r="B1803" s="1" t="n">
        <v>44012</v>
      </c>
      <c r="C1803" s="1" t="n">
        <v>45845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31133-2020</t>
        </is>
      </c>
      <c r="B1804" s="1" t="n">
        <v>44012</v>
      </c>
      <c r="C1804" s="1" t="n">
        <v>45845</v>
      </c>
      <c r="D1804" t="inlineStr">
        <is>
          <t>KRONOBERGS LÄN</t>
        </is>
      </c>
      <c r="E1804" t="inlineStr">
        <is>
          <t>ALVESTA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31124-2020</t>
        </is>
      </c>
      <c r="B1805" s="1" t="n">
        <v>44012</v>
      </c>
      <c r="C1805" s="1" t="n">
        <v>45845</v>
      </c>
      <c r="D1805" t="inlineStr">
        <is>
          <t>KRONOBERGS LÄN</t>
        </is>
      </c>
      <c r="E1805" t="inlineStr">
        <is>
          <t>ALVESTA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31518-2020</t>
        </is>
      </c>
      <c r="B1806" s="1" t="n">
        <v>44013</v>
      </c>
      <c r="C1806" s="1" t="n">
        <v>45845</v>
      </c>
      <c r="D1806" t="inlineStr">
        <is>
          <t>KRONOBERGS LÄN</t>
        </is>
      </c>
      <c r="E1806" t="inlineStr">
        <is>
          <t>TINGSRYD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31495-2020</t>
        </is>
      </c>
      <c r="B1807" s="1" t="n">
        <v>44013</v>
      </c>
      <c r="C1807" s="1" t="n">
        <v>45845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31900-2020</t>
        </is>
      </c>
      <c r="B1808" s="1" t="n">
        <v>44014</v>
      </c>
      <c r="C1808" s="1" t="n">
        <v>45845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31913-2020</t>
        </is>
      </c>
      <c r="B1809" s="1" t="n">
        <v>44014</v>
      </c>
      <c r="C1809" s="1" t="n">
        <v>45845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31679-2020</t>
        </is>
      </c>
      <c r="B1810" s="1" t="n">
        <v>44014</v>
      </c>
      <c r="C1810" s="1" t="n">
        <v>45845</v>
      </c>
      <c r="D1810" t="inlineStr">
        <is>
          <t>KRONOBERGS LÄN</t>
        </is>
      </c>
      <c r="E1810" t="inlineStr">
        <is>
          <t>TINGSRYD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31726-2020</t>
        </is>
      </c>
      <c r="B1811" s="1" t="n">
        <v>44014</v>
      </c>
      <c r="C1811" s="1" t="n">
        <v>45845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31778-2020</t>
        </is>
      </c>
      <c r="B1812" s="1" t="n">
        <v>44014</v>
      </c>
      <c r="C1812" s="1" t="n">
        <v>45845</v>
      </c>
      <c r="D1812" t="inlineStr">
        <is>
          <t>KRONOBERGS LÄN</t>
        </is>
      </c>
      <c r="E1812" t="inlineStr">
        <is>
          <t>ALVESTA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31898-2020</t>
        </is>
      </c>
      <c r="B1813" s="1" t="n">
        <v>44014</v>
      </c>
      <c r="C1813" s="1" t="n">
        <v>45845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31911-2020</t>
        </is>
      </c>
      <c r="B1814" s="1" t="n">
        <v>44014</v>
      </c>
      <c r="C1814" s="1" t="n">
        <v>45845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31923-2020</t>
        </is>
      </c>
      <c r="B1815" s="1" t="n">
        <v>44014</v>
      </c>
      <c r="C1815" s="1" t="n">
        <v>45845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31925-2020</t>
        </is>
      </c>
      <c r="B1816" s="1" t="n">
        <v>44014</v>
      </c>
      <c r="C1816" s="1" t="n">
        <v>45845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31902-2020</t>
        </is>
      </c>
      <c r="B1817" s="1" t="n">
        <v>44014</v>
      </c>
      <c r="C1817" s="1" t="n">
        <v>45845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31915-2020</t>
        </is>
      </c>
      <c r="B1818" s="1" t="n">
        <v>44014</v>
      </c>
      <c r="C1818" s="1" t="n">
        <v>45845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32052-2020</t>
        </is>
      </c>
      <c r="B1819" s="1" t="n">
        <v>44015</v>
      </c>
      <c r="C1819" s="1" t="n">
        <v>45845</v>
      </c>
      <c r="D1819" t="inlineStr">
        <is>
          <t>KRONOBERGS LÄN</t>
        </is>
      </c>
      <c r="E1819" t="inlineStr">
        <is>
          <t>TINGSRYD</t>
        </is>
      </c>
      <c r="G1819" t="n">
        <v>15.3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32345-2020</t>
        </is>
      </c>
      <c r="B1820" s="1" t="n">
        <v>44016</v>
      </c>
      <c r="C1820" s="1" t="n">
        <v>45845</v>
      </c>
      <c r="D1820" t="inlineStr">
        <is>
          <t>KRONOBERGS LÄN</t>
        </is>
      </c>
      <c r="E1820" t="inlineStr">
        <is>
          <t>ALVESTA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32346-2020</t>
        </is>
      </c>
      <c r="B1821" s="1" t="n">
        <v>44016</v>
      </c>
      <c r="C1821" s="1" t="n">
        <v>45845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32347-2020</t>
        </is>
      </c>
      <c r="B1822" s="1" t="n">
        <v>44016</v>
      </c>
      <c r="C1822" s="1" t="n">
        <v>45845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32492-2020</t>
        </is>
      </c>
      <c r="B1823" s="1" t="n">
        <v>44018</v>
      </c>
      <c r="C1823" s="1" t="n">
        <v>45845</v>
      </c>
      <c r="D1823" t="inlineStr">
        <is>
          <t>KRONOBERGS LÄN</t>
        </is>
      </c>
      <c r="E1823" t="inlineStr">
        <is>
          <t>ALVESTA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32496-2020</t>
        </is>
      </c>
      <c r="B1824" s="1" t="n">
        <v>44018</v>
      </c>
      <c r="C1824" s="1" t="n">
        <v>45845</v>
      </c>
      <c r="D1824" t="inlineStr">
        <is>
          <t>KRONOBERGS LÄN</t>
        </is>
      </c>
      <c r="E1824" t="inlineStr">
        <is>
          <t>ALVESTA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32824-2020</t>
        </is>
      </c>
      <c r="B1825" s="1" t="n">
        <v>44018</v>
      </c>
      <c r="C1825" s="1" t="n">
        <v>45845</v>
      </c>
      <c r="D1825" t="inlineStr">
        <is>
          <t>KRONOBERGS LÄN</t>
        </is>
      </c>
      <c r="E1825" t="inlineStr">
        <is>
          <t>ALVESTA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32839-2020</t>
        </is>
      </c>
      <c r="B1826" s="1" t="n">
        <v>44018</v>
      </c>
      <c r="C1826" s="1" t="n">
        <v>45845</v>
      </c>
      <c r="D1826" t="inlineStr">
        <is>
          <t>KRONOBERGS LÄN</t>
        </is>
      </c>
      <c r="E1826" t="inlineStr">
        <is>
          <t>ALVESTA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32686-2020</t>
        </is>
      </c>
      <c r="B1827" s="1" t="n">
        <v>44019</v>
      </c>
      <c r="C1827" s="1" t="n">
        <v>45845</v>
      </c>
      <c r="D1827" t="inlineStr">
        <is>
          <t>KRONOBERGS LÄN</t>
        </is>
      </c>
      <c r="E1827" t="inlineStr">
        <is>
          <t>VÄXJÖ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32674-2020</t>
        </is>
      </c>
      <c r="B1828" s="1" t="n">
        <v>44019</v>
      </c>
      <c r="C1828" s="1" t="n">
        <v>45845</v>
      </c>
      <c r="D1828" t="inlineStr">
        <is>
          <t>KRONOBERGS LÄN</t>
        </is>
      </c>
      <c r="E1828" t="inlineStr">
        <is>
          <t>TINGSRYD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32856-2020</t>
        </is>
      </c>
      <c r="B1829" s="1" t="n">
        <v>44020</v>
      </c>
      <c r="C1829" s="1" t="n">
        <v>45845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32926-2020</t>
        </is>
      </c>
      <c r="B1830" s="1" t="n">
        <v>44020</v>
      </c>
      <c r="C1830" s="1" t="n">
        <v>45845</v>
      </c>
      <c r="D1830" t="inlineStr">
        <is>
          <t>KRONOBERGS LÄN</t>
        </is>
      </c>
      <c r="E1830" t="inlineStr">
        <is>
          <t>VÄXJÖ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32967-2020</t>
        </is>
      </c>
      <c r="B1831" s="1" t="n">
        <v>44020</v>
      </c>
      <c r="C1831" s="1" t="n">
        <v>45845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32971-2020</t>
        </is>
      </c>
      <c r="B1832" s="1" t="n">
        <v>44020</v>
      </c>
      <c r="C1832" s="1" t="n">
        <v>45845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32792-2020</t>
        </is>
      </c>
      <c r="B1833" s="1" t="n">
        <v>44020</v>
      </c>
      <c r="C1833" s="1" t="n">
        <v>45845</v>
      </c>
      <c r="D1833" t="inlineStr">
        <is>
          <t>KRONOBERGS LÄN</t>
        </is>
      </c>
      <c r="E1833" t="inlineStr">
        <is>
          <t>LJUNGBY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33234-2020</t>
        </is>
      </c>
      <c r="B1834" s="1" t="n">
        <v>44022</v>
      </c>
      <c r="C1834" s="1" t="n">
        <v>45845</v>
      </c>
      <c r="D1834" t="inlineStr">
        <is>
          <t>KRONOBERGS LÄN</t>
        </is>
      </c>
      <c r="E1834" t="inlineStr">
        <is>
          <t>LJUNGBY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33710-2020</t>
        </is>
      </c>
      <c r="B1835" s="1" t="n">
        <v>44022</v>
      </c>
      <c r="C1835" s="1" t="n">
        <v>45845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33314-2020</t>
        </is>
      </c>
      <c r="B1836" s="1" t="n">
        <v>44022</v>
      </c>
      <c r="C1836" s="1" t="n">
        <v>45845</v>
      </c>
      <c r="D1836" t="inlineStr">
        <is>
          <t>KRONOBERGS LÄN</t>
        </is>
      </c>
      <c r="E1836" t="inlineStr">
        <is>
          <t>ALVESTA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33525-2020</t>
        </is>
      </c>
      <c r="B1837" s="1" t="n">
        <v>44025</v>
      </c>
      <c r="C1837" s="1" t="n">
        <v>45845</v>
      </c>
      <c r="D1837" t="inlineStr">
        <is>
          <t>KRONOBERGS LÄN</t>
        </is>
      </c>
      <c r="E1837" t="inlineStr">
        <is>
          <t>VÄXJÖ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33549-2020</t>
        </is>
      </c>
      <c r="B1838" s="1" t="n">
        <v>44025</v>
      </c>
      <c r="C1838" s="1" t="n">
        <v>45845</v>
      </c>
      <c r="D1838" t="inlineStr">
        <is>
          <t>KRONOBERGS LÄN</t>
        </is>
      </c>
      <c r="E1838" t="inlineStr">
        <is>
          <t>VÄXJÖ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33522-2020</t>
        </is>
      </c>
      <c r="B1839" s="1" t="n">
        <v>44025</v>
      </c>
      <c r="C1839" s="1" t="n">
        <v>45845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33958-2020</t>
        </is>
      </c>
      <c r="B1840" s="1" t="n">
        <v>44026</v>
      </c>
      <c r="C1840" s="1" t="n">
        <v>45845</v>
      </c>
      <c r="D1840" t="inlineStr">
        <is>
          <t>KRONOBERGS LÄN</t>
        </is>
      </c>
      <c r="E1840" t="inlineStr">
        <is>
          <t>ÄLMHULT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33829-2020</t>
        </is>
      </c>
      <c r="B1841" s="1" t="n">
        <v>44027</v>
      </c>
      <c r="C1841" s="1" t="n">
        <v>45845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34019-2020</t>
        </is>
      </c>
      <c r="B1842" s="1" t="n">
        <v>44027</v>
      </c>
      <c r="C1842" s="1" t="n">
        <v>45845</v>
      </c>
      <c r="D1842" t="inlineStr">
        <is>
          <t>KRONOBERGS LÄN</t>
        </is>
      </c>
      <c r="E1842" t="inlineStr">
        <is>
          <t>TINGSRYD</t>
        </is>
      </c>
      <c r="G1842" t="n">
        <v>14.4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33984-2020</t>
        </is>
      </c>
      <c r="B1843" s="1" t="n">
        <v>44028</v>
      </c>
      <c r="C1843" s="1" t="n">
        <v>45845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34326-2020</t>
        </is>
      </c>
      <c r="B1844" s="1" t="n">
        <v>44028</v>
      </c>
      <c r="C1844" s="1" t="n">
        <v>45845</v>
      </c>
      <c r="D1844" t="inlineStr">
        <is>
          <t>KRONOBERGS LÄN</t>
        </is>
      </c>
      <c r="E1844" t="inlineStr">
        <is>
          <t>VÄXJÖ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34195-2020</t>
        </is>
      </c>
      <c r="B1845" s="1" t="n">
        <v>44029</v>
      </c>
      <c r="C1845" s="1" t="n">
        <v>45845</v>
      </c>
      <c r="D1845" t="inlineStr">
        <is>
          <t>KRONOBERGS LÄN</t>
        </is>
      </c>
      <c r="E1845" t="inlineStr">
        <is>
          <t>UPPVIDINGE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34153-2020</t>
        </is>
      </c>
      <c r="B1846" s="1" t="n">
        <v>44029</v>
      </c>
      <c r="C1846" s="1" t="n">
        <v>45845</v>
      </c>
      <c r="D1846" t="inlineStr">
        <is>
          <t>KRONOBERGS LÄN</t>
        </is>
      </c>
      <c r="E1846" t="inlineStr">
        <is>
          <t>UPPVIDINGE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34146-2020</t>
        </is>
      </c>
      <c r="B1847" s="1" t="n">
        <v>44029</v>
      </c>
      <c r="C1847" s="1" t="n">
        <v>45845</v>
      </c>
      <c r="D1847" t="inlineStr">
        <is>
          <t>KRONOBERGS LÄN</t>
        </is>
      </c>
      <c r="E1847" t="inlineStr">
        <is>
          <t>ÄLMHULT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34384-2020</t>
        </is>
      </c>
      <c r="B1848" s="1" t="n">
        <v>44032</v>
      </c>
      <c r="C1848" s="1" t="n">
        <v>45845</v>
      </c>
      <c r="D1848" t="inlineStr">
        <is>
          <t>KRONOBERGS LÄN</t>
        </is>
      </c>
      <c r="E1848" t="inlineStr">
        <is>
          <t>TINGSRYD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34377-2020</t>
        </is>
      </c>
      <c r="B1849" s="1" t="n">
        <v>44032</v>
      </c>
      <c r="C1849" s="1" t="n">
        <v>45845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34487-2020</t>
        </is>
      </c>
      <c r="B1850" s="1" t="n">
        <v>44033</v>
      </c>
      <c r="C1850" s="1" t="n">
        <v>45845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34745-2020</t>
        </is>
      </c>
      <c r="B1851" s="1" t="n">
        <v>44035</v>
      </c>
      <c r="C1851" s="1" t="n">
        <v>45845</v>
      </c>
      <c r="D1851" t="inlineStr">
        <is>
          <t>KRONOBERGS LÄN</t>
        </is>
      </c>
      <c r="E1851" t="inlineStr">
        <is>
          <t>UPPVIDINGE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34728-2020</t>
        </is>
      </c>
      <c r="B1852" s="1" t="n">
        <v>44035</v>
      </c>
      <c r="C1852" s="1" t="n">
        <v>45845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34727-2020</t>
        </is>
      </c>
      <c r="B1853" s="1" t="n">
        <v>44035</v>
      </c>
      <c r="C1853" s="1" t="n">
        <v>45845</v>
      </c>
      <c r="D1853" t="inlineStr">
        <is>
          <t>KRONOBERGS LÄN</t>
        </is>
      </c>
      <c r="E1853" t="inlineStr">
        <is>
          <t>ÄLMHULT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34829-2020</t>
        </is>
      </c>
      <c r="B1854" s="1" t="n">
        <v>44036</v>
      </c>
      <c r="C1854" s="1" t="n">
        <v>45845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34809-2020</t>
        </is>
      </c>
      <c r="B1855" s="1" t="n">
        <v>44036</v>
      </c>
      <c r="C1855" s="1" t="n">
        <v>45845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34883-2020</t>
        </is>
      </c>
      <c r="B1856" s="1" t="n">
        <v>44036</v>
      </c>
      <c r="C1856" s="1" t="n">
        <v>45845</v>
      </c>
      <c r="D1856" t="inlineStr">
        <is>
          <t>KRONOBERGS LÄN</t>
        </is>
      </c>
      <c r="E1856" t="inlineStr">
        <is>
          <t>UPPVIDINGE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34914-2020</t>
        </is>
      </c>
      <c r="B1857" s="1" t="n">
        <v>44036</v>
      </c>
      <c r="C1857" s="1" t="n">
        <v>45845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35055-2020</t>
        </is>
      </c>
      <c r="B1858" s="1" t="n">
        <v>44039</v>
      </c>
      <c r="C1858" s="1" t="n">
        <v>45845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35030-2020</t>
        </is>
      </c>
      <c r="B1859" s="1" t="n">
        <v>44039</v>
      </c>
      <c r="C1859" s="1" t="n">
        <v>45845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34978-2020</t>
        </is>
      </c>
      <c r="B1860" s="1" t="n">
        <v>44039</v>
      </c>
      <c r="C1860" s="1" t="n">
        <v>45845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35236-2020</t>
        </is>
      </c>
      <c r="B1861" s="1" t="n">
        <v>44041</v>
      </c>
      <c r="C1861" s="1" t="n">
        <v>45845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35238-2020</t>
        </is>
      </c>
      <c r="B1862" s="1" t="n">
        <v>44041</v>
      </c>
      <c r="C1862" s="1" t="n">
        <v>45845</v>
      </c>
      <c r="D1862" t="inlineStr">
        <is>
          <t>KRONOBERGS LÄN</t>
        </is>
      </c>
      <c r="E1862" t="inlineStr">
        <is>
          <t>MARKARYD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35241-2020</t>
        </is>
      </c>
      <c r="B1863" s="1" t="n">
        <v>44041</v>
      </c>
      <c r="C1863" s="1" t="n">
        <v>45845</v>
      </c>
      <c r="D1863" t="inlineStr">
        <is>
          <t>KRONOBERGS LÄN</t>
        </is>
      </c>
      <c r="E1863" t="inlineStr">
        <is>
          <t>MARKARYD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35455-2020</t>
        </is>
      </c>
      <c r="B1864" s="1" t="n">
        <v>44042</v>
      </c>
      <c r="C1864" s="1" t="n">
        <v>45845</v>
      </c>
      <c r="D1864" t="inlineStr">
        <is>
          <t>KRONOBERGS LÄN</t>
        </is>
      </c>
      <c r="E1864" t="inlineStr">
        <is>
          <t>TINGSRYD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35529-2020</t>
        </is>
      </c>
      <c r="B1865" s="1" t="n">
        <v>44043</v>
      </c>
      <c r="C1865" s="1" t="n">
        <v>45845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35634-2020</t>
        </is>
      </c>
      <c r="B1866" s="1" t="n">
        <v>44046</v>
      </c>
      <c r="C1866" s="1" t="n">
        <v>45845</v>
      </c>
      <c r="D1866" t="inlineStr">
        <is>
          <t>KRONOBERGS LÄN</t>
        </is>
      </c>
      <c r="E1866" t="inlineStr">
        <is>
          <t>ÄLMHULT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35636-2020</t>
        </is>
      </c>
      <c r="B1867" s="1" t="n">
        <v>44046</v>
      </c>
      <c r="C1867" s="1" t="n">
        <v>45845</v>
      </c>
      <c r="D1867" t="inlineStr">
        <is>
          <t>KRONOBERGS LÄN</t>
        </is>
      </c>
      <c r="E1867" t="inlineStr">
        <is>
          <t>ÄLMHULT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35717-2020</t>
        </is>
      </c>
      <c r="B1868" s="1" t="n">
        <v>44046</v>
      </c>
      <c r="C1868" s="1" t="n">
        <v>45845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35947-2020</t>
        </is>
      </c>
      <c r="B1869" s="1" t="n">
        <v>44047</v>
      </c>
      <c r="C1869" s="1" t="n">
        <v>45845</v>
      </c>
      <c r="D1869" t="inlineStr">
        <is>
          <t>KRONOBERGS LÄN</t>
        </is>
      </c>
      <c r="E1869" t="inlineStr">
        <is>
          <t>VÄXJÖ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35972-2020</t>
        </is>
      </c>
      <c r="B1870" s="1" t="n">
        <v>44047</v>
      </c>
      <c r="C1870" s="1" t="n">
        <v>45845</v>
      </c>
      <c r="D1870" t="inlineStr">
        <is>
          <t>KRONOBERGS LÄN</t>
        </is>
      </c>
      <c r="E1870" t="inlineStr">
        <is>
          <t>ALVESTA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36093-2020</t>
        </is>
      </c>
      <c r="B1871" s="1" t="n">
        <v>44048</v>
      </c>
      <c r="C1871" s="1" t="n">
        <v>45845</v>
      </c>
      <c r="D1871" t="inlineStr">
        <is>
          <t>KRONOBERGS LÄN</t>
        </is>
      </c>
      <c r="E1871" t="inlineStr">
        <is>
          <t>ALVESTA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36263-2020</t>
        </is>
      </c>
      <c r="B1872" s="1" t="n">
        <v>44048</v>
      </c>
      <c r="C1872" s="1" t="n">
        <v>45845</v>
      </c>
      <c r="D1872" t="inlineStr">
        <is>
          <t>KRONOBERGS LÄN</t>
        </is>
      </c>
      <c r="E1872" t="inlineStr">
        <is>
          <t>VÄXJÖ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36125-2020</t>
        </is>
      </c>
      <c r="B1873" s="1" t="n">
        <v>44048</v>
      </c>
      <c r="C1873" s="1" t="n">
        <v>45845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36087-2020</t>
        </is>
      </c>
      <c r="B1874" s="1" t="n">
        <v>44048</v>
      </c>
      <c r="C1874" s="1" t="n">
        <v>45845</v>
      </c>
      <c r="D1874" t="inlineStr">
        <is>
          <t>KRONOBERGS LÄN</t>
        </is>
      </c>
      <c r="E1874" t="inlineStr">
        <is>
          <t>ALVESTA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36251-2020</t>
        </is>
      </c>
      <c r="B1875" s="1" t="n">
        <v>44049</v>
      </c>
      <c r="C1875" s="1" t="n">
        <v>45845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36420-2020</t>
        </is>
      </c>
      <c r="B1876" s="1" t="n">
        <v>44049</v>
      </c>
      <c r="C1876" s="1" t="n">
        <v>45845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statliga verk och myndigheter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36246-2020</t>
        </is>
      </c>
      <c r="B1877" s="1" t="n">
        <v>44049</v>
      </c>
      <c r="C1877" s="1" t="n">
        <v>45845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36353-2020</t>
        </is>
      </c>
      <c r="B1878" s="1" t="n">
        <v>44049</v>
      </c>
      <c r="C1878" s="1" t="n">
        <v>45845</v>
      </c>
      <c r="D1878" t="inlineStr">
        <is>
          <t>KRONOBERGS LÄN</t>
        </is>
      </c>
      <c r="E1878" t="inlineStr">
        <is>
          <t>ALVESTA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36623-2020</t>
        </is>
      </c>
      <c r="B1879" s="1" t="n">
        <v>44050</v>
      </c>
      <c r="C1879" s="1" t="n">
        <v>45845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36679-2020</t>
        </is>
      </c>
      <c r="B1880" s="1" t="n">
        <v>44051</v>
      </c>
      <c r="C1880" s="1" t="n">
        <v>45845</v>
      </c>
      <c r="D1880" t="inlineStr">
        <is>
          <t>KRONOBERGS LÄN</t>
        </is>
      </c>
      <c r="E1880" t="inlineStr">
        <is>
          <t>ALVESTA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36861-2020</t>
        </is>
      </c>
      <c r="B1881" s="1" t="n">
        <v>44053</v>
      </c>
      <c r="C1881" s="1" t="n">
        <v>45845</v>
      </c>
      <c r="D1881" t="inlineStr">
        <is>
          <t>KRONOBERGS LÄN</t>
        </is>
      </c>
      <c r="E1881" t="inlineStr">
        <is>
          <t>TINGSRYD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36863-2020</t>
        </is>
      </c>
      <c r="B1882" s="1" t="n">
        <v>44053</v>
      </c>
      <c r="C1882" s="1" t="n">
        <v>45845</v>
      </c>
      <c r="D1882" t="inlineStr">
        <is>
          <t>KRONOBERGS LÄN</t>
        </is>
      </c>
      <c r="E1882" t="inlineStr">
        <is>
          <t>TINGSRYD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36886-2020</t>
        </is>
      </c>
      <c r="B1883" s="1" t="n">
        <v>44053</v>
      </c>
      <c r="C1883" s="1" t="n">
        <v>45845</v>
      </c>
      <c r="D1883" t="inlineStr">
        <is>
          <t>KRONOBERGS LÄN</t>
        </is>
      </c>
      <c r="E1883" t="inlineStr">
        <is>
          <t>ALVESTA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37047-2020</t>
        </is>
      </c>
      <c r="B1884" s="1" t="n">
        <v>44054</v>
      </c>
      <c r="C1884" s="1" t="n">
        <v>45845</v>
      </c>
      <c r="D1884" t="inlineStr">
        <is>
          <t>KRONOBERGS LÄN</t>
        </is>
      </c>
      <c r="E1884" t="inlineStr">
        <is>
          <t>ÄLMHULT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37048-2020</t>
        </is>
      </c>
      <c r="B1885" s="1" t="n">
        <v>44054</v>
      </c>
      <c r="C1885" s="1" t="n">
        <v>45845</v>
      </c>
      <c r="D1885" t="inlineStr">
        <is>
          <t>KRONOBERGS LÄN</t>
        </is>
      </c>
      <c r="E1885" t="inlineStr">
        <is>
          <t>TINGSRYD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37061-2020</t>
        </is>
      </c>
      <c r="B1886" s="1" t="n">
        <v>44054</v>
      </c>
      <c r="C1886" s="1" t="n">
        <v>45845</v>
      </c>
      <c r="D1886" t="inlineStr">
        <is>
          <t>KRONOBERGS LÄN</t>
        </is>
      </c>
      <c r="E1886" t="inlineStr">
        <is>
          <t>ÄLMHULT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37043-2020</t>
        </is>
      </c>
      <c r="B1887" s="1" t="n">
        <v>44054</v>
      </c>
      <c r="C1887" s="1" t="n">
        <v>45845</v>
      </c>
      <c r="D1887" t="inlineStr">
        <is>
          <t>KRONOBERGS LÄN</t>
        </is>
      </c>
      <c r="E1887" t="inlineStr">
        <is>
          <t>ÄLMHULT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37066-2020</t>
        </is>
      </c>
      <c r="B1888" s="1" t="n">
        <v>44054</v>
      </c>
      <c r="C1888" s="1" t="n">
        <v>45845</v>
      </c>
      <c r="D1888" t="inlineStr">
        <is>
          <t>KRONOBERGS LÄN</t>
        </is>
      </c>
      <c r="E1888" t="inlineStr">
        <is>
          <t>ÄLMHULT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37088-2020</t>
        </is>
      </c>
      <c r="B1889" s="1" t="n">
        <v>44054</v>
      </c>
      <c r="C1889" s="1" t="n">
        <v>45845</v>
      </c>
      <c r="D1889" t="inlineStr">
        <is>
          <t>KRONOBERGS LÄN</t>
        </is>
      </c>
      <c r="E1889" t="inlineStr">
        <is>
          <t>TINGSRYD</t>
        </is>
      </c>
      <c r="F1889" t="inlineStr">
        <is>
          <t>Övriga Aktiebolag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37100-2020</t>
        </is>
      </c>
      <c r="B1890" s="1" t="n">
        <v>44054</v>
      </c>
      <c r="C1890" s="1" t="n">
        <v>45845</v>
      </c>
      <c r="D1890" t="inlineStr">
        <is>
          <t>KRONOBERGS LÄN</t>
        </is>
      </c>
      <c r="E1890" t="inlineStr">
        <is>
          <t>UPPVIDINGE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37105-2020</t>
        </is>
      </c>
      <c r="B1891" s="1" t="n">
        <v>44054</v>
      </c>
      <c r="C1891" s="1" t="n">
        <v>45845</v>
      </c>
      <c r="D1891" t="inlineStr">
        <is>
          <t>KRONOBERGS LÄN</t>
        </is>
      </c>
      <c r="E1891" t="inlineStr">
        <is>
          <t>ALVESTA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37262-2020</t>
        </is>
      </c>
      <c r="B1892" s="1" t="n">
        <v>44054</v>
      </c>
      <c r="C1892" s="1" t="n">
        <v>45845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37036-2020</t>
        </is>
      </c>
      <c r="B1893" s="1" t="n">
        <v>44054</v>
      </c>
      <c r="C1893" s="1" t="n">
        <v>45845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37109-2020</t>
        </is>
      </c>
      <c r="B1894" s="1" t="n">
        <v>44054</v>
      </c>
      <c r="C1894" s="1" t="n">
        <v>45845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37306-2020</t>
        </is>
      </c>
      <c r="B1895" s="1" t="n">
        <v>44055</v>
      </c>
      <c r="C1895" s="1" t="n">
        <v>45845</v>
      </c>
      <c r="D1895" t="inlineStr">
        <is>
          <t>KRONOBERGS LÄN</t>
        </is>
      </c>
      <c r="E1895" t="inlineStr">
        <is>
          <t>VÄXJÖ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37414-2020</t>
        </is>
      </c>
      <c r="B1896" s="1" t="n">
        <v>44055</v>
      </c>
      <c r="C1896" s="1" t="n">
        <v>45845</v>
      </c>
      <c r="D1896" t="inlineStr">
        <is>
          <t>KRONOBERGS LÄN</t>
        </is>
      </c>
      <c r="E1896" t="inlineStr">
        <is>
          <t>TINGSRYD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37463-2020</t>
        </is>
      </c>
      <c r="B1897" s="1" t="n">
        <v>44055</v>
      </c>
      <c r="C1897" s="1" t="n">
        <v>45845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37695-2020</t>
        </is>
      </c>
      <c r="B1898" s="1" t="n">
        <v>44056</v>
      </c>
      <c r="C1898" s="1" t="n">
        <v>45845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37725-2020</t>
        </is>
      </c>
      <c r="B1899" s="1" t="n">
        <v>44056</v>
      </c>
      <c r="C1899" s="1" t="n">
        <v>45845</v>
      </c>
      <c r="D1899" t="inlineStr">
        <is>
          <t>KRONOBERGS LÄN</t>
        </is>
      </c>
      <c r="E1899" t="inlineStr">
        <is>
          <t>UPPVIDINGE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37750-2020</t>
        </is>
      </c>
      <c r="B1900" s="1" t="n">
        <v>44056</v>
      </c>
      <c r="C1900" s="1" t="n">
        <v>45845</v>
      </c>
      <c r="D1900" t="inlineStr">
        <is>
          <t>KRONOBERGS LÄN</t>
        </is>
      </c>
      <c r="E1900" t="inlineStr">
        <is>
          <t>ALVESTA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37718-2020</t>
        </is>
      </c>
      <c r="B1901" s="1" t="n">
        <v>44056</v>
      </c>
      <c r="C1901" s="1" t="n">
        <v>45845</v>
      </c>
      <c r="D1901" t="inlineStr">
        <is>
          <t>KRONOBERGS LÄN</t>
        </is>
      </c>
      <c r="E1901" t="inlineStr">
        <is>
          <t>MARKARYD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37744-2020</t>
        </is>
      </c>
      <c r="B1902" s="1" t="n">
        <v>44056</v>
      </c>
      <c r="C1902" s="1" t="n">
        <v>45845</v>
      </c>
      <c r="D1902" t="inlineStr">
        <is>
          <t>KRONOBERGS LÄN</t>
        </is>
      </c>
      <c r="E1902" t="inlineStr">
        <is>
          <t>ALVESTA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37808-2020</t>
        </is>
      </c>
      <c r="B1903" s="1" t="n">
        <v>44057</v>
      </c>
      <c r="C1903" s="1" t="n">
        <v>45845</v>
      </c>
      <c r="D1903" t="inlineStr">
        <is>
          <t>KRONOBERGS LÄN</t>
        </is>
      </c>
      <c r="E1903" t="inlineStr">
        <is>
          <t>ÄLMHULT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37802-2020</t>
        </is>
      </c>
      <c r="B1904" s="1" t="n">
        <v>44057</v>
      </c>
      <c r="C1904" s="1" t="n">
        <v>45845</v>
      </c>
      <c r="D1904" t="inlineStr">
        <is>
          <t>KRONOBERGS LÄN</t>
        </is>
      </c>
      <c r="E1904" t="inlineStr">
        <is>
          <t>ÄLMHULT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38363-2020</t>
        </is>
      </c>
      <c r="B1905" s="1" t="n">
        <v>44060</v>
      </c>
      <c r="C1905" s="1" t="n">
        <v>45845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38383-2020</t>
        </is>
      </c>
      <c r="B1906" s="1" t="n">
        <v>44060</v>
      </c>
      <c r="C1906" s="1" t="n">
        <v>45845</v>
      </c>
      <c r="D1906" t="inlineStr">
        <is>
          <t>KRONOBERGS LÄN</t>
        </is>
      </c>
      <c r="E1906" t="inlineStr">
        <is>
          <t>LJUNGBY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38157-2020</t>
        </is>
      </c>
      <c r="B1907" s="1" t="n">
        <v>44060</v>
      </c>
      <c r="C1907" s="1" t="n">
        <v>45845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38430-2020</t>
        </is>
      </c>
      <c r="B1908" s="1" t="n">
        <v>44060</v>
      </c>
      <c r="C1908" s="1" t="n">
        <v>45845</v>
      </c>
      <c r="D1908" t="inlineStr">
        <is>
          <t>KRONOBERGS LÄN</t>
        </is>
      </c>
      <c r="E1908" t="inlineStr">
        <is>
          <t>VÄXJÖ</t>
        </is>
      </c>
      <c r="F1908" t="inlineStr">
        <is>
          <t>Övriga Aktiebolag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38537-2020</t>
        </is>
      </c>
      <c r="B1909" s="1" t="n">
        <v>44061</v>
      </c>
      <c r="C1909" s="1" t="n">
        <v>45845</v>
      </c>
      <c r="D1909" t="inlineStr">
        <is>
          <t>KRONOBERGS LÄN</t>
        </is>
      </c>
      <c r="E1909" t="inlineStr">
        <is>
          <t>ALVESTA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38507-2020</t>
        </is>
      </c>
      <c r="B1910" s="1" t="n">
        <v>44061</v>
      </c>
      <c r="C1910" s="1" t="n">
        <v>45845</v>
      </c>
      <c r="D1910" t="inlineStr">
        <is>
          <t>KRONOBERGS LÄN</t>
        </is>
      </c>
      <c r="E1910" t="inlineStr">
        <is>
          <t>LJUNGBY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38616-2020</t>
        </is>
      </c>
      <c r="B1911" s="1" t="n">
        <v>44061</v>
      </c>
      <c r="C1911" s="1" t="n">
        <v>45845</v>
      </c>
      <c r="D1911" t="inlineStr">
        <is>
          <t>KRONOBERGS LÄN</t>
        </is>
      </c>
      <c r="E1911" t="inlineStr">
        <is>
          <t>VÄXJÖ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38669-2020</t>
        </is>
      </c>
      <c r="B1912" s="1" t="n">
        <v>44061</v>
      </c>
      <c r="C1912" s="1" t="n">
        <v>45845</v>
      </c>
      <c r="D1912" t="inlineStr">
        <is>
          <t>KRONOBERGS LÄN</t>
        </is>
      </c>
      <c r="E1912" t="inlineStr">
        <is>
          <t>ALVESTA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38755-2020</t>
        </is>
      </c>
      <c r="B1913" s="1" t="n">
        <v>44061</v>
      </c>
      <c r="C1913" s="1" t="n">
        <v>45845</v>
      </c>
      <c r="D1913" t="inlineStr">
        <is>
          <t>KRONOBERGS LÄN</t>
        </is>
      </c>
      <c r="E1913" t="inlineStr">
        <is>
          <t>ÄLMHULT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38758-2020</t>
        </is>
      </c>
      <c r="B1914" s="1" t="n">
        <v>44061</v>
      </c>
      <c r="C1914" s="1" t="n">
        <v>45845</v>
      </c>
      <c r="D1914" t="inlineStr">
        <is>
          <t>KRONOBERGS LÄN</t>
        </is>
      </c>
      <c r="E1914" t="inlineStr">
        <is>
          <t>LESSEBO</t>
        </is>
      </c>
      <c r="F1914" t="inlineStr">
        <is>
          <t>Sveaskog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38851-2020</t>
        </is>
      </c>
      <c r="B1915" s="1" t="n">
        <v>44062</v>
      </c>
      <c r="C1915" s="1" t="n">
        <v>45845</v>
      </c>
      <c r="D1915" t="inlineStr">
        <is>
          <t>KRONOBERGS LÄN</t>
        </is>
      </c>
      <c r="E1915" t="inlineStr">
        <is>
          <t>MARKARYD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38925-2020</t>
        </is>
      </c>
      <c r="B1916" s="1" t="n">
        <v>44062</v>
      </c>
      <c r="C1916" s="1" t="n">
        <v>45845</v>
      </c>
      <c r="D1916" t="inlineStr">
        <is>
          <t>KRONOBERGS LÄN</t>
        </is>
      </c>
      <c r="E1916" t="inlineStr">
        <is>
          <t>TINGSRYD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39030-2020</t>
        </is>
      </c>
      <c r="B1917" s="1" t="n">
        <v>44062</v>
      </c>
      <c r="C1917" s="1" t="n">
        <v>45845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39098-2020</t>
        </is>
      </c>
      <c r="B1918" s="1" t="n">
        <v>44063</v>
      </c>
      <c r="C1918" s="1" t="n">
        <v>45845</v>
      </c>
      <c r="D1918" t="inlineStr">
        <is>
          <t>KRONOBERGS LÄN</t>
        </is>
      </c>
      <c r="E1918" t="inlineStr">
        <is>
          <t>ÄLMHULT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39254-2020</t>
        </is>
      </c>
      <c r="B1919" s="1" t="n">
        <v>44063</v>
      </c>
      <c r="C1919" s="1" t="n">
        <v>45845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39270-2020</t>
        </is>
      </c>
      <c r="B1920" s="1" t="n">
        <v>44063</v>
      </c>
      <c r="C1920" s="1" t="n">
        <v>45845</v>
      </c>
      <c r="D1920" t="inlineStr">
        <is>
          <t>KRONOBERGS LÄN</t>
        </is>
      </c>
      <c r="E1920" t="inlineStr">
        <is>
          <t>TINGSRYD</t>
        </is>
      </c>
      <c r="F1920" t="inlineStr">
        <is>
          <t>Kommuner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39336-2020</t>
        </is>
      </c>
      <c r="B1921" s="1" t="n">
        <v>44063</v>
      </c>
      <c r="C1921" s="1" t="n">
        <v>45845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39468-2020</t>
        </is>
      </c>
      <c r="B1922" s="1" t="n">
        <v>44064</v>
      </c>
      <c r="C1922" s="1" t="n">
        <v>45845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39368-2020</t>
        </is>
      </c>
      <c r="B1923" s="1" t="n">
        <v>44064</v>
      </c>
      <c r="C1923" s="1" t="n">
        <v>45845</v>
      </c>
      <c r="D1923" t="inlineStr">
        <is>
          <t>KRONOBERGS LÄN</t>
        </is>
      </c>
      <c r="E1923" t="inlineStr">
        <is>
          <t>ALVESTA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39504-2020</t>
        </is>
      </c>
      <c r="B1924" s="1" t="n">
        <v>44064</v>
      </c>
      <c r="C1924" s="1" t="n">
        <v>45845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39556-2020</t>
        </is>
      </c>
      <c r="B1925" s="1" t="n">
        <v>44064</v>
      </c>
      <c r="C1925" s="1" t="n">
        <v>45845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39638-2020</t>
        </is>
      </c>
      <c r="B1926" s="1" t="n">
        <v>44064</v>
      </c>
      <c r="C1926" s="1" t="n">
        <v>45845</v>
      </c>
      <c r="D1926" t="inlineStr">
        <is>
          <t>KRONOBERGS LÄN</t>
        </is>
      </c>
      <c r="E1926" t="inlineStr">
        <is>
          <t>UPPVIDINGE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39366-2020</t>
        </is>
      </c>
      <c r="B1927" s="1" t="n">
        <v>44064</v>
      </c>
      <c r="C1927" s="1" t="n">
        <v>45845</v>
      </c>
      <c r="D1927" t="inlineStr">
        <is>
          <t>KRONOBERGS LÄN</t>
        </is>
      </c>
      <c r="E1927" t="inlineStr">
        <is>
          <t>VÄXJÖ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39679-2020</t>
        </is>
      </c>
      <c r="B1928" s="1" t="n">
        <v>44065</v>
      </c>
      <c r="C1928" s="1" t="n">
        <v>45845</v>
      </c>
      <c r="D1928" t="inlineStr">
        <is>
          <t>KRONOBERGS LÄN</t>
        </is>
      </c>
      <c r="E1928" t="inlineStr">
        <is>
          <t>TINGSRYD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39733-2020</t>
        </is>
      </c>
      <c r="B1929" s="1" t="n">
        <v>44067</v>
      </c>
      <c r="C1929" s="1" t="n">
        <v>45845</v>
      </c>
      <c r="D1929" t="inlineStr">
        <is>
          <t>KRONOBERGS LÄN</t>
        </is>
      </c>
      <c r="E1929" t="inlineStr">
        <is>
          <t>LESSEBO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40014-2020</t>
        </is>
      </c>
      <c r="B1930" s="1" t="n">
        <v>44067</v>
      </c>
      <c r="C1930" s="1" t="n">
        <v>45845</v>
      </c>
      <c r="D1930" t="inlineStr">
        <is>
          <t>KRONOBERGS LÄN</t>
        </is>
      </c>
      <c r="E1930" t="inlineStr">
        <is>
          <t>UPPVIDINGE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39736-2020</t>
        </is>
      </c>
      <c r="B1931" s="1" t="n">
        <v>44067</v>
      </c>
      <c r="C1931" s="1" t="n">
        <v>45845</v>
      </c>
      <c r="D1931" t="inlineStr">
        <is>
          <t>KRONOBERGS LÄN</t>
        </is>
      </c>
      <c r="E1931" t="inlineStr">
        <is>
          <t>LESSEBO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39776-2020</t>
        </is>
      </c>
      <c r="B1932" s="1" t="n">
        <v>44067</v>
      </c>
      <c r="C1932" s="1" t="n">
        <v>45845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39951-2020</t>
        </is>
      </c>
      <c r="B1933" s="1" t="n">
        <v>44067</v>
      </c>
      <c r="C1933" s="1" t="n">
        <v>45845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40104-2020</t>
        </is>
      </c>
      <c r="B1934" s="1" t="n">
        <v>44067</v>
      </c>
      <c r="C1934" s="1" t="n">
        <v>45845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40145-2020</t>
        </is>
      </c>
      <c r="B1935" s="1" t="n">
        <v>44068</v>
      </c>
      <c r="C1935" s="1" t="n">
        <v>45845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40201-2020</t>
        </is>
      </c>
      <c r="B1936" s="1" t="n">
        <v>44068</v>
      </c>
      <c r="C1936" s="1" t="n">
        <v>45845</v>
      </c>
      <c r="D1936" t="inlineStr">
        <is>
          <t>KRONOBERGS LÄN</t>
        </is>
      </c>
      <c r="E1936" t="inlineStr">
        <is>
          <t>TINGSRYD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40214-2020</t>
        </is>
      </c>
      <c r="B1937" s="1" t="n">
        <v>44068</v>
      </c>
      <c r="C1937" s="1" t="n">
        <v>45845</v>
      </c>
      <c r="D1937" t="inlineStr">
        <is>
          <t>KRONOBERGS LÄN</t>
        </is>
      </c>
      <c r="E1937" t="inlineStr">
        <is>
          <t>TINGSRYD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40194-2020</t>
        </is>
      </c>
      <c r="B1938" s="1" t="n">
        <v>44068</v>
      </c>
      <c r="C1938" s="1" t="n">
        <v>45845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40208-2020</t>
        </is>
      </c>
      <c r="B1939" s="1" t="n">
        <v>44068</v>
      </c>
      <c r="C1939" s="1" t="n">
        <v>45845</v>
      </c>
      <c r="D1939" t="inlineStr">
        <is>
          <t>KRONOBERGS LÄN</t>
        </is>
      </c>
      <c r="E1939" t="inlineStr">
        <is>
          <t>TINGSRYD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40334-2020</t>
        </is>
      </c>
      <c r="B1940" s="1" t="n">
        <v>44068</v>
      </c>
      <c r="C1940" s="1" t="n">
        <v>45845</v>
      </c>
      <c r="D1940" t="inlineStr">
        <is>
          <t>KRONOBERGS LÄN</t>
        </is>
      </c>
      <c r="E1940" t="inlineStr">
        <is>
          <t>VÄXJÖ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40364-2020</t>
        </is>
      </c>
      <c r="B1941" s="1" t="n">
        <v>44068</v>
      </c>
      <c r="C1941" s="1" t="n">
        <v>45845</v>
      </c>
      <c r="D1941" t="inlineStr">
        <is>
          <t>KRONOBERGS LÄN</t>
        </is>
      </c>
      <c r="E1941" t="inlineStr">
        <is>
          <t>UPPVIDINGE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40216-2020</t>
        </is>
      </c>
      <c r="B1942" s="1" t="n">
        <v>44068</v>
      </c>
      <c r="C1942" s="1" t="n">
        <v>45845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40452-2020</t>
        </is>
      </c>
      <c r="B1943" s="1" t="n">
        <v>44069</v>
      </c>
      <c r="C1943" s="1" t="n">
        <v>45845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40464-2020</t>
        </is>
      </c>
      <c r="B1944" s="1" t="n">
        <v>44069</v>
      </c>
      <c r="C1944" s="1" t="n">
        <v>45845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40458-2020</t>
        </is>
      </c>
      <c r="B1945" s="1" t="n">
        <v>44069</v>
      </c>
      <c r="C1945" s="1" t="n">
        <v>45845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40539-2020</t>
        </is>
      </c>
      <c r="B1946" s="1" t="n">
        <v>44069</v>
      </c>
      <c r="C1946" s="1" t="n">
        <v>45845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40451-2020</t>
        </is>
      </c>
      <c r="B1947" s="1" t="n">
        <v>44069</v>
      </c>
      <c r="C1947" s="1" t="n">
        <v>45845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40463-2020</t>
        </is>
      </c>
      <c r="B1948" s="1" t="n">
        <v>44069</v>
      </c>
      <c r="C1948" s="1" t="n">
        <v>45845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40443-2020</t>
        </is>
      </c>
      <c r="B1949" s="1" t="n">
        <v>44069</v>
      </c>
      <c r="C1949" s="1" t="n">
        <v>45845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40465-2020</t>
        </is>
      </c>
      <c r="B1950" s="1" t="n">
        <v>44069</v>
      </c>
      <c r="C1950" s="1" t="n">
        <v>45845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40475-2020</t>
        </is>
      </c>
      <c r="B1951" s="1" t="n">
        <v>44069</v>
      </c>
      <c r="C1951" s="1" t="n">
        <v>45845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40533-2020</t>
        </is>
      </c>
      <c r="B1952" s="1" t="n">
        <v>44069</v>
      </c>
      <c r="C1952" s="1" t="n">
        <v>45845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40701-2020</t>
        </is>
      </c>
      <c r="B1953" s="1" t="n">
        <v>44069</v>
      </c>
      <c r="C1953" s="1" t="n">
        <v>45845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40449-2020</t>
        </is>
      </c>
      <c r="B1954" s="1" t="n">
        <v>44069</v>
      </c>
      <c r="C1954" s="1" t="n">
        <v>45845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40716-2020</t>
        </is>
      </c>
      <c r="B1955" s="1" t="n">
        <v>44069</v>
      </c>
      <c r="C1955" s="1" t="n">
        <v>45845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40893-2020</t>
        </is>
      </c>
      <c r="B1956" s="1" t="n">
        <v>44070</v>
      </c>
      <c r="C1956" s="1" t="n">
        <v>45845</v>
      </c>
      <c r="D1956" t="inlineStr">
        <is>
          <t>KRONOBERGS LÄN</t>
        </is>
      </c>
      <c r="E1956" t="inlineStr">
        <is>
          <t>ÄLMHULT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40775-2020</t>
        </is>
      </c>
      <c r="B1957" s="1" t="n">
        <v>44070</v>
      </c>
      <c r="C1957" s="1" t="n">
        <v>45845</v>
      </c>
      <c r="D1957" t="inlineStr">
        <is>
          <t>KRONOBERGS LÄN</t>
        </is>
      </c>
      <c r="E1957" t="inlineStr">
        <is>
          <t>LJUNGBY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40851-2020</t>
        </is>
      </c>
      <c r="B1958" s="1" t="n">
        <v>44070</v>
      </c>
      <c r="C1958" s="1" t="n">
        <v>45845</v>
      </c>
      <c r="D1958" t="inlineStr">
        <is>
          <t>KRONOBERGS LÄN</t>
        </is>
      </c>
      <c r="E1958" t="inlineStr">
        <is>
          <t>TINGSRYD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41478-2020</t>
        </is>
      </c>
      <c r="B1959" s="1" t="n">
        <v>44070</v>
      </c>
      <c r="C1959" s="1" t="n">
        <v>45845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40807-2020</t>
        </is>
      </c>
      <c r="B1960" s="1" t="n">
        <v>44070</v>
      </c>
      <c r="C1960" s="1" t="n">
        <v>45845</v>
      </c>
      <c r="D1960" t="inlineStr">
        <is>
          <t>KRONOBERGS LÄN</t>
        </is>
      </c>
      <c r="E1960" t="inlineStr">
        <is>
          <t>TINGSRYD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40895-2020</t>
        </is>
      </c>
      <c r="B1961" s="1" t="n">
        <v>44070</v>
      </c>
      <c r="C1961" s="1" t="n">
        <v>45845</v>
      </c>
      <c r="D1961" t="inlineStr">
        <is>
          <t>KRONOBERGS LÄN</t>
        </is>
      </c>
      <c r="E1961" t="inlineStr">
        <is>
          <t>ÄLMHULT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41107-2020</t>
        </is>
      </c>
      <c r="B1962" s="1" t="n">
        <v>44071</v>
      </c>
      <c r="C1962" s="1" t="n">
        <v>45845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42020-2020</t>
        </is>
      </c>
      <c r="B1963" s="1" t="n">
        <v>44071</v>
      </c>
      <c r="C1963" s="1" t="n">
        <v>45845</v>
      </c>
      <c r="D1963" t="inlineStr">
        <is>
          <t>KRONOBERGS LÄN</t>
        </is>
      </c>
      <c r="E1963" t="inlineStr">
        <is>
          <t>TINGSRYD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41412-2020</t>
        </is>
      </c>
      <c r="B1964" s="1" t="n">
        <v>44073</v>
      </c>
      <c r="C1964" s="1" t="n">
        <v>45845</v>
      </c>
      <c r="D1964" t="inlineStr">
        <is>
          <t>KRONOBERGS LÄN</t>
        </is>
      </c>
      <c r="E1964" t="inlineStr">
        <is>
          <t>UPPVIDINGE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41403-2020</t>
        </is>
      </c>
      <c r="B1965" s="1" t="n">
        <v>44073</v>
      </c>
      <c r="C1965" s="1" t="n">
        <v>45845</v>
      </c>
      <c r="D1965" t="inlineStr">
        <is>
          <t>KRONOBERGS LÄN</t>
        </is>
      </c>
      <c r="E1965" t="inlineStr">
        <is>
          <t>UPPVIDINGE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41413-2020</t>
        </is>
      </c>
      <c r="B1966" s="1" t="n">
        <v>44073</v>
      </c>
      <c r="C1966" s="1" t="n">
        <v>45845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41484-2020</t>
        </is>
      </c>
      <c r="B1967" s="1" t="n">
        <v>44074</v>
      </c>
      <c r="C1967" s="1" t="n">
        <v>45845</v>
      </c>
      <c r="D1967" t="inlineStr">
        <is>
          <t>KRONOBERGS LÄN</t>
        </is>
      </c>
      <c r="E1967" t="inlineStr">
        <is>
          <t>ALVESTA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41482-2020</t>
        </is>
      </c>
      <c r="B1968" s="1" t="n">
        <v>44074</v>
      </c>
      <c r="C1968" s="1" t="n">
        <v>45845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41487-2020</t>
        </is>
      </c>
      <c r="B1969" s="1" t="n">
        <v>44074</v>
      </c>
      <c r="C1969" s="1" t="n">
        <v>45845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41764-2020</t>
        </is>
      </c>
      <c r="B1970" s="1" t="n">
        <v>44074</v>
      </c>
      <c r="C1970" s="1" t="n">
        <v>45845</v>
      </c>
      <c r="D1970" t="inlineStr">
        <is>
          <t>KRONOBERGS LÄN</t>
        </is>
      </c>
      <c r="E1970" t="inlineStr">
        <is>
          <t>UPPVIDINGE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41854-2020</t>
        </is>
      </c>
      <c r="B1971" s="1" t="n">
        <v>44074</v>
      </c>
      <c r="C1971" s="1" t="n">
        <v>45845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41998-2020</t>
        </is>
      </c>
      <c r="B1972" s="1" t="n">
        <v>44074</v>
      </c>
      <c r="C1972" s="1" t="n">
        <v>45845</v>
      </c>
      <c r="D1972" t="inlineStr">
        <is>
          <t>KRONOBERGS LÄN</t>
        </is>
      </c>
      <c r="E1972" t="inlineStr">
        <is>
          <t>UPPVIDINGE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42004-2020</t>
        </is>
      </c>
      <c r="B1973" s="1" t="n">
        <v>44074</v>
      </c>
      <c r="C1973" s="1" t="n">
        <v>45845</v>
      </c>
      <c r="D1973" t="inlineStr">
        <is>
          <t>KRONOBERGS LÄN</t>
        </is>
      </c>
      <c r="E1973" t="inlineStr">
        <is>
          <t>UPPVIDINGE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42059-2020</t>
        </is>
      </c>
      <c r="B1974" s="1" t="n">
        <v>44075</v>
      </c>
      <c r="C1974" s="1" t="n">
        <v>45845</v>
      </c>
      <c r="D1974" t="inlineStr">
        <is>
          <t>KRONOBERGS LÄN</t>
        </is>
      </c>
      <c r="E1974" t="inlineStr">
        <is>
          <t>TINGSRYD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42171-2020</t>
        </is>
      </c>
      <c r="B1975" s="1" t="n">
        <v>44075</v>
      </c>
      <c r="C1975" s="1" t="n">
        <v>45845</v>
      </c>
      <c r="D1975" t="inlineStr">
        <is>
          <t>KRONOBERGS LÄN</t>
        </is>
      </c>
      <c r="E1975" t="inlineStr">
        <is>
          <t>ÄLMHULT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42185-2020</t>
        </is>
      </c>
      <c r="B1976" s="1" t="n">
        <v>44075</v>
      </c>
      <c r="C1976" s="1" t="n">
        <v>45845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42063-2020</t>
        </is>
      </c>
      <c r="B1977" s="1" t="n">
        <v>44075</v>
      </c>
      <c r="C1977" s="1" t="n">
        <v>45845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42017-2020</t>
        </is>
      </c>
      <c r="B1978" s="1" t="n">
        <v>44075</v>
      </c>
      <c r="C1978" s="1" t="n">
        <v>45845</v>
      </c>
      <c r="D1978" t="inlineStr">
        <is>
          <t>KRONOBERGS LÄN</t>
        </is>
      </c>
      <c r="E1978" t="inlineStr">
        <is>
          <t>LJUNGBY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42215-2020</t>
        </is>
      </c>
      <c r="B1979" s="1" t="n">
        <v>44075</v>
      </c>
      <c r="C1979" s="1" t="n">
        <v>45845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42191-2020</t>
        </is>
      </c>
      <c r="B1980" s="1" t="n">
        <v>44075</v>
      </c>
      <c r="C1980" s="1" t="n">
        <v>45845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42189-2020</t>
        </is>
      </c>
      <c r="B1981" s="1" t="n">
        <v>44075</v>
      </c>
      <c r="C1981" s="1" t="n">
        <v>45845</v>
      </c>
      <c r="D1981" t="inlineStr">
        <is>
          <t>KRONOBERGS LÄN</t>
        </is>
      </c>
      <c r="E1981" t="inlineStr">
        <is>
          <t>VÄXJÖ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42265-2020</t>
        </is>
      </c>
      <c r="B1982" s="1" t="n">
        <v>44076</v>
      </c>
      <c r="C1982" s="1" t="n">
        <v>45845</v>
      </c>
      <c r="D1982" t="inlineStr">
        <is>
          <t>KRONOBERGS LÄN</t>
        </is>
      </c>
      <c r="E1982" t="inlineStr">
        <is>
          <t>ALVESTA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42486-2020</t>
        </is>
      </c>
      <c r="B1983" s="1" t="n">
        <v>44077</v>
      </c>
      <c r="C1983" s="1" t="n">
        <v>45845</v>
      </c>
      <c r="D1983" t="inlineStr">
        <is>
          <t>KRONOBERGS LÄN</t>
        </is>
      </c>
      <c r="E1983" t="inlineStr">
        <is>
          <t>LESSEBO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42543-2020</t>
        </is>
      </c>
      <c r="B1984" s="1" t="n">
        <v>44077</v>
      </c>
      <c r="C1984" s="1" t="n">
        <v>45845</v>
      </c>
      <c r="D1984" t="inlineStr">
        <is>
          <t>KRONOBERGS LÄN</t>
        </is>
      </c>
      <c r="E1984" t="inlineStr">
        <is>
          <t>ALVESTA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42891-2020</t>
        </is>
      </c>
      <c r="B1985" s="1" t="n">
        <v>44078</v>
      </c>
      <c r="C1985" s="1" t="n">
        <v>45845</v>
      </c>
      <c r="D1985" t="inlineStr">
        <is>
          <t>KRONOBERGS LÄN</t>
        </is>
      </c>
      <c r="E1985" t="inlineStr">
        <is>
          <t>TINGSRYD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42912-2020</t>
        </is>
      </c>
      <c r="B1986" s="1" t="n">
        <v>44078</v>
      </c>
      <c r="C1986" s="1" t="n">
        <v>45845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42842-2020</t>
        </is>
      </c>
      <c r="B1987" s="1" t="n">
        <v>44078</v>
      </c>
      <c r="C1987" s="1" t="n">
        <v>45845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42886-2020</t>
        </is>
      </c>
      <c r="B1988" s="1" t="n">
        <v>44078</v>
      </c>
      <c r="C1988" s="1" t="n">
        <v>45845</v>
      </c>
      <c r="D1988" t="inlineStr">
        <is>
          <t>KRONOBERGS LÄN</t>
        </is>
      </c>
      <c r="E1988" t="inlineStr">
        <is>
          <t>MARKARYD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42896-2020</t>
        </is>
      </c>
      <c r="B1989" s="1" t="n">
        <v>44078</v>
      </c>
      <c r="C1989" s="1" t="n">
        <v>45845</v>
      </c>
      <c r="D1989" t="inlineStr">
        <is>
          <t>KRONOBERGS LÄN</t>
        </is>
      </c>
      <c r="E1989" t="inlineStr">
        <is>
          <t>TINGSRYD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42977-2020</t>
        </is>
      </c>
      <c r="B1990" s="1" t="n">
        <v>44078</v>
      </c>
      <c r="C1990" s="1" t="n">
        <v>45845</v>
      </c>
      <c r="D1990" t="inlineStr">
        <is>
          <t>KRONOBERGS LÄN</t>
        </is>
      </c>
      <c r="E1990" t="inlineStr">
        <is>
          <t>LJUNGBY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42994-2020</t>
        </is>
      </c>
      <c r="B1991" s="1" t="n">
        <v>44078</v>
      </c>
      <c r="C1991" s="1" t="n">
        <v>45845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43018-2020</t>
        </is>
      </c>
      <c r="B1992" s="1" t="n">
        <v>44078</v>
      </c>
      <c r="C1992" s="1" t="n">
        <v>45845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42991-2020</t>
        </is>
      </c>
      <c r="B1993" s="1" t="n">
        <v>44078</v>
      </c>
      <c r="C1993" s="1" t="n">
        <v>45845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43012-2020</t>
        </is>
      </c>
      <c r="B1994" s="1" t="n">
        <v>44078</v>
      </c>
      <c r="C1994" s="1" t="n">
        <v>45845</v>
      </c>
      <c r="D1994" t="inlineStr">
        <is>
          <t>KRONOBERGS LÄN</t>
        </is>
      </c>
      <c r="E1994" t="inlineStr">
        <is>
          <t>ALVESTA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43311-2020</t>
        </is>
      </c>
      <c r="B1995" s="1" t="n">
        <v>44081</v>
      </c>
      <c r="C1995" s="1" t="n">
        <v>45845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43630-2020</t>
        </is>
      </c>
      <c r="B1996" s="1" t="n">
        <v>44082</v>
      </c>
      <c r="C1996" s="1" t="n">
        <v>45845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43747-2020</t>
        </is>
      </c>
      <c r="B1997" s="1" t="n">
        <v>44082</v>
      </c>
      <c r="C1997" s="1" t="n">
        <v>45845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43772-2020</t>
        </is>
      </c>
      <c r="B1998" s="1" t="n">
        <v>44082</v>
      </c>
      <c r="C1998" s="1" t="n">
        <v>45845</v>
      </c>
      <c r="D1998" t="inlineStr">
        <is>
          <t>KRONOBERGS LÄN</t>
        </is>
      </c>
      <c r="E1998" t="inlineStr">
        <is>
          <t>VÄXJÖ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43776-2020</t>
        </is>
      </c>
      <c r="B1999" s="1" t="n">
        <v>44082</v>
      </c>
      <c r="C1999" s="1" t="n">
        <v>45845</v>
      </c>
      <c r="D1999" t="inlineStr">
        <is>
          <t>KRONOBERGS LÄN</t>
        </is>
      </c>
      <c r="E1999" t="inlineStr">
        <is>
          <t>TINGSRYD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44073-2020</t>
        </is>
      </c>
      <c r="B2000" s="1" t="n">
        <v>44083</v>
      </c>
      <c r="C2000" s="1" t="n">
        <v>45845</v>
      </c>
      <c r="D2000" t="inlineStr">
        <is>
          <t>KRONOBERGS LÄN</t>
        </is>
      </c>
      <c r="E2000" t="inlineStr">
        <is>
          <t>TINGSRYD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44242-2020</t>
        </is>
      </c>
      <c r="B2001" s="1" t="n">
        <v>44084</v>
      </c>
      <c r="C2001" s="1" t="n">
        <v>45845</v>
      </c>
      <c r="D2001" t="inlineStr">
        <is>
          <t>KRONOBERGS LÄN</t>
        </is>
      </c>
      <c r="E2001" t="inlineStr">
        <is>
          <t>ALVESTA</t>
        </is>
      </c>
      <c r="F2001" t="inlineStr">
        <is>
          <t>Kyrkan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44433-2020</t>
        </is>
      </c>
      <c r="B2002" s="1" t="n">
        <v>44084</v>
      </c>
      <c r="C2002" s="1" t="n">
        <v>45845</v>
      </c>
      <c r="D2002" t="inlineStr">
        <is>
          <t>KRONOBERGS LÄN</t>
        </is>
      </c>
      <c r="E2002" t="inlineStr">
        <is>
          <t>LESSEBO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44439-2020</t>
        </is>
      </c>
      <c r="B2003" s="1" t="n">
        <v>44084</v>
      </c>
      <c r="C2003" s="1" t="n">
        <v>45845</v>
      </c>
      <c r="D2003" t="inlineStr">
        <is>
          <t>KRONOBERGS LÄN</t>
        </is>
      </c>
      <c r="E2003" t="inlineStr">
        <is>
          <t>LESSEBO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44362-2020</t>
        </is>
      </c>
      <c r="B2004" s="1" t="n">
        <v>44084</v>
      </c>
      <c r="C2004" s="1" t="n">
        <v>45845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44374-2020</t>
        </is>
      </c>
      <c r="B2005" s="1" t="n">
        <v>44084</v>
      </c>
      <c r="C2005" s="1" t="n">
        <v>45845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44342-2020</t>
        </is>
      </c>
      <c r="B2006" s="1" t="n">
        <v>44084</v>
      </c>
      <c r="C2006" s="1" t="n">
        <v>45845</v>
      </c>
      <c r="D2006" t="inlineStr">
        <is>
          <t>KRONOBERGS LÄN</t>
        </is>
      </c>
      <c r="E2006" t="inlineStr">
        <is>
          <t>LJUNGBY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44355-2020</t>
        </is>
      </c>
      <c r="B2007" s="1" t="n">
        <v>44084</v>
      </c>
      <c r="C2007" s="1" t="n">
        <v>45845</v>
      </c>
      <c r="D2007" t="inlineStr">
        <is>
          <t>KRONOBERGS LÄN</t>
        </is>
      </c>
      <c r="E2007" t="inlineStr">
        <is>
          <t>VÄXJÖ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44601-2020</t>
        </is>
      </c>
      <c r="B2008" s="1" t="n">
        <v>44085</v>
      </c>
      <c r="C2008" s="1" t="n">
        <v>45845</v>
      </c>
      <c r="D2008" t="inlineStr">
        <is>
          <t>KRONOBERGS LÄN</t>
        </is>
      </c>
      <c r="E2008" t="inlineStr">
        <is>
          <t>ALVESTA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44774-2020</t>
        </is>
      </c>
      <c r="B2009" s="1" t="n">
        <v>44085</v>
      </c>
      <c r="C2009" s="1" t="n">
        <v>45845</v>
      </c>
      <c r="D2009" t="inlineStr">
        <is>
          <t>KRONOBERGS LÄN</t>
        </is>
      </c>
      <c r="E2009" t="inlineStr">
        <is>
          <t>VÄXJÖ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44789-2020</t>
        </is>
      </c>
      <c r="B2010" s="1" t="n">
        <v>44085</v>
      </c>
      <c r="C2010" s="1" t="n">
        <v>45845</v>
      </c>
      <c r="D2010" t="inlineStr">
        <is>
          <t>KRONOBERGS LÄN</t>
        </is>
      </c>
      <c r="E2010" t="inlineStr">
        <is>
          <t>UPPVIDINGE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45113-2020</t>
        </is>
      </c>
      <c r="B2011" s="1" t="n">
        <v>44088</v>
      </c>
      <c r="C2011" s="1" t="n">
        <v>45845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45109-2020</t>
        </is>
      </c>
      <c r="B2012" s="1" t="n">
        <v>44088</v>
      </c>
      <c r="C2012" s="1" t="n">
        <v>45845</v>
      </c>
      <c r="D2012" t="inlineStr">
        <is>
          <t>KRONOBERGS LÄN</t>
        </is>
      </c>
      <c r="E2012" t="inlineStr">
        <is>
          <t>UPPVIDINGE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45202-2020</t>
        </is>
      </c>
      <c r="B2013" s="1" t="n">
        <v>44088</v>
      </c>
      <c r="C2013" s="1" t="n">
        <v>45845</v>
      </c>
      <c r="D2013" t="inlineStr">
        <is>
          <t>KRONOBERGS LÄN</t>
        </is>
      </c>
      <c r="E2013" t="inlineStr">
        <is>
          <t>UPPVIDINGE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45256-2020</t>
        </is>
      </c>
      <c r="B2014" s="1" t="n">
        <v>44089</v>
      </c>
      <c r="C2014" s="1" t="n">
        <v>45845</v>
      </c>
      <c r="D2014" t="inlineStr">
        <is>
          <t>KRONOBERGS LÄN</t>
        </is>
      </c>
      <c r="E2014" t="inlineStr">
        <is>
          <t>ALVESTA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45295-2020</t>
        </is>
      </c>
      <c r="B2015" s="1" t="n">
        <v>44089</v>
      </c>
      <c r="C2015" s="1" t="n">
        <v>45845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45288-2020</t>
        </is>
      </c>
      <c r="B2016" s="1" t="n">
        <v>44089</v>
      </c>
      <c r="C2016" s="1" t="n">
        <v>45845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45365-2020</t>
        </is>
      </c>
      <c r="B2017" s="1" t="n">
        <v>44089</v>
      </c>
      <c r="C2017" s="1" t="n">
        <v>45845</v>
      </c>
      <c r="D2017" t="inlineStr">
        <is>
          <t>KRONOBERGS LÄN</t>
        </is>
      </c>
      <c r="E2017" t="inlineStr">
        <is>
          <t>MARKARYD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45260-2020</t>
        </is>
      </c>
      <c r="B2018" s="1" t="n">
        <v>44089</v>
      </c>
      <c r="C2018" s="1" t="n">
        <v>45845</v>
      </c>
      <c r="D2018" t="inlineStr">
        <is>
          <t>KRONOBERGS LÄN</t>
        </is>
      </c>
      <c r="E2018" t="inlineStr">
        <is>
          <t>TINGSRYD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45287-2020</t>
        </is>
      </c>
      <c r="B2019" s="1" t="n">
        <v>44089</v>
      </c>
      <c r="C2019" s="1" t="n">
        <v>45845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45349-2020</t>
        </is>
      </c>
      <c r="B2020" s="1" t="n">
        <v>44089</v>
      </c>
      <c r="C2020" s="1" t="n">
        <v>45845</v>
      </c>
      <c r="D2020" t="inlineStr">
        <is>
          <t>KRONOBERGS LÄN</t>
        </is>
      </c>
      <c r="E2020" t="inlineStr">
        <is>
          <t>TINGSRYD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45285-2020</t>
        </is>
      </c>
      <c r="B2021" s="1" t="n">
        <v>44089</v>
      </c>
      <c r="C2021" s="1" t="n">
        <v>45845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45495-2020</t>
        </is>
      </c>
      <c r="B2022" s="1" t="n">
        <v>44089</v>
      </c>
      <c r="C2022" s="1" t="n">
        <v>45845</v>
      </c>
      <c r="D2022" t="inlineStr">
        <is>
          <t>KRONOBERGS LÄN</t>
        </is>
      </c>
      <c r="E2022" t="inlineStr">
        <is>
          <t>TINGSRYD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45629-2020</t>
        </is>
      </c>
      <c r="B2023" s="1" t="n">
        <v>44090</v>
      </c>
      <c r="C2023" s="1" t="n">
        <v>45845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45669-2020</t>
        </is>
      </c>
      <c r="B2024" s="1" t="n">
        <v>44090</v>
      </c>
      <c r="C2024" s="1" t="n">
        <v>45845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45566-2020</t>
        </is>
      </c>
      <c r="B2025" s="1" t="n">
        <v>44090</v>
      </c>
      <c r="C2025" s="1" t="n">
        <v>45845</v>
      </c>
      <c r="D2025" t="inlineStr">
        <is>
          <t>KRONOBERGS LÄN</t>
        </is>
      </c>
      <c r="E2025" t="inlineStr">
        <is>
          <t>ÄLMHULT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45561-2020</t>
        </is>
      </c>
      <c r="B2026" s="1" t="n">
        <v>44090</v>
      </c>
      <c r="C2026" s="1" t="n">
        <v>45845</v>
      </c>
      <c r="D2026" t="inlineStr">
        <is>
          <t>KRONOBERGS LÄN</t>
        </is>
      </c>
      <c r="E2026" t="inlineStr">
        <is>
          <t>TINGSRYD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45597-2020</t>
        </is>
      </c>
      <c r="B2027" s="1" t="n">
        <v>44090</v>
      </c>
      <c r="C2027" s="1" t="n">
        <v>45845</v>
      </c>
      <c r="D2027" t="inlineStr">
        <is>
          <t>KRONOBERGS LÄN</t>
        </is>
      </c>
      <c r="E2027" t="inlineStr">
        <is>
          <t>VÄXJÖ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45750-2020</t>
        </is>
      </c>
      <c r="B2028" s="1" t="n">
        <v>44090</v>
      </c>
      <c r="C2028" s="1" t="n">
        <v>45845</v>
      </c>
      <c r="D2028" t="inlineStr">
        <is>
          <t>KRONOBERGS LÄN</t>
        </is>
      </c>
      <c r="E2028" t="inlineStr">
        <is>
          <t>LJUNGBY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45932-2020</t>
        </is>
      </c>
      <c r="B2029" s="1" t="n">
        <v>44091</v>
      </c>
      <c r="C2029" s="1" t="n">
        <v>45845</v>
      </c>
      <c r="D2029" t="inlineStr">
        <is>
          <t>KRONOBERGS LÄN</t>
        </is>
      </c>
      <c r="E2029" t="inlineStr">
        <is>
          <t>TINGSRYD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45900-2020</t>
        </is>
      </c>
      <c r="B2030" s="1" t="n">
        <v>44091</v>
      </c>
      <c r="C2030" s="1" t="n">
        <v>45845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46990-2020</t>
        </is>
      </c>
      <c r="B2031" s="1" t="n">
        <v>44091</v>
      </c>
      <c r="C2031" s="1" t="n">
        <v>45845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46422-2020</t>
        </is>
      </c>
      <c r="B2032" s="1" t="n">
        <v>44094</v>
      </c>
      <c r="C2032" s="1" t="n">
        <v>45845</v>
      </c>
      <c r="D2032" t="inlineStr">
        <is>
          <t>KRONOBERGS LÄN</t>
        </is>
      </c>
      <c r="E2032" t="inlineStr">
        <is>
          <t>MARKARYD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46477-2020</t>
        </is>
      </c>
      <c r="B2033" s="1" t="n">
        <v>44095</v>
      </c>
      <c r="C2033" s="1" t="n">
        <v>45845</v>
      </c>
      <c r="D2033" t="inlineStr">
        <is>
          <t>KRONOBERGS LÄN</t>
        </is>
      </c>
      <c r="E2033" t="inlineStr">
        <is>
          <t>VÄXJÖ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46510-2020</t>
        </is>
      </c>
      <c r="B2034" s="1" t="n">
        <v>44095</v>
      </c>
      <c r="C2034" s="1" t="n">
        <v>45845</v>
      </c>
      <c r="D2034" t="inlineStr">
        <is>
          <t>KRONOBERGS LÄN</t>
        </is>
      </c>
      <c r="E2034" t="inlineStr">
        <is>
          <t>ALVESTA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46688-2020</t>
        </is>
      </c>
      <c r="B2035" s="1" t="n">
        <v>44095</v>
      </c>
      <c r="C2035" s="1" t="n">
        <v>45845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46756-2020</t>
        </is>
      </c>
      <c r="B2036" s="1" t="n">
        <v>44095</v>
      </c>
      <c r="C2036" s="1" t="n">
        <v>45845</v>
      </c>
      <c r="D2036" t="inlineStr">
        <is>
          <t>KRONOBERGS LÄN</t>
        </is>
      </c>
      <c r="E2036" t="inlineStr">
        <is>
          <t>MARKARYD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46867-2020</t>
        </is>
      </c>
      <c r="B2037" s="1" t="n">
        <v>44096</v>
      </c>
      <c r="C2037" s="1" t="n">
        <v>45845</v>
      </c>
      <c r="D2037" t="inlineStr">
        <is>
          <t>KRONOBERGS LÄN</t>
        </is>
      </c>
      <c r="E2037" t="inlineStr">
        <is>
          <t>ÄLMHULT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46791-2020</t>
        </is>
      </c>
      <c r="B2038" s="1" t="n">
        <v>44096</v>
      </c>
      <c r="C2038" s="1" t="n">
        <v>45845</v>
      </c>
      <c r="D2038" t="inlineStr">
        <is>
          <t>KRONOBERGS LÄN</t>
        </is>
      </c>
      <c r="E2038" t="inlineStr">
        <is>
          <t>ÄLMHULT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46853-2020</t>
        </is>
      </c>
      <c r="B2039" s="1" t="n">
        <v>44096</v>
      </c>
      <c r="C2039" s="1" t="n">
        <v>45845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47117-2020</t>
        </is>
      </c>
      <c r="B2040" s="1" t="n">
        <v>44096</v>
      </c>
      <c r="C2040" s="1" t="n">
        <v>45845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47371-2020</t>
        </is>
      </c>
      <c r="B2041" s="1" t="n">
        <v>44097</v>
      </c>
      <c r="C2041" s="1" t="n">
        <v>45845</v>
      </c>
      <c r="D2041" t="inlineStr">
        <is>
          <t>KRONOBERGS LÄN</t>
        </is>
      </c>
      <c r="E2041" t="inlineStr">
        <is>
          <t>UPPVIDINGE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47435-2020</t>
        </is>
      </c>
      <c r="B2042" s="1" t="n">
        <v>44097</v>
      </c>
      <c r="C2042" s="1" t="n">
        <v>45845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47403-2020</t>
        </is>
      </c>
      <c r="B2043" s="1" t="n">
        <v>44097</v>
      </c>
      <c r="C2043" s="1" t="n">
        <v>45845</v>
      </c>
      <c r="D2043" t="inlineStr">
        <is>
          <t>KRONOBERGS LÄN</t>
        </is>
      </c>
      <c r="E2043" t="inlineStr">
        <is>
          <t>LJUNGBY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47547-2020</t>
        </is>
      </c>
      <c r="B2044" s="1" t="n">
        <v>44098</v>
      </c>
      <c r="C2044" s="1" t="n">
        <v>45845</v>
      </c>
      <c r="D2044" t="inlineStr">
        <is>
          <t>KRONOBERGS LÄN</t>
        </is>
      </c>
      <c r="E2044" t="inlineStr">
        <is>
          <t>ÄLMHULT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47576-2020</t>
        </is>
      </c>
      <c r="B2045" s="1" t="n">
        <v>44098</v>
      </c>
      <c r="C2045" s="1" t="n">
        <v>45845</v>
      </c>
      <c r="D2045" t="inlineStr">
        <is>
          <t>KRONOBERGS LÄN</t>
        </is>
      </c>
      <c r="E2045" t="inlineStr">
        <is>
          <t>LJUNGBY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47760-2020</t>
        </is>
      </c>
      <c r="B2046" s="1" t="n">
        <v>44098</v>
      </c>
      <c r="C2046" s="1" t="n">
        <v>45845</v>
      </c>
      <c r="D2046" t="inlineStr">
        <is>
          <t>KRONOBERGS LÄN</t>
        </is>
      </c>
      <c r="E2046" t="inlineStr">
        <is>
          <t>LESSEBO</t>
        </is>
      </c>
      <c r="F2046" t="inlineStr">
        <is>
          <t>Sveaskog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47777-2020</t>
        </is>
      </c>
      <c r="B2047" s="1" t="n">
        <v>44098</v>
      </c>
      <c r="C2047" s="1" t="n">
        <v>45845</v>
      </c>
      <c r="D2047" t="inlineStr">
        <is>
          <t>KRONOBERGS LÄN</t>
        </is>
      </c>
      <c r="E2047" t="inlineStr">
        <is>
          <t>ÄLMHULT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47782-2020</t>
        </is>
      </c>
      <c r="B2048" s="1" t="n">
        <v>44098</v>
      </c>
      <c r="C2048" s="1" t="n">
        <v>45845</v>
      </c>
      <c r="D2048" t="inlineStr">
        <is>
          <t>KRONOBERGS LÄN</t>
        </is>
      </c>
      <c r="E2048" t="inlineStr">
        <is>
          <t>ÄLMHULT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48646-2020</t>
        </is>
      </c>
      <c r="B2049" s="1" t="n">
        <v>44098</v>
      </c>
      <c r="C2049" s="1" t="n">
        <v>45845</v>
      </c>
      <c r="D2049" t="inlineStr">
        <is>
          <t>KRONOBERGS LÄN</t>
        </is>
      </c>
      <c r="E2049" t="inlineStr">
        <is>
          <t>UPPVIDINGE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48631-2020</t>
        </is>
      </c>
      <c r="B2050" s="1" t="n">
        <v>44098</v>
      </c>
      <c r="C2050" s="1" t="n">
        <v>45845</v>
      </c>
      <c r="D2050" t="inlineStr">
        <is>
          <t>KRONOBERGS LÄN</t>
        </is>
      </c>
      <c r="E2050" t="inlineStr">
        <is>
          <t>VÄXJÖ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48641-2020</t>
        </is>
      </c>
      <c r="B2051" s="1" t="n">
        <v>44098</v>
      </c>
      <c r="C2051" s="1" t="n">
        <v>45845</v>
      </c>
      <c r="D2051" t="inlineStr">
        <is>
          <t>KRONOBERGS LÄN</t>
        </is>
      </c>
      <c r="E2051" t="inlineStr">
        <is>
          <t>VÄXJÖ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47983-2020</t>
        </is>
      </c>
      <c r="B2052" s="1" t="n">
        <v>44099</v>
      </c>
      <c r="C2052" s="1" t="n">
        <v>45845</v>
      </c>
      <c r="D2052" t="inlineStr">
        <is>
          <t>KRONOBERGS LÄN</t>
        </is>
      </c>
      <c r="E2052" t="inlineStr">
        <is>
          <t>MARKARYD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47977-2020</t>
        </is>
      </c>
      <c r="B2053" s="1" t="n">
        <v>44099</v>
      </c>
      <c r="C2053" s="1" t="n">
        <v>45845</v>
      </c>
      <c r="D2053" t="inlineStr">
        <is>
          <t>KRONOBERGS LÄN</t>
        </is>
      </c>
      <c r="E2053" t="inlineStr">
        <is>
          <t>UPPVIDINGE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HYPERLINK("https://klasma.github.io/Logging_0760/knärot/A 47977-2020 karta knärot.png", "A 47977-2020")</f>
        <v/>
      </c>
      <c r="V2053">
        <f>HYPERLINK("https://klasma.github.io/Logging_0760/klagomål/A 47977-2020 FSC-klagomål.docx", "A 47977-2020")</f>
        <v/>
      </c>
      <c r="W2053">
        <f>HYPERLINK("https://klasma.github.io/Logging_0760/klagomålsmail/A 47977-2020 FSC-klagomål mail.docx", "A 47977-2020")</f>
        <v/>
      </c>
      <c r="X2053">
        <f>HYPERLINK("https://klasma.github.io/Logging_0760/tillsyn/A 47977-2020 tillsynsbegäran.docx", "A 47977-2020")</f>
        <v/>
      </c>
      <c r="Y2053">
        <f>HYPERLINK("https://klasma.github.io/Logging_0760/tillsynsmail/A 47977-2020 tillsynsbegäran mail.docx", "A 47977-2020")</f>
        <v/>
      </c>
    </row>
    <row r="2054" ht="15" customHeight="1">
      <c r="A2054" t="inlineStr">
        <is>
          <t>A 48162-2020</t>
        </is>
      </c>
      <c r="B2054" s="1" t="n">
        <v>44102</v>
      </c>
      <c r="C2054" s="1" t="n">
        <v>45845</v>
      </c>
      <c r="D2054" t="inlineStr">
        <is>
          <t>KRONOBERGS LÄN</t>
        </is>
      </c>
      <c r="E2054" t="inlineStr">
        <is>
          <t>UPPVIDINGE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48413-2020</t>
        </is>
      </c>
      <c r="B2055" s="1" t="n">
        <v>44102</v>
      </c>
      <c r="C2055" s="1" t="n">
        <v>45845</v>
      </c>
      <c r="D2055" t="inlineStr">
        <is>
          <t>KRONOBERGS LÄN</t>
        </is>
      </c>
      <c r="E2055" t="inlineStr">
        <is>
          <t>VÄXJÖ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48431-2020</t>
        </is>
      </c>
      <c r="B2056" s="1" t="n">
        <v>44102</v>
      </c>
      <c r="C2056" s="1" t="n">
        <v>45845</v>
      </c>
      <c r="D2056" t="inlineStr">
        <is>
          <t>KRONOBERGS LÄN</t>
        </is>
      </c>
      <c r="E2056" t="inlineStr">
        <is>
          <t>VÄXJÖ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48430-2020</t>
        </is>
      </c>
      <c r="B2057" s="1" t="n">
        <v>44102</v>
      </c>
      <c r="C2057" s="1" t="n">
        <v>45845</v>
      </c>
      <c r="D2057" t="inlineStr">
        <is>
          <t>KRONOBERGS LÄN</t>
        </is>
      </c>
      <c r="E2057" t="inlineStr">
        <is>
          <t>VÄXJÖ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48517-2020</t>
        </is>
      </c>
      <c r="B2058" s="1" t="n">
        <v>44102</v>
      </c>
      <c r="C2058" s="1" t="n">
        <v>45845</v>
      </c>
      <c r="D2058" t="inlineStr">
        <is>
          <t>KRONOBERGS LÄN</t>
        </is>
      </c>
      <c r="E2058" t="inlineStr">
        <is>
          <t>TINGSRYD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49262-2020</t>
        </is>
      </c>
      <c r="B2059" s="1" t="n">
        <v>44102</v>
      </c>
      <c r="C2059" s="1" t="n">
        <v>45845</v>
      </c>
      <c r="D2059" t="inlineStr">
        <is>
          <t>KRONOBERGS LÄN</t>
        </is>
      </c>
      <c r="E2059" t="inlineStr">
        <is>
          <t>TINGSRYD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48442-2020</t>
        </is>
      </c>
      <c r="B2060" s="1" t="n">
        <v>44102</v>
      </c>
      <c r="C2060" s="1" t="n">
        <v>45845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49385-2020</t>
        </is>
      </c>
      <c r="B2061" s="1" t="n">
        <v>44102</v>
      </c>
      <c r="C2061" s="1" t="n">
        <v>45845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49452-2020</t>
        </is>
      </c>
      <c r="B2062" s="1" t="n">
        <v>44102</v>
      </c>
      <c r="C2062" s="1" t="n">
        <v>45845</v>
      </c>
      <c r="D2062" t="inlineStr">
        <is>
          <t>KRONOBERGS LÄN</t>
        </is>
      </c>
      <c r="E2062" t="inlineStr">
        <is>
          <t>TINGSRYD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48923-2020</t>
        </is>
      </c>
      <c r="B2063" s="1" t="n">
        <v>44104</v>
      </c>
      <c r="C2063" s="1" t="n">
        <v>45845</v>
      </c>
      <c r="D2063" t="inlineStr">
        <is>
          <t>KRONOBERGS LÄN</t>
        </is>
      </c>
      <c r="E2063" t="inlineStr">
        <is>
          <t>LJUNGBY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49145-2020</t>
        </is>
      </c>
      <c r="B2064" s="1" t="n">
        <v>44104</v>
      </c>
      <c r="C2064" s="1" t="n">
        <v>45845</v>
      </c>
      <c r="D2064" t="inlineStr">
        <is>
          <t>KRONOBERGS LÄN</t>
        </is>
      </c>
      <c r="E2064" t="inlineStr">
        <is>
          <t>ÄLMHULT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48996-2020</t>
        </is>
      </c>
      <c r="B2065" s="1" t="n">
        <v>44104</v>
      </c>
      <c r="C2065" s="1" t="n">
        <v>45845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49299-2020</t>
        </is>
      </c>
      <c r="B2066" s="1" t="n">
        <v>44105</v>
      </c>
      <c r="C2066" s="1" t="n">
        <v>45845</v>
      </c>
      <c r="D2066" t="inlineStr">
        <is>
          <t>KRONOBERGS LÄN</t>
        </is>
      </c>
      <c r="E2066" t="inlineStr">
        <is>
          <t>VÄXJÖ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49268-2020</t>
        </is>
      </c>
      <c r="B2067" s="1" t="n">
        <v>44105</v>
      </c>
      <c r="C2067" s="1" t="n">
        <v>45845</v>
      </c>
      <c r="D2067" t="inlineStr">
        <is>
          <t>KRONOBERGS LÄN</t>
        </is>
      </c>
      <c r="E2067" t="inlineStr">
        <is>
          <t>VÄXJÖ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49285-2020</t>
        </is>
      </c>
      <c r="B2068" s="1" t="n">
        <v>44105</v>
      </c>
      <c r="C2068" s="1" t="n">
        <v>45845</v>
      </c>
      <c r="D2068" t="inlineStr">
        <is>
          <t>KRONOBERGS LÄN</t>
        </is>
      </c>
      <c r="E2068" t="inlineStr">
        <is>
          <t>UPPVIDINGE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49283-2020</t>
        </is>
      </c>
      <c r="B2069" s="1" t="n">
        <v>44105</v>
      </c>
      <c r="C2069" s="1" t="n">
        <v>45845</v>
      </c>
      <c r="D2069" t="inlineStr">
        <is>
          <t>KRONOBERGS LÄN</t>
        </is>
      </c>
      <c r="E2069" t="inlineStr">
        <is>
          <t>UPPVIDINGE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49308-2020</t>
        </is>
      </c>
      <c r="B2070" s="1" t="n">
        <v>44105</v>
      </c>
      <c r="C2070" s="1" t="n">
        <v>45845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49473-2020</t>
        </is>
      </c>
      <c r="B2071" s="1" t="n">
        <v>44105</v>
      </c>
      <c r="C2071" s="1" t="n">
        <v>45845</v>
      </c>
      <c r="D2071" t="inlineStr">
        <is>
          <t>KRONOBERGS LÄN</t>
        </is>
      </c>
      <c r="E2071" t="inlineStr">
        <is>
          <t>VÄXJÖ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49476-2020</t>
        </is>
      </c>
      <c r="B2072" s="1" t="n">
        <v>44105</v>
      </c>
      <c r="C2072" s="1" t="n">
        <v>45845</v>
      </c>
      <c r="D2072" t="inlineStr">
        <is>
          <t>KRONOBERGS LÄN</t>
        </is>
      </c>
      <c r="E2072" t="inlineStr">
        <is>
          <t>VÄXJÖ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49674-2020</t>
        </is>
      </c>
      <c r="B2073" s="1" t="n">
        <v>44106</v>
      </c>
      <c r="C2073" s="1" t="n">
        <v>45845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49681-2020</t>
        </is>
      </c>
      <c r="B2074" s="1" t="n">
        <v>44106</v>
      </c>
      <c r="C2074" s="1" t="n">
        <v>45845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49673-2020</t>
        </is>
      </c>
      <c r="B2075" s="1" t="n">
        <v>44106</v>
      </c>
      <c r="C2075" s="1" t="n">
        <v>45845</v>
      </c>
      <c r="D2075" t="inlineStr">
        <is>
          <t>KRONOBERGS LÄN</t>
        </is>
      </c>
      <c r="E2075" t="inlineStr">
        <is>
          <t>TINGSRYD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49787-2020</t>
        </is>
      </c>
      <c r="B2076" s="1" t="n">
        <v>44106</v>
      </c>
      <c r="C2076" s="1" t="n">
        <v>45845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49890-2020</t>
        </is>
      </c>
      <c r="B2077" s="1" t="n">
        <v>44108</v>
      </c>
      <c r="C2077" s="1" t="n">
        <v>45845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49901-2020</t>
        </is>
      </c>
      <c r="B2078" s="1" t="n">
        <v>44108</v>
      </c>
      <c r="C2078" s="1" t="n">
        <v>45845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50239-2020</t>
        </is>
      </c>
      <c r="B2079" s="1" t="n">
        <v>44109</v>
      </c>
      <c r="C2079" s="1" t="n">
        <v>45845</v>
      </c>
      <c r="D2079" t="inlineStr">
        <is>
          <t>KRONOBERGS LÄN</t>
        </is>
      </c>
      <c r="E2079" t="inlineStr">
        <is>
          <t>ÄLMHULT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50021-2020</t>
        </is>
      </c>
      <c r="B2080" s="1" t="n">
        <v>44109</v>
      </c>
      <c r="C2080" s="1" t="n">
        <v>45845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51915-2020</t>
        </is>
      </c>
      <c r="B2081" s="1" t="n">
        <v>44109</v>
      </c>
      <c r="C2081" s="1" t="n">
        <v>45845</v>
      </c>
      <c r="D2081" t="inlineStr">
        <is>
          <t>KRONOBERGS LÄN</t>
        </is>
      </c>
      <c r="E2081" t="inlineStr">
        <is>
          <t>MARKARYD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49950-2020</t>
        </is>
      </c>
      <c r="B2082" s="1" t="n">
        <v>44109</v>
      </c>
      <c r="C2082" s="1" t="n">
        <v>45845</v>
      </c>
      <c r="D2082" t="inlineStr">
        <is>
          <t>KRONOBERGS LÄN</t>
        </is>
      </c>
      <c r="E2082" t="inlineStr">
        <is>
          <t>ALVESTA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51640-2020</t>
        </is>
      </c>
      <c r="B2083" s="1" t="n">
        <v>44109</v>
      </c>
      <c r="C2083" s="1" t="n">
        <v>45845</v>
      </c>
      <c r="D2083" t="inlineStr">
        <is>
          <t>KRONOBERGS LÄN</t>
        </is>
      </c>
      <c r="E2083" t="inlineStr">
        <is>
          <t>LJUNGBY</t>
        </is>
      </c>
      <c r="G2083" t="n">
        <v>11.8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50418-2020</t>
        </is>
      </c>
      <c r="B2084" s="1" t="n">
        <v>44110</v>
      </c>
      <c r="C2084" s="1" t="n">
        <v>45845</v>
      </c>
      <c r="D2084" t="inlineStr">
        <is>
          <t>KRONOBERGS LÄN</t>
        </is>
      </c>
      <c r="E2084" t="inlineStr">
        <is>
          <t>TINGSRYD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50518-2020</t>
        </is>
      </c>
      <c r="B2085" s="1" t="n">
        <v>44110</v>
      </c>
      <c r="C2085" s="1" t="n">
        <v>45845</v>
      </c>
      <c r="D2085" t="inlineStr">
        <is>
          <t>KRONOBERGS LÄN</t>
        </is>
      </c>
      <c r="E2085" t="inlineStr">
        <is>
          <t>TINGSRYD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50337-2020</t>
        </is>
      </c>
      <c r="B2086" s="1" t="n">
        <v>44110</v>
      </c>
      <c r="C2086" s="1" t="n">
        <v>45845</v>
      </c>
      <c r="D2086" t="inlineStr">
        <is>
          <t>KRONOBERGS LÄN</t>
        </is>
      </c>
      <c r="E2086" t="inlineStr">
        <is>
          <t>VÄXJÖ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50473-2020</t>
        </is>
      </c>
      <c r="B2087" s="1" t="n">
        <v>44110</v>
      </c>
      <c r="C2087" s="1" t="n">
        <v>45845</v>
      </c>
      <c r="D2087" t="inlineStr">
        <is>
          <t>KRONOBERGS LÄN</t>
        </is>
      </c>
      <c r="E2087" t="inlineStr">
        <is>
          <t>ÄLMHULT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50550-2020</t>
        </is>
      </c>
      <c r="B2088" s="1" t="n">
        <v>44110</v>
      </c>
      <c r="C2088" s="1" t="n">
        <v>45845</v>
      </c>
      <c r="D2088" t="inlineStr">
        <is>
          <t>KRONOBERGS LÄN</t>
        </is>
      </c>
      <c r="E2088" t="inlineStr">
        <is>
          <t>LJUNGBY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51987-2020</t>
        </is>
      </c>
      <c r="B2089" s="1" t="n">
        <v>44110</v>
      </c>
      <c r="C2089" s="1" t="n">
        <v>45845</v>
      </c>
      <c r="D2089" t="inlineStr">
        <is>
          <t>KRONOBERGS LÄN</t>
        </is>
      </c>
      <c r="E2089" t="inlineStr">
        <is>
          <t>TINGSRYD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50747-2020</t>
        </is>
      </c>
      <c r="B2090" s="1" t="n">
        <v>44111</v>
      </c>
      <c r="C2090" s="1" t="n">
        <v>45845</v>
      </c>
      <c r="D2090" t="inlineStr">
        <is>
          <t>KRONOBERGS LÄN</t>
        </is>
      </c>
      <c r="E2090" t="inlineStr">
        <is>
          <t>ALVESTA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50785-2020</t>
        </is>
      </c>
      <c r="B2091" s="1" t="n">
        <v>44111</v>
      </c>
      <c r="C2091" s="1" t="n">
        <v>45845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50855-2020</t>
        </is>
      </c>
      <c r="B2092" s="1" t="n">
        <v>44111</v>
      </c>
      <c r="C2092" s="1" t="n">
        <v>45845</v>
      </c>
      <c r="D2092" t="inlineStr">
        <is>
          <t>KRONOBERGS LÄN</t>
        </is>
      </c>
      <c r="E2092" t="inlineStr">
        <is>
          <t>TINGSRYD</t>
        </is>
      </c>
      <c r="F2092" t="inlineStr">
        <is>
          <t>Kommuner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50934-2020</t>
        </is>
      </c>
      <c r="B2093" s="1" t="n">
        <v>44111</v>
      </c>
      <c r="C2093" s="1" t="n">
        <v>45845</v>
      </c>
      <c r="D2093" t="inlineStr">
        <is>
          <t>KRONOBERGS LÄN</t>
        </is>
      </c>
      <c r="E2093" t="inlineStr">
        <is>
          <t>ÄLMHULT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52164-2020</t>
        </is>
      </c>
      <c r="B2094" s="1" t="n">
        <v>44111</v>
      </c>
      <c r="C2094" s="1" t="n">
        <v>45845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52170-2020</t>
        </is>
      </c>
      <c r="B2095" s="1" t="n">
        <v>44111</v>
      </c>
      <c r="C2095" s="1" t="n">
        <v>45845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52105-2020</t>
        </is>
      </c>
      <c r="B2096" s="1" t="n">
        <v>44111</v>
      </c>
      <c r="C2096" s="1" t="n">
        <v>45845</v>
      </c>
      <c r="D2096" t="inlineStr">
        <is>
          <t>KRONOBERGS LÄN</t>
        </is>
      </c>
      <c r="E2096" t="inlineStr">
        <is>
          <t>TINGSRYD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51137-2020</t>
        </is>
      </c>
      <c r="B2097" s="1" t="n">
        <v>44112</v>
      </c>
      <c r="C2097" s="1" t="n">
        <v>45845</v>
      </c>
      <c r="D2097" t="inlineStr">
        <is>
          <t>KRONOBERGS LÄN</t>
        </is>
      </c>
      <c r="E2097" t="inlineStr">
        <is>
          <t>LJUNGBY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51149-2020</t>
        </is>
      </c>
      <c r="B2098" s="1" t="n">
        <v>44112</v>
      </c>
      <c r="C2098" s="1" t="n">
        <v>45845</v>
      </c>
      <c r="D2098" t="inlineStr">
        <is>
          <t>KRONOBERGS LÄN</t>
        </is>
      </c>
      <c r="E2098" t="inlineStr">
        <is>
          <t>ÄLMHULT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51310-2020</t>
        </is>
      </c>
      <c r="B2099" s="1" t="n">
        <v>44112</v>
      </c>
      <c r="C2099" s="1" t="n">
        <v>45845</v>
      </c>
      <c r="D2099" t="inlineStr">
        <is>
          <t>KRONOBERGS LÄN</t>
        </is>
      </c>
      <c r="E2099" t="inlineStr">
        <is>
          <t>LESSEBO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51641-2020</t>
        </is>
      </c>
      <c r="B2100" s="1" t="n">
        <v>44113</v>
      </c>
      <c r="C2100" s="1" t="n">
        <v>45845</v>
      </c>
      <c r="D2100" t="inlineStr">
        <is>
          <t>KRONOBERGS LÄN</t>
        </is>
      </c>
      <c r="E2100" t="inlineStr">
        <is>
          <t>ÄLMHULT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51614-2020</t>
        </is>
      </c>
      <c r="B2101" s="1" t="n">
        <v>44113</v>
      </c>
      <c r="C2101" s="1" t="n">
        <v>45845</v>
      </c>
      <c r="D2101" t="inlineStr">
        <is>
          <t>KRONOBERGS LÄN</t>
        </is>
      </c>
      <c r="E2101" t="inlineStr">
        <is>
          <t>ALVESTA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51772-2020</t>
        </is>
      </c>
      <c r="B2102" s="1" t="n">
        <v>44115</v>
      </c>
      <c r="C2102" s="1" t="n">
        <v>45845</v>
      </c>
      <c r="D2102" t="inlineStr">
        <is>
          <t>KRONOBERGS LÄN</t>
        </is>
      </c>
      <c r="E2102" t="inlineStr">
        <is>
          <t>ALVESTA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51771-2020</t>
        </is>
      </c>
      <c r="B2103" s="1" t="n">
        <v>44115</v>
      </c>
      <c r="C2103" s="1" t="n">
        <v>45845</v>
      </c>
      <c r="D2103" t="inlineStr">
        <is>
          <t>KRONOBERGS LÄN</t>
        </is>
      </c>
      <c r="E2103" t="inlineStr">
        <is>
          <t>ALVESTA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51804-2020</t>
        </is>
      </c>
      <c r="B2104" s="1" t="n">
        <v>44116</v>
      </c>
      <c r="C2104" s="1" t="n">
        <v>45845</v>
      </c>
      <c r="D2104" t="inlineStr">
        <is>
          <t>KRONOBERGS LÄN</t>
        </is>
      </c>
      <c r="E2104" t="inlineStr">
        <is>
          <t>ÄLMHULT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51834-2020</t>
        </is>
      </c>
      <c r="B2105" s="1" t="n">
        <v>44116</v>
      </c>
      <c r="C2105" s="1" t="n">
        <v>45845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51789-2020</t>
        </is>
      </c>
      <c r="B2106" s="1" t="n">
        <v>44116</v>
      </c>
      <c r="C2106" s="1" t="n">
        <v>45845</v>
      </c>
      <c r="D2106" t="inlineStr">
        <is>
          <t>KRONOBERGS LÄN</t>
        </is>
      </c>
      <c r="E2106" t="inlineStr">
        <is>
          <t>TINGSRYD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51931-2020</t>
        </is>
      </c>
      <c r="B2107" s="1" t="n">
        <v>44116</v>
      </c>
      <c r="C2107" s="1" t="n">
        <v>45845</v>
      </c>
      <c r="D2107" t="inlineStr">
        <is>
          <t>KRONOBERGS LÄN</t>
        </is>
      </c>
      <c r="E2107" t="inlineStr">
        <is>
          <t>ALVESTA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52082-2020</t>
        </is>
      </c>
      <c r="B2108" s="1" t="n">
        <v>44117</v>
      </c>
      <c r="C2108" s="1" t="n">
        <v>45845</v>
      </c>
      <c r="D2108" t="inlineStr">
        <is>
          <t>KRONOBERGS LÄN</t>
        </is>
      </c>
      <c r="E2108" t="inlineStr">
        <is>
          <t>ALVESTA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52296-2020</t>
        </is>
      </c>
      <c r="B2109" s="1" t="n">
        <v>44117</v>
      </c>
      <c r="C2109" s="1" t="n">
        <v>45845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52331-2020</t>
        </is>
      </c>
      <c r="B2110" s="1" t="n">
        <v>44117</v>
      </c>
      <c r="C2110" s="1" t="n">
        <v>45845</v>
      </c>
      <c r="D2110" t="inlineStr">
        <is>
          <t>KRONOBERGS LÄN</t>
        </is>
      </c>
      <c r="E2110" t="inlineStr">
        <is>
          <t>ÄLMHULT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52381-2020</t>
        </is>
      </c>
      <c r="B2111" s="1" t="n">
        <v>44118</v>
      </c>
      <c r="C2111" s="1" t="n">
        <v>45845</v>
      </c>
      <c r="D2111" t="inlineStr">
        <is>
          <t>KRONOBERGS LÄN</t>
        </is>
      </c>
      <c r="E2111" t="inlineStr">
        <is>
          <t>VÄXJÖ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52428-2020</t>
        </is>
      </c>
      <c r="B2112" s="1" t="n">
        <v>44118</v>
      </c>
      <c r="C2112" s="1" t="n">
        <v>45845</v>
      </c>
      <c r="D2112" t="inlineStr">
        <is>
          <t>KRONOBERGS LÄN</t>
        </is>
      </c>
      <c r="E2112" t="inlineStr">
        <is>
          <t>MARKARYD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52562-2020</t>
        </is>
      </c>
      <c r="B2113" s="1" t="n">
        <v>44118</v>
      </c>
      <c r="C2113" s="1" t="n">
        <v>45845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52775-2020</t>
        </is>
      </c>
      <c r="B2114" s="1" t="n">
        <v>44118</v>
      </c>
      <c r="C2114" s="1" t="n">
        <v>45845</v>
      </c>
      <c r="D2114" t="inlineStr">
        <is>
          <t>KRONOBERGS LÄN</t>
        </is>
      </c>
      <c r="E2114" t="inlineStr">
        <is>
          <t>TINGSRYD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52770-2020</t>
        </is>
      </c>
      <c r="B2115" s="1" t="n">
        <v>44118</v>
      </c>
      <c r="C2115" s="1" t="n">
        <v>45845</v>
      </c>
      <c r="D2115" t="inlineStr">
        <is>
          <t>KRONOBERGS LÄN</t>
        </is>
      </c>
      <c r="E2115" t="inlineStr">
        <is>
          <t>TINGSRYD</t>
        </is>
      </c>
      <c r="G2115" t="n">
        <v>9.800000000000001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  <c r="U2115">
        <f>HYPERLINK("https://klasma.github.io/Logging_0763/knärot/A 52770-2020 karta knärot.png", "A 52770-2020")</f>
        <v/>
      </c>
      <c r="V2115">
        <f>HYPERLINK("https://klasma.github.io/Logging_0763/klagomål/A 52770-2020 FSC-klagomål.docx", "A 52770-2020")</f>
        <v/>
      </c>
      <c r="W2115">
        <f>HYPERLINK("https://klasma.github.io/Logging_0763/klagomålsmail/A 52770-2020 FSC-klagomål mail.docx", "A 52770-2020")</f>
        <v/>
      </c>
      <c r="X2115">
        <f>HYPERLINK("https://klasma.github.io/Logging_0763/tillsyn/A 52770-2020 tillsynsbegäran.docx", "A 52770-2020")</f>
        <v/>
      </c>
      <c r="Y2115">
        <f>HYPERLINK("https://klasma.github.io/Logging_0763/tillsynsmail/A 52770-2020 tillsynsbegäran mail.docx", "A 52770-2020")</f>
        <v/>
      </c>
    </row>
    <row r="2116" ht="15" customHeight="1">
      <c r="A2116" t="inlineStr">
        <is>
          <t>A 52781-2020</t>
        </is>
      </c>
      <c r="B2116" s="1" t="n">
        <v>44119</v>
      </c>
      <c r="C2116" s="1" t="n">
        <v>45845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52977-2020</t>
        </is>
      </c>
      <c r="B2117" s="1" t="n">
        <v>44119</v>
      </c>
      <c r="C2117" s="1" t="n">
        <v>45845</v>
      </c>
      <c r="D2117" t="inlineStr">
        <is>
          <t>KRONOBERGS LÄN</t>
        </is>
      </c>
      <c r="E2117" t="inlineStr">
        <is>
          <t>LJUNGBY</t>
        </is>
      </c>
      <c r="F2117" t="inlineStr">
        <is>
          <t>Bergvik skog väst AB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53002-2020</t>
        </is>
      </c>
      <c r="B2118" s="1" t="n">
        <v>44119</v>
      </c>
      <c r="C2118" s="1" t="n">
        <v>45845</v>
      </c>
      <c r="D2118" t="inlineStr">
        <is>
          <t>KRONOBERGS LÄN</t>
        </is>
      </c>
      <c r="E2118" t="inlineStr">
        <is>
          <t>UPPVIDINGE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52868-2020</t>
        </is>
      </c>
      <c r="B2119" s="1" t="n">
        <v>44119</v>
      </c>
      <c r="C2119" s="1" t="n">
        <v>45845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52987-2020</t>
        </is>
      </c>
      <c r="B2120" s="1" t="n">
        <v>44119</v>
      </c>
      <c r="C2120" s="1" t="n">
        <v>45845</v>
      </c>
      <c r="D2120" t="inlineStr">
        <is>
          <t>KRONOBERGS LÄN</t>
        </is>
      </c>
      <c r="E2120" t="inlineStr">
        <is>
          <t>UPPVIDINGE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53050-2020</t>
        </is>
      </c>
      <c r="B2121" s="1" t="n">
        <v>44120</v>
      </c>
      <c r="C2121" s="1" t="n">
        <v>45845</v>
      </c>
      <c r="D2121" t="inlineStr">
        <is>
          <t>KRONOBERGS LÄN</t>
        </is>
      </c>
      <c r="E2121" t="inlineStr">
        <is>
          <t>UPPVIDINGE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53082-2020</t>
        </is>
      </c>
      <c r="B2122" s="1" t="n">
        <v>44120</v>
      </c>
      <c r="C2122" s="1" t="n">
        <v>45845</v>
      </c>
      <c r="D2122" t="inlineStr">
        <is>
          <t>KRONOBERGS LÄN</t>
        </is>
      </c>
      <c r="E2122" t="inlineStr">
        <is>
          <t>UPPVIDINGE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53336-2020</t>
        </is>
      </c>
      <c r="B2123" s="1" t="n">
        <v>44123</v>
      </c>
      <c r="C2123" s="1" t="n">
        <v>45845</v>
      </c>
      <c r="D2123" t="inlineStr">
        <is>
          <t>KRONOBERGS LÄN</t>
        </is>
      </c>
      <c r="E2123" t="inlineStr">
        <is>
          <t>LESSEBO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53376-2020</t>
        </is>
      </c>
      <c r="B2124" s="1" t="n">
        <v>44123</v>
      </c>
      <c r="C2124" s="1" t="n">
        <v>45845</v>
      </c>
      <c r="D2124" t="inlineStr">
        <is>
          <t>KRONOBERGS LÄN</t>
        </is>
      </c>
      <c r="E2124" t="inlineStr">
        <is>
          <t>VÄXJÖ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53325-2020</t>
        </is>
      </c>
      <c r="B2125" s="1" t="n">
        <v>44123</v>
      </c>
      <c r="C2125" s="1" t="n">
        <v>45845</v>
      </c>
      <c r="D2125" t="inlineStr">
        <is>
          <t>KRONOBERGS LÄN</t>
        </is>
      </c>
      <c r="E2125" t="inlineStr">
        <is>
          <t>ALVESTA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53553-2020</t>
        </is>
      </c>
      <c r="B2126" s="1" t="n">
        <v>44124</v>
      </c>
      <c r="C2126" s="1" t="n">
        <v>45845</v>
      </c>
      <c r="D2126" t="inlineStr">
        <is>
          <t>KRONOBERGS LÄN</t>
        </is>
      </c>
      <c r="E2126" t="inlineStr">
        <is>
          <t>ALVESTA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53624-2020</t>
        </is>
      </c>
      <c r="B2127" s="1" t="n">
        <v>44124</v>
      </c>
      <c r="C2127" s="1" t="n">
        <v>45845</v>
      </c>
      <c r="D2127" t="inlineStr">
        <is>
          <t>KRONOBERGS LÄN</t>
        </is>
      </c>
      <c r="E2127" t="inlineStr">
        <is>
          <t>TINGSRYD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53722-2020</t>
        </is>
      </c>
      <c r="B2128" s="1" t="n">
        <v>44124</v>
      </c>
      <c r="C2128" s="1" t="n">
        <v>45845</v>
      </c>
      <c r="D2128" t="inlineStr">
        <is>
          <t>KRONOBERGS LÄN</t>
        </is>
      </c>
      <c r="E2128" t="inlineStr">
        <is>
          <t>MARKARYD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53536-2020</t>
        </is>
      </c>
      <c r="B2129" s="1" t="n">
        <v>44124</v>
      </c>
      <c r="C2129" s="1" t="n">
        <v>45845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53547-2020</t>
        </is>
      </c>
      <c r="B2130" s="1" t="n">
        <v>44124</v>
      </c>
      <c r="C2130" s="1" t="n">
        <v>45845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53534-2020</t>
        </is>
      </c>
      <c r="B2131" s="1" t="n">
        <v>44124</v>
      </c>
      <c r="C2131" s="1" t="n">
        <v>45845</v>
      </c>
      <c r="D2131" t="inlineStr">
        <is>
          <t>KRONOBERGS LÄN</t>
        </is>
      </c>
      <c r="E2131" t="inlineStr">
        <is>
          <t>LESSEBO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53546-2020</t>
        </is>
      </c>
      <c r="B2132" s="1" t="n">
        <v>44124</v>
      </c>
      <c r="C2132" s="1" t="n">
        <v>45845</v>
      </c>
      <c r="D2132" t="inlineStr">
        <is>
          <t>KRONOBERGS LÄN</t>
        </is>
      </c>
      <c r="E2132" t="inlineStr">
        <is>
          <t>ALVESTA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53638-2020</t>
        </is>
      </c>
      <c r="B2133" s="1" t="n">
        <v>44124</v>
      </c>
      <c r="C2133" s="1" t="n">
        <v>45845</v>
      </c>
      <c r="D2133" t="inlineStr">
        <is>
          <t>KRONOBERGS LÄN</t>
        </is>
      </c>
      <c r="E2133" t="inlineStr">
        <is>
          <t>LJUNGBY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53772-2020</t>
        </is>
      </c>
      <c r="B2134" s="1" t="n">
        <v>44124</v>
      </c>
      <c r="C2134" s="1" t="n">
        <v>45845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53793-2020</t>
        </is>
      </c>
      <c r="B2135" s="1" t="n">
        <v>44124</v>
      </c>
      <c r="C2135" s="1" t="n">
        <v>45845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54329-2020</t>
        </is>
      </c>
      <c r="B2136" s="1" t="n">
        <v>44124</v>
      </c>
      <c r="C2136" s="1" t="n">
        <v>45845</v>
      </c>
      <c r="D2136" t="inlineStr">
        <is>
          <t>KRONOBERGS LÄN</t>
        </is>
      </c>
      <c r="E2136" t="inlineStr">
        <is>
          <t>UPPVIDINGE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53797-2020</t>
        </is>
      </c>
      <c r="B2137" s="1" t="n">
        <v>44124</v>
      </c>
      <c r="C2137" s="1" t="n">
        <v>45845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53865-2020</t>
        </is>
      </c>
      <c r="B2138" s="1" t="n">
        <v>44124</v>
      </c>
      <c r="C2138" s="1" t="n">
        <v>45845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53972-2020</t>
        </is>
      </c>
      <c r="B2139" s="1" t="n">
        <v>44125</v>
      </c>
      <c r="C2139" s="1" t="n">
        <v>45845</v>
      </c>
      <c r="D2139" t="inlineStr">
        <is>
          <t>KRONOBERGS LÄN</t>
        </is>
      </c>
      <c r="E2139" t="inlineStr">
        <is>
          <t>VÄXJÖ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54091-2020</t>
        </is>
      </c>
      <c r="B2140" s="1" t="n">
        <v>44125</v>
      </c>
      <c r="C2140" s="1" t="n">
        <v>45845</v>
      </c>
      <c r="D2140" t="inlineStr">
        <is>
          <t>KRONOBERGS LÄN</t>
        </is>
      </c>
      <c r="E2140" t="inlineStr">
        <is>
          <t>LJUNGBY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53980-2020</t>
        </is>
      </c>
      <c r="B2141" s="1" t="n">
        <v>44125</v>
      </c>
      <c r="C2141" s="1" t="n">
        <v>45845</v>
      </c>
      <c r="D2141" t="inlineStr">
        <is>
          <t>KRONOBERGS LÄN</t>
        </is>
      </c>
      <c r="E2141" t="inlineStr">
        <is>
          <t>VÄXJÖ</t>
        </is>
      </c>
      <c r="G2141" t="n">
        <v>6.7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54087-2020</t>
        </is>
      </c>
      <c r="B2142" s="1" t="n">
        <v>44125</v>
      </c>
      <c r="C2142" s="1" t="n">
        <v>45845</v>
      </c>
      <c r="D2142" t="inlineStr">
        <is>
          <t>KRONOBERGS LÄN</t>
        </is>
      </c>
      <c r="E2142" t="inlineStr">
        <is>
          <t>LJUNGBY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54146-2020</t>
        </is>
      </c>
      <c r="B2143" s="1" t="n">
        <v>44125</v>
      </c>
      <c r="C2143" s="1" t="n">
        <v>45845</v>
      </c>
      <c r="D2143" t="inlineStr">
        <is>
          <t>KRONOBERGS LÄN</t>
        </is>
      </c>
      <c r="E2143" t="inlineStr">
        <is>
          <t>ALVESTA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54061-2020</t>
        </is>
      </c>
      <c r="B2144" s="1" t="n">
        <v>44125</v>
      </c>
      <c r="C2144" s="1" t="n">
        <v>45845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53941-2020</t>
        </is>
      </c>
      <c r="B2145" s="1" t="n">
        <v>44125</v>
      </c>
      <c r="C2145" s="1" t="n">
        <v>45845</v>
      </c>
      <c r="D2145" t="inlineStr">
        <is>
          <t>KRONOBERGS LÄN</t>
        </is>
      </c>
      <c r="E2145" t="inlineStr">
        <is>
          <t>VÄXJÖ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54236-2020</t>
        </is>
      </c>
      <c r="B2146" s="1" t="n">
        <v>44126</v>
      </c>
      <c r="C2146" s="1" t="n">
        <v>45845</v>
      </c>
      <c r="D2146" t="inlineStr">
        <is>
          <t>KRONOBERGS LÄN</t>
        </is>
      </c>
      <c r="E2146" t="inlineStr">
        <is>
          <t>TINGSRYD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54547-2020</t>
        </is>
      </c>
      <c r="B2147" s="1" t="n">
        <v>44126</v>
      </c>
      <c r="C2147" s="1" t="n">
        <v>45845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54791-2020</t>
        </is>
      </c>
      <c r="B2148" s="1" t="n">
        <v>44127</v>
      </c>
      <c r="C2148" s="1" t="n">
        <v>45845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54799-2020</t>
        </is>
      </c>
      <c r="B2149" s="1" t="n">
        <v>44127</v>
      </c>
      <c r="C2149" s="1" t="n">
        <v>45845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54787-2020</t>
        </is>
      </c>
      <c r="B2150" s="1" t="n">
        <v>44127</v>
      </c>
      <c r="C2150" s="1" t="n">
        <v>45845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54806-2020</t>
        </is>
      </c>
      <c r="B2151" s="1" t="n">
        <v>44127</v>
      </c>
      <c r="C2151" s="1" t="n">
        <v>45845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54696-2020</t>
        </is>
      </c>
      <c r="B2152" s="1" t="n">
        <v>44127</v>
      </c>
      <c r="C2152" s="1" t="n">
        <v>45845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54798-2020</t>
        </is>
      </c>
      <c r="B2153" s="1" t="n">
        <v>44127</v>
      </c>
      <c r="C2153" s="1" t="n">
        <v>45845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54820-2020</t>
        </is>
      </c>
      <c r="B2154" s="1" t="n">
        <v>44127</v>
      </c>
      <c r="C2154" s="1" t="n">
        <v>45845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54953-2020</t>
        </is>
      </c>
      <c r="B2155" s="1" t="n">
        <v>44129</v>
      </c>
      <c r="C2155" s="1" t="n">
        <v>45845</v>
      </c>
      <c r="D2155" t="inlineStr">
        <is>
          <t>KRONOBERGS LÄN</t>
        </is>
      </c>
      <c r="E2155" t="inlineStr">
        <is>
          <t>LJUNGBY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54983-2020</t>
        </is>
      </c>
      <c r="B2156" s="1" t="n">
        <v>44130</v>
      </c>
      <c r="C2156" s="1" t="n">
        <v>45845</v>
      </c>
      <c r="D2156" t="inlineStr">
        <is>
          <t>KRONOBERGS LÄN</t>
        </is>
      </c>
      <c r="E2156" t="inlineStr">
        <is>
          <t>MARKARYD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55282-2020</t>
        </is>
      </c>
      <c r="B2157" s="1" t="n">
        <v>44130</v>
      </c>
      <c r="C2157" s="1" t="n">
        <v>45845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55825-2020</t>
        </is>
      </c>
      <c r="B2158" s="1" t="n">
        <v>44132</v>
      </c>
      <c r="C2158" s="1" t="n">
        <v>45845</v>
      </c>
      <c r="D2158" t="inlineStr">
        <is>
          <t>KRONOBERGS LÄN</t>
        </is>
      </c>
      <c r="E2158" t="inlineStr">
        <is>
          <t>MARKARYD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55794-2020</t>
        </is>
      </c>
      <c r="B2159" s="1" t="n">
        <v>44132</v>
      </c>
      <c r="C2159" s="1" t="n">
        <v>45845</v>
      </c>
      <c r="D2159" t="inlineStr">
        <is>
          <t>KRONOBERGS LÄN</t>
        </is>
      </c>
      <c r="E2159" t="inlineStr">
        <is>
          <t>VÄXJÖ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56264-2020</t>
        </is>
      </c>
      <c r="B2160" s="1" t="n">
        <v>44134</v>
      </c>
      <c r="C2160" s="1" t="n">
        <v>45845</v>
      </c>
      <c r="D2160" t="inlineStr">
        <is>
          <t>KRONOBERGS LÄN</t>
        </is>
      </c>
      <c r="E2160" t="inlineStr">
        <is>
          <t>TINGSRYD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56284-2020</t>
        </is>
      </c>
      <c r="B2161" s="1" t="n">
        <v>44134</v>
      </c>
      <c r="C2161" s="1" t="n">
        <v>45845</v>
      </c>
      <c r="D2161" t="inlineStr">
        <is>
          <t>KRONOBERGS LÄN</t>
        </is>
      </c>
      <c r="E2161" t="inlineStr">
        <is>
          <t>LJUNGBY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56305-2020</t>
        </is>
      </c>
      <c r="B2162" s="1" t="n">
        <v>44134</v>
      </c>
      <c r="C2162" s="1" t="n">
        <v>45845</v>
      </c>
      <c r="D2162" t="inlineStr">
        <is>
          <t>KRONOBERGS LÄN</t>
        </is>
      </c>
      <c r="E2162" t="inlineStr">
        <is>
          <t>TINGSRYD</t>
        </is>
      </c>
      <c r="G2162" t="n">
        <v>23.3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56396-2020</t>
        </is>
      </c>
      <c r="B2163" s="1" t="n">
        <v>44137</v>
      </c>
      <c r="C2163" s="1" t="n">
        <v>45845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56485-2020</t>
        </is>
      </c>
      <c r="B2164" s="1" t="n">
        <v>44137</v>
      </c>
      <c r="C2164" s="1" t="n">
        <v>45845</v>
      </c>
      <c r="D2164" t="inlineStr">
        <is>
          <t>KRONOBERGS LÄN</t>
        </is>
      </c>
      <c r="E2164" t="inlineStr">
        <is>
          <t>MARKARYD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56563-2020</t>
        </is>
      </c>
      <c r="B2165" s="1" t="n">
        <v>44137</v>
      </c>
      <c r="C2165" s="1" t="n">
        <v>45845</v>
      </c>
      <c r="D2165" t="inlineStr">
        <is>
          <t>KRONOBERGS LÄN</t>
        </is>
      </c>
      <c r="E2165" t="inlineStr">
        <is>
          <t>TINGSRYD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56708-2020</t>
        </is>
      </c>
      <c r="B2166" s="1" t="n">
        <v>44137</v>
      </c>
      <c r="C2166" s="1" t="n">
        <v>45845</v>
      </c>
      <c r="D2166" t="inlineStr">
        <is>
          <t>KRONOBERGS LÄN</t>
        </is>
      </c>
      <c r="E2166" t="inlineStr">
        <is>
          <t>LJUNGBY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56958-2020</t>
        </is>
      </c>
      <c r="B2167" s="1" t="n">
        <v>44138</v>
      </c>
      <c r="C2167" s="1" t="n">
        <v>45845</v>
      </c>
      <c r="D2167" t="inlineStr">
        <is>
          <t>KRONOBERGS LÄN</t>
        </is>
      </c>
      <c r="E2167" t="inlineStr">
        <is>
          <t>VÄXJÖ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57163-2020</t>
        </is>
      </c>
      <c r="B2168" s="1" t="n">
        <v>44139</v>
      </c>
      <c r="C2168" s="1" t="n">
        <v>45845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57182-2020</t>
        </is>
      </c>
      <c r="B2169" s="1" t="n">
        <v>44139</v>
      </c>
      <c r="C2169" s="1" t="n">
        <v>45845</v>
      </c>
      <c r="D2169" t="inlineStr">
        <is>
          <t>KRONOBERGS LÄN</t>
        </is>
      </c>
      <c r="E2169" t="inlineStr">
        <is>
          <t>TINGSRYD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57269-2020</t>
        </is>
      </c>
      <c r="B2170" s="1" t="n">
        <v>44139</v>
      </c>
      <c r="C2170" s="1" t="n">
        <v>45845</v>
      </c>
      <c r="D2170" t="inlineStr">
        <is>
          <t>KRONOBERGS LÄN</t>
        </is>
      </c>
      <c r="E2170" t="inlineStr">
        <is>
          <t>TINGSRYD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57228-2020</t>
        </is>
      </c>
      <c r="B2171" s="1" t="n">
        <v>44139</v>
      </c>
      <c r="C2171" s="1" t="n">
        <v>45845</v>
      </c>
      <c r="D2171" t="inlineStr">
        <is>
          <t>KRONOBERGS LÄN</t>
        </is>
      </c>
      <c r="E2171" t="inlineStr">
        <is>
          <t>TINGSRYD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57290-2020</t>
        </is>
      </c>
      <c r="B2172" s="1" t="n">
        <v>44139</v>
      </c>
      <c r="C2172" s="1" t="n">
        <v>45845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57486-2020</t>
        </is>
      </c>
      <c r="B2173" s="1" t="n">
        <v>44140</v>
      </c>
      <c r="C2173" s="1" t="n">
        <v>45845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57493-2020</t>
        </is>
      </c>
      <c r="B2174" s="1" t="n">
        <v>44140</v>
      </c>
      <c r="C2174" s="1" t="n">
        <v>45845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57531-2020</t>
        </is>
      </c>
      <c r="B2175" s="1" t="n">
        <v>44140</v>
      </c>
      <c r="C2175" s="1" t="n">
        <v>45845</v>
      </c>
      <c r="D2175" t="inlineStr">
        <is>
          <t>KRONOBERGS LÄN</t>
        </is>
      </c>
      <c r="E2175" t="inlineStr">
        <is>
          <t>UPPVIDINGE</t>
        </is>
      </c>
      <c r="G2175" t="n">
        <v>9.800000000000001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57654-2020</t>
        </is>
      </c>
      <c r="B2176" s="1" t="n">
        <v>44140</v>
      </c>
      <c r="C2176" s="1" t="n">
        <v>45845</v>
      </c>
      <c r="D2176" t="inlineStr">
        <is>
          <t>KRONOBERGS LÄN</t>
        </is>
      </c>
      <c r="E2176" t="inlineStr">
        <is>
          <t>LESSEBO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57484-2020</t>
        </is>
      </c>
      <c r="B2177" s="1" t="n">
        <v>44140</v>
      </c>
      <c r="C2177" s="1" t="n">
        <v>45845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57490-2020</t>
        </is>
      </c>
      <c r="B2178" s="1" t="n">
        <v>44140</v>
      </c>
      <c r="C2178" s="1" t="n">
        <v>45845</v>
      </c>
      <c r="D2178" t="inlineStr">
        <is>
          <t>KRONOBERGS LÄN</t>
        </is>
      </c>
      <c r="E2178" t="inlineStr">
        <is>
          <t>VÄXJÖ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57525-2020</t>
        </is>
      </c>
      <c r="B2179" s="1" t="n">
        <v>44140</v>
      </c>
      <c r="C2179" s="1" t="n">
        <v>45845</v>
      </c>
      <c r="D2179" t="inlineStr">
        <is>
          <t>KRONOBERGS LÄN</t>
        </is>
      </c>
      <c r="E2179" t="inlineStr">
        <is>
          <t>TINGSRYD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57597-2020</t>
        </is>
      </c>
      <c r="B2180" s="1" t="n">
        <v>44140</v>
      </c>
      <c r="C2180" s="1" t="n">
        <v>45845</v>
      </c>
      <c r="D2180" t="inlineStr">
        <is>
          <t>KRONOBERGS LÄN</t>
        </is>
      </c>
      <c r="E2180" t="inlineStr">
        <is>
          <t>LJUNGBY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57637-2020</t>
        </is>
      </c>
      <c r="B2181" s="1" t="n">
        <v>44140</v>
      </c>
      <c r="C2181" s="1" t="n">
        <v>45845</v>
      </c>
      <c r="D2181" t="inlineStr">
        <is>
          <t>KRONOBERGS LÄN</t>
        </is>
      </c>
      <c r="E2181" t="inlineStr">
        <is>
          <t>LESSEBO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57514-2020</t>
        </is>
      </c>
      <c r="B2182" s="1" t="n">
        <v>44140</v>
      </c>
      <c r="C2182" s="1" t="n">
        <v>45845</v>
      </c>
      <c r="D2182" t="inlineStr">
        <is>
          <t>KRONOBERGS LÄN</t>
        </is>
      </c>
      <c r="E2182" t="inlineStr">
        <is>
          <t>UPPVIDINGE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57660-2020</t>
        </is>
      </c>
      <c r="B2183" s="1" t="n">
        <v>44140</v>
      </c>
      <c r="C2183" s="1" t="n">
        <v>45845</v>
      </c>
      <c r="D2183" t="inlineStr">
        <is>
          <t>KRONOBERGS LÄN</t>
        </is>
      </c>
      <c r="E2183" t="inlineStr">
        <is>
          <t>UPPVIDINGE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57870-2020</t>
        </is>
      </c>
      <c r="B2184" s="1" t="n">
        <v>44141</v>
      </c>
      <c r="C2184" s="1" t="n">
        <v>45845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57853-2020</t>
        </is>
      </c>
      <c r="B2185" s="1" t="n">
        <v>44141</v>
      </c>
      <c r="C2185" s="1" t="n">
        <v>45845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58059-2020</t>
        </is>
      </c>
      <c r="B2186" s="1" t="n">
        <v>44144</v>
      </c>
      <c r="C2186" s="1" t="n">
        <v>45845</v>
      </c>
      <c r="D2186" t="inlineStr">
        <is>
          <t>KRONOBERGS LÄN</t>
        </is>
      </c>
      <c r="E2186" t="inlineStr">
        <is>
          <t>ALVESTA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58135-2020</t>
        </is>
      </c>
      <c r="B2187" s="1" t="n">
        <v>44144</v>
      </c>
      <c r="C2187" s="1" t="n">
        <v>45845</v>
      </c>
      <c r="D2187" t="inlineStr">
        <is>
          <t>KRONOBERGS LÄN</t>
        </is>
      </c>
      <c r="E2187" t="inlineStr">
        <is>
          <t>MARKARYD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57995-2020</t>
        </is>
      </c>
      <c r="B2188" s="1" t="n">
        <v>44144</v>
      </c>
      <c r="C2188" s="1" t="n">
        <v>45845</v>
      </c>
      <c r="D2188" t="inlineStr">
        <is>
          <t>KRONOBERGS LÄN</t>
        </is>
      </c>
      <c r="E2188" t="inlineStr">
        <is>
          <t>LJUNGBY</t>
        </is>
      </c>
      <c r="G2188" t="n">
        <v>9.1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58114-2020</t>
        </is>
      </c>
      <c r="B2189" s="1" t="n">
        <v>44144</v>
      </c>
      <c r="C2189" s="1" t="n">
        <v>45845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58259-2020</t>
        </is>
      </c>
      <c r="B2190" s="1" t="n">
        <v>44144</v>
      </c>
      <c r="C2190" s="1" t="n">
        <v>45845</v>
      </c>
      <c r="D2190" t="inlineStr">
        <is>
          <t>KRONOBERGS LÄN</t>
        </is>
      </c>
      <c r="E2190" t="inlineStr">
        <is>
          <t>VÄXJÖ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58264-2020</t>
        </is>
      </c>
      <c r="B2191" s="1" t="n">
        <v>44144</v>
      </c>
      <c r="C2191" s="1" t="n">
        <v>45845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58440-2020</t>
        </is>
      </c>
      <c r="B2192" s="1" t="n">
        <v>44145</v>
      </c>
      <c r="C2192" s="1" t="n">
        <v>45845</v>
      </c>
      <c r="D2192" t="inlineStr">
        <is>
          <t>KRONOBERGS LÄN</t>
        </is>
      </c>
      <c r="E2192" t="inlineStr">
        <is>
          <t>VÄXJÖ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58446-2020</t>
        </is>
      </c>
      <c r="B2193" s="1" t="n">
        <v>44145</v>
      </c>
      <c r="C2193" s="1" t="n">
        <v>45845</v>
      </c>
      <c r="D2193" t="inlineStr">
        <is>
          <t>KRONOBERGS LÄN</t>
        </is>
      </c>
      <c r="E2193" t="inlineStr">
        <is>
          <t>LJUNGBY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58449-2020</t>
        </is>
      </c>
      <c r="B2194" s="1" t="n">
        <v>44145</v>
      </c>
      <c r="C2194" s="1" t="n">
        <v>45845</v>
      </c>
      <c r="D2194" t="inlineStr">
        <is>
          <t>KRONOBERGS LÄN</t>
        </is>
      </c>
      <c r="E2194" t="inlineStr">
        <is>
          <t>LJUNGBY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58555-2020</t>
        </is>
      </c>
      <c r="B2195" s="1" t="n">
        <v>44145</v>
      </c>
      <c r="C2195" s="1" t="n">
        <v>45845</v>
      </c>
      <c r="D2195" t="inlineStr">
        <is>
          <t>KRONOBERGS LÄN</t>
        </is>
      </c>
      <c r="E2195" t="inlineStr">
        <is>
          <t>MARKARYD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58582-2020</t>
        </is>
      </c>
      <c r="B2196" s="1" t="n">
        <v>44145</v>
      </c>
      <c r="C2196" s="1" t="n">
        <v>45845</v>
      </c>
      <c r="D2196" t="inlineStr">
        <is>
          <t>KRONOBERGS LÄN</t>
        </is>
      </c>
      <c r="E2196" t="inlineStr">
        <is>
          <t>TINGSRYD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58830-2020</t>
        </is>
      </c>
      <c r="B2197" s="1" t="n">
        <v>44146</v>
      </c>
      <c r="C2197" s="1" t="n">
        <v>45845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59018-2020</t>
        </is>
      </c>
      <c r="B2198" s="1" t="n">
        <v>44146</v>
      </c>
      <c r="C2198" s="1" t="n">
        <v>45845</v>
      </c>
      <c r="D2198" t="inlineStr">
        <is>
          <t>KRONOBERGS LÄN</t>
        </is>
      </c>
      <c r="E2198" t="inlineStr">
        <is>
          <t>LJUNGBY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58944-2020</t>
        </is>
      </c>
      <c r="B2199" s="1" t="n">
        <v>44146</v>
      </c>
      <c r="C2199" s="1" t="n">
        <v>45845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59041-2020</t>
        </is>
      </c>
      <c r="B2200" s="1" t="n">
        <v>44147</v>
      </c>
      <c r="C2200" s="1" t="n">
        <v>45845</v>
      </c>
      <c r="D2200" t="inlineStr">
        <is>
          <t>KRONOBERGS LÄN</t>
        </is>
      </c>
      <c r="E2200" t="inlineStr">
        <is>
          <t>TINGSRYD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59169-2020</t>
        </is>
      </c>
      <c r="B2201" s="1" t="n">
        <v>44147</v>
      </c>
      <c r="C2201" s="1" t="n">
        <v>45845</v>
      </c>
      <c r="D2201" t="inlineStr">
        <is>
          <t>KRONOBERGS LÄN</t>
        </is>
      </c>
      <c r="E2201" t="inlineStr">
        <is>
          <t>MARKARYD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59279-2020</t>
        </is>
      </c>
      <c r="B2202" s="1" t="n">
        <v>44147</v>
      </c>
      <c r="C2202" s="1" t="n">
        <v>45845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59178-2020</t>
        </is>
      </c>
      <c r="B2203" s="1" t="n">
        <v>44147</v>
      </c>
      <c r="C2203" s="1" t="n">
        <v>45845</v>
      </c>
      <c r="D2203" t="inlineStr">
        <is>
          <t>KRONOBERGS LÄN</t>
        </is>
      </c>
      <c r="E2203" t="inlineStr">
        <is>
          <t>ALVESTA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59361-2020</t>
        </is>
      </c>
      <c r="B2204" s="1" t="n">
        <v>44148</v>
      </c>
      <c r="C2204" s="1" t="n">
        <v>45845</v>
      </c>
      <c r="D2204" t="inlineStr">
        <is>
          <t>KRONOBERGS LÄN</t>
        </is>
      </c>
      <c r="E2204" t="inlineStr">
        <is>
          <t>ÄLMHULT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59688-2020</t>
        </is>
      </c>
      <c r="B2205" s="1" t="n">
        <v>44151</v>
      </c>
      <c r="C2205" s="1" t="n">
        <v>45845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59681-2020</t>
        </is>
      </c>
      <c r="B2206" s="1" t="n">
        <v>44151</v>
      </c>
      <c r="C2206" s="1" t="n">
        <v>45845</v>
      </c>
      <c r="D2206" t="inlineStr">
        <is>
          <t>KRONOBERGS LÄN</t>
        </is>
      </c>
      <c r="E2206" t="inlineStr">
        <is>
          <t>ALVESTA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59697-2020</t>
        </is>
      </c>
      <c r="B2207" s="1" t="n">
        <v>44151</v>
      </c>
      <c r="C2207" s="1" t="n">
        <v>45845</v>
      </c>
      <c r="D2207" t="inlineStr">
        <is>
          <t>KRONOBERGS LÄN</t>
        </is>
      </c>
      <c r="E2207" t="inlineStr">
        <is>
          <t>LJUNGBY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60108-2020</t>
        </is>
      </c>
      <c r="B2208" s="1" t="n">
        <v>44152</v>
      </c>
      <c r="C2208" s="1" t="n">
        <v>45845</v>
      </c>
      <c r="D2208" t="inlineStr">
        <is>
          <t>KRONOBERGS LÄN</t>
        </is>
      </c>
      <c r="E2208" t="inlineStr">
        <is>
          <t>VÄXJÖ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60179-2020</t>
        </is>
      </c>
      <c r="B2209" s="1" t="n">
        <v>44152</v>
      </c>
      <c r="C2209" s="1" t="n">
        <v>45845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60097-2020</t>
        </is>
      </c>
      <c r="B2210" s="1" t="n">
        <v>44152</v>
      </c>
      <c r="C2210" s="1" t="n">
        <v>45845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60229-2020</t>
        </is>
      </c>
      <c r="B2211" s="1" t="n">
        <v>44152</v>
      </c>
      <c r="C2211" s="1" t="n">
        <v>45845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60190-2020</t>
        </is>
      </c>
      <c r="B2212" s="1" t="n">
        <v>44152</v>
      </c>
      <c r="C2212" s="1" t="n">
        <v>45845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60237-2020</t>
        </is>
      </c>
      <c r="B2213" s="1" t="n">
        <v>44152</v>
      </c>
      <c r="C2213" s="1" t="n">
        <v>45845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60335-2020</t>
        </is>
      </c>
      <c r="B2214" s="1" t="n">
        <v>44152</v>
      </c>
      <c r="C2214" s="1" t="n">
        <v>45845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60357-2020</t>
        </is>
      </c>
      <c r="B2215" s="1" t="n">
        <v>44152</v>
      </c>
      <c r="C2215" s="1" t="n">
        <v>45845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60380-2020</t>
        </is>
      </c>
      <c r="B2216" s="1" t="n">
        <v>44152</v>
      </c>
      <c r="C2216" s="1" t="n">
        <v>45845</v>
      </c>
      <c r="D2216" t="inlineStr">
        <is>
          <t>KRONOBERGS LÄN</t>
        </is>
      </c>
      <c r="E2216" t="inlineStr">
        <is>
          <t>MARKARYD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60160-2020</t>
        </is>
      </c>
      <c r="B2217" s="1" t="n">
        <v>44152</v>
      </c>
      <c r="C2217" s="1" t="n">
        <v>45845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60667-2020</t>
        </is>
      </c>
      <c r="B2218" s="1" t="n">
        <v>44153</v>
      </c>
      <c r="C2218" s="1" t="n">
        <v>45845</v>
      </c>
      <c r="D2218" t="inlineStr">
        <is>
          <t>KRONOBERGS LÄN</t>
        </is>
      </c>
      <c r="E2218" t="inlineStr">
        <is>
          <t>LJUNGBY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60563-2020</t>
        </is>
      </c>
      <c r="B2219" s="1" t="n">
        <v>44153</v>
      </c>
      <c r="C2219" s="1" t="n">
        <v>45845</v>
      </c>
      <c r="D2219" t="inlineStr">
        <is>
          <t>KRONOBERGS LÄN</t>
        </is>
      </c>
      <c r="E2219" t="inlineStr">
        <is>
          <t>ÄLMHULT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60588-2020</t>
        </is>
      </c>
      <c r="B2220" s="1" t="n">
        <v>44153</v>
      </c>
      <c r="C2220" s="1" t="n">
        <v>45845</v>
      </c>
      <c r="D2220" t="inlineStr">
        <is>
          <t>KRONOBERGS LÄN</t>
        </is>
      </c>
      <c r="E2220" t="inlineStr">
        <is>
          <t>ÄLMHULT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60417-2020</t>
        </is>
      </c>
      <c r="B2221" s="1" t="n">
        <v>44153</v>
      </c>
      <c r="C2221" s="1" t="n">
        <v>45845</v>
      </c>
      <c r="D2221" t="inlineStr">
        <is>
          <t>KRONOBERGS LÄN</t>
        </is>
      </c>
      <c r="E2221" t="inlineStr">
        <is>
          <t>ÄLMHULT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60432-2020</t>
        </is>
      </c>
      <c r="B2222" s="1" t="n">
        <v>44153</v>
      </c>
      <c r="C2222" s="1" t="n">
        <v>45845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60520-2020</t>
        </is>
      </c>
      <c r="B2223" s="1" t="n">
        <v>44153</v>
      </c>
      <c r="C2223" s="1" t="n">
        <v>45845</v>
      </c>
      <c r="D2223" t="inlineStr">
        <is>
          <t>KRONOBERGS LÄN</t>
        </is>
      </c>
      <c r="E2223" t="inlineStr">
        <is>
          <t>UPPVIDINGE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60513-2020</t>
        </is>
      </c>
      <c r="B2224" s="1" t="n">
        <v>44153</v>
      </c>
      <c r="C2224" s="1" t="n">
        <v>45845</v>
      </c>
      <c r="D2224" t="inlineStr">
        <is>
          <t>KRONOBERGS LÄN</t>
        </is>
      </c>
      <c r="E2224" t="inlineStr">
        <is>
          <t>UPPVIDINGE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60655-2020</t>
        </is>
      </c>
      <c r="B2225" s="1" t="n">
        <v>44153</v>
      </c>
      <c r="C2225" s="1" t="n">
        <v>45845</v>
      </c>
      <c r="D2225" t="inlineStr">
        <is>
          <t>KRONOBERGS LÄN</t>
        </is>
      </c>
      <c r="E2225" t="inlineStr">
        <is>
          <t>ALVESTA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60584-2020</t>
        </is>
      </c>
      <c r="B2226" s="1" t="n">
        <v>44153</v>
      </c>
      <c r="C2226" s="1" t="n">
        <v>45845</v>
      </c>
      <c r="D2226" t="inlineStr">
        <is>
          <t>KRONOBERGS LÄN</t>
        </is>
      </c>
      <c r="E2226" t="inlineStr">
        <is>
          <t>ÄLMHULT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60768-2020</t>
        </is>
      </c>
      <c r="B2227" s="1" t="n">
        <v>44154</v>
      </c>
      <c r="C2227" s="1" t="n">
        <v>45845</v>
      </c>
      <c r="D2227" t="inlineStr">
        <is>
          <t>KRONOBERGS LÄN</t>
        </is>
      </c>
      <c r="E2227" t="inlineStr">
        <is>
          <t>ÄLMHULT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60850-2020</t>
        </is>
      </c>
      <c r="B2228" s="1" t="n">
        <v>44154</v>
      </c>
      <c r="C2228" s="1" t="n">
        <v>45845</v>
      </c>
      <c r="D2228" t="inlineStr">
        <is>
          <t>KRONOBERGS LÄN</t>
        </is>
      </c>
      <c r="E2228" t="inlineStr">
        <is>
          <t>UPPVIDINGE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60867-2020</t>
        </is>
      </c>
      <c r="B2229" s="1" t="n">
        <v>44154</v>
      </c>
      <c r="C2229" s="1" t="n">
        <v>45845</v>
      </c>
      <c r="D2229" t="inlineStr">
        <is>
          <t>KRONOBERGS LÄN</t>
        </is>
      </c>
      <c r="E2229" t="inlineStr">
        <is>
          <t>ÄLMHULT</t>
        </is>
      </c>
      <c r="F2229" t="inlineStr">
        <is>
          <t>Sveaskog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60849-2020</t>
        </is>
      </c>
      <c r="B2230" s="1" t="n">
        <v>44154</v>
      </c>
      <c r="C2230" s="1" t="n">
        <v>45845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60865-2020</t>
        </is>
      </c>
      <c r="B2231" s="1" t="n">
        <v>44154</v>
      </c>
      <c r="C2231" s="1" t="n">
        <v>45845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60927-2020</t>
        </is>
      </c>
      <c r="B2232" s="1" t="n">
        <v>44154</v>
      </c>
      <c r="C2232" s="1" t="n">
        <v>45845</v>
      </c>
      <c r="D2232" t="inlineStr">
        <is>
          <t>KRONOBERGS LÄN</t>
        </is>
      </c>
      <c r="E2232" t="inlineStr">
        <is>
          <t>UPPVIDINGE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60940-2020</t>
        </is>
      </c>
      <c r="B2233" s="1" t="n">
        <v>44154</v>
      </c>
      <c r="C2233" s="1" t="n">
        <v>45845</v>
      </c>
      <c r="D2233" t="inlineStr">
        <is>
          <t>KRONOBERGS LÄN</t>
        </is>
      </c>
      <c r="E2233" t="inlineStr">
        <is>
          <t>UPPVIDINGE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60945-2020</t>
        </is>
      </c>
      <c r="B2234" s="1" t="n">
        <v>44154</v>
      </c>
      <c r="C2234" s="1" t="n">
        <v>45845</v>
      </c>
      <c r="D2234" t="inlineStr">
        <is>
          <t>KRONOBERGS LÄN</t>
        </is>
      </c>
      <c r="E2234" t="inlineStr">
        <is>
          <t>UPPVIDINGE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60929-2020</t>
        </is>
      </c>
      <c r="B2235" s="1" t="n">
        <v>44154</v>
      </c>
      <c r="C2235" s="1" t="n">
        <v>45845</v>
      </c>
      <c r="D2235" t="inlineStr">
        <is>
          <t>KRONOBERGS LÄN</t>
        </is>
      </c>
      <c r="E2235" t="inlineStr">
        <is>
          <t>UPPVIDINGE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60942-2020</t>
        </is>
      </c>
      <c r="B2236" s="1" t="n">
        <v>44154</v>
      </c>
      <c r="C2236" s="1" t="n">
        <v>45845</v>
      </c>
      <c r="D2236" t="inlineStr">
        <is>
          <t>KRONOBERGS LÄN</t>
        </is>
      </c>
      <c r="E2236" t="inlineStr">
        <is>
          <t>UPPVIDINGE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60939-2020</t>
        </is>
      </c>
      <c r="B2237" s="1" t="n">
        <v>44154</v>
      </c>
      <c r="C2237" s="1" t="n">
        <v>45845</v>
      </c>
      <c r="D2237" t="inlineStr">
        <is>
          <t>KRONOBERGS LÄN</t>
        </is>
      </c>
      <c r="E2237" t="inlineStr">
        <is>
          <t>UPPVIDINGE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60943-2020</t>
        </is>
      </c>
      <c r="B2238" s="1" t="n">
        <v>44154</v>
      </c>
      <c r="C2238" s="1" t="n">
        <v>45845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61087-2020</t>
        </is>
      </c>
      <c r="B2239" s="1" t="n">
        <v>44154</v>
      </c>
      <c r="C2239" s="1" t="n">
        <v>45845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61086-2020</t>
        </is>
      </c>
      <c r="B2240" s="1" t="n">
        <v>44154</v>
      </c>
      <c r="C2240" s="1" t="n">
        <v>45845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61058-2020</t>
        </is>
      </c>
      <c r="B2241" s="1" t="n">
        <v>44154</v>
      </c>
      <c r="C2241" s="1" t="n">
        <v>45845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60947-2020</t>
        </is>
      </c>
      <c r="B2242" s="1" t="n">
        <v>44154</v>
      </c>
      <c r="C2242" s="1" t="n">
        <v>45845</v>
      </c>
      <c r="D2242" t="inlineStr">
        <is>
          <t>KRONOBERGS LÄN</t>
        </is>
      </c>
      <c r="E2242" t="inlineStr">
        <is>
          <t>UPPVIDINGE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61187-2020</t>
        </is>
      </c>
      <c r="B2243" s="1" t="n">
        <v>44155</v>
      </c>
      <c r="C2243" s="1" t="n">
        <v>45845</v>
      </c>
      <c r="D2243" t="inlineStr">
        <is>
          <t>KRONOBERGS LÄN</t>
        </is>
      </c>
      <c r="E2243" t="inlineStr">
        <is>
          <t>MARKARYD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61247-2020</t>
        </is>
      </c>
      <c r="B2244" s="1" t="n">
        <v>44155</v>
      </c>
      <c r="C2244" s="1" t="n">
        <v>45845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61255-2020</t>
        </is>
      </c>
      <c r="B2245" s="1" t="n">
        <v>44155</v>
      </c>
      <c r="C2245" s="1" t="n">
        <v>45845</v>
      </c>
      <c r="D2245" t="inlineStr">
        <is>
          <t>KRONOBERGS LÄN</t>
        </is>
      </c>
      <c r="E2245" t="inlineStr">
        <is>
          <t>MARKARYD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61434-2020</t>
        </is>
      </c>
      <c r="B2246" s="1" t="n">
        <v>44157</v>
      </c>
      <c r="C2246" s="1" t="n">
        <v>45845</v>
      </c>
      <c r="D2246" t="inlineStr">
        <is>
          <t>KRONOBERGS LÄN</t>
        </is>
      </c>
      <c r="E2246" t="inlineStr">
        <is>
          <t>LJUNGBY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61538-2020</t>
        </is>
      </c>
      <c r="B2247" s="1" t="n">
        <v>44158</v>
      </c>
      <c r="C2247" s="1" t="n">
        <v>45845</v>
      </c>
      <c r="D2247" t="inlineStr">
        <is>
          <t>KRONOBERGS LÄN</t>
        </is>
      </c>
      <c r="E2247" t="inlineStr">
        <is>
          <t>ÄLMHULT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61620-2020</t>
        </is>
      </c>
      <c r="B2248" s="1" t="n">
        <v>44158</v>
      </c>
      <c r="C2248" s="1" t="n">
        <v>45845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61534-2020</t>
        </is>
      </c>
      <c r="B2249" s="1" t="n">
        <v>44158</v>
      </c>
      <c r="C2249" s="1" t="n">
        <v>45845</v>
      </c>
      <c r="D2249" t="inlineStr">
        <is>
          <t>KRONOBERGS LÄN</t>
        </is>
      </c>
      <c r="E2249" t="inlineStr">
        <is>
          <t>ÄLMHULT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61675-2020</t>
        </is>
      </c>
      <c r="B2250" s="1" t="n">
        <v>44158</v>
      </c>
      <c r="C2250" s="1" t="n">
        <v>45845</v>
      </c>
      <c r="D2250" t="inlineStr">
        <is>
          <t>KRONOBERGS LÄN</t>
        </is>
      </c>
      <c r="E2250" t="inlineStr">
        <is>
          <t>LJUNGBY</t>
        </is>
      </c>
      <c r="F2250" t="inlineStr">
        <is>
          <t>Sveaskog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61793-2020</t>
        </is>
      </c>
      <c r="B2251" s="1" t="n">
        <v>44158</v>
      </c>
      <c r="C2251" s="1" t="n">
        <v>45845</v>
      </c>
      <c r="D2251" t="inlineStr">
        <is>
          <t>KRONOBERGS LÄN</t>
        </is>
      </c>
      <c r="E2251" t="inlineStr">
        <is>
          <t>UPPVIDINGE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61792-2020</t>
        </is>
      </c>
      <c r="B2252" s="1" t="n">
        <v>44158</v>
      </c>
      <c r="C2252" s="1" t="n">
        <v>45845</v>
      </c>
      <c r="D2252" t="inlineStr">
        <is>
          <t>KRONOBERGS LÄN</t>
        </is>
      </c>
      <c r="E2252" t="inlineStr">
        <is>
          <t>UPPVIDINGE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61794-2020</t>
        </is>
      </c>
      <c r="B2253" s="1" t="n">
        <v>44158</v>
      </c>
      <c r="C2253" s="1" t="n">
        <v>45845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61885-2020</t>
        </is>
      </c>
      <c r="B2254" s="1" t="n">
        <v>44159</v>
      </c>
      <c r="C2254" s="1" t="n">
        <v>45845</v>
      </c>
      <c r="D2254" t="inlineStr">
        <is>
          <t>KRONOBERGS LÄN</t>
        </is>
      </c>
      <c r="E2254" t="inlineStr">
        <is>
          <t>VÄXJÖ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61899-2020</t>
        </is>
      </c>
      <c r="B2255" s="1" t="n">
        <v>44159</v>
      </c>
      <c r="C2255" s="1" t="n">
        <v>45845</v>
      </c>
      <c r="D2255" t="inlineStr">
        <is>
          <t>KRONOBERGS LÄN</t>
        </is>
      </c>
      <c r="E2255" t="inlineStr">
        <is>
          <t>VÄXJÖ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61909-2020</t>
        </is>
      </c>
      <c r="B2256" s="1" t="n">
        <v>44159</v>
      </c>
      <c r="C2256" s="1" t="n">
        <v>45845</v>
      </c>
      <c r="D2256" t="inlineStr">
        <is>
          <t>KRONOBERGS LÄN</t>
        </is>
      </c>
      <c r="E2256" t="inlineStr">
        <is>
          <t>MARKARYD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62220-2020</t>
        </is>
      </c>
      <c r="B2257" s="1" t="n">
        <v>44159</v>
      </c>
      <c r="C2257" s="1" t="n">
        <v>45845</v>
      </c>
      <c r="D2257" t="inlineStr">
        <is>
          <t>KRONOBERGS LÄN</t>
        </is>
      </c>
      <c r="E2257" t="inlineStr">
        <is>
          <t>ÄLMHULT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62090-2020</t>
        </is>
      </c>
      <c r="B2258" s="1" t="n">
        <v>44159</v>
      </c>
      <c r="C2258" s="1" t="n">
        <v>45845</v>
      </c>
      <c r="D2258" t="inlineStr">
        <is>
          <t>KRONOBERGS LÄN</t>
        </is>
      </c>
      <c r="E2258" t="inlineStr">
        <is>
          <t>TINGSRYD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62419-2020</t>
        </is>
      </c>
      <c r="B2259" s="1" t="n">
        <v>44159</v>
      </c>
      <c r="C2259" s="1" t="n">
        <v>45845</v>
      </c>
      <c r="D2259" t="inlineStr">
        <is>
          <t>KRONOBERGS LÄN</t>
        </is>
      </c>
      <c r="E2259" t="inlineStr">
        <is>
          <t>ALVESTA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62427-2020</t>
        </is>
      </c>
      <c r="B2260" s="1" t="n">
        <v>44159</v>
      </c>
      <c r="C2260" s="1" t="n">
        <v>45845</v>
      </c>
      <c r="D2260" t="inlineStr">
        <is>
          <t>KRONOBERGS LÄN</t>
        </is>
      </c>
      <c r="E2260" t="inlineStr">
        <is>
          <t>ALVESTA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62262-2020</t>
        </is>
      </c>
      <c r="B2261" s="1" t="n">
        <v>44160</v>
      </c>
      <c r="C2261" s="1" t="n">
        <v>45845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62283-2020</t>
        </is>
      </c>
      <c r="B2262" s="1" t="n">
        <v>44160</v>
      </c>
      <c r="C2262" s="1" t="n">
        <v>45845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62346-2020</t>
        </is>
      </c>
      <c r="B2263" s="1" t="n">
        <v>44160</v>
      </c>
      <c r="C2263" s="1" t="n">
        <v>45845</v>
      </c>
      <c r="D2263" t="inlineStr">
        <is>
          <t>KRONOBERGS LÄN</t>
        </is>
      </c>
      <c r="E2263" t="inlineStr">
        <is>
          <t>UPPVIDINGE</t>
        </is>
      </c>
      <c r="G2263" t="n">
        <v>10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62534-2020</t>
        </is>
      </c>
      <c r="B2264" s="1" t="n">
        <v>44160</v>
      </c>
      <c r="C2264" s="1" t="n">
        <v>45845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62299-2020</t>
        </is>
      </c>
      <c r="B2265" s="1" t="n">
        <v>44160</v>
      </c>
      <c r="C2265" s="1" t="n">
        <v>45845</v>
      </c>
      <c r="D2265" t="inlineStr">
        <is>
          <t>KRONOBERGS LÄN</t>
        </is>
      </c>
      <c r="E2265" t="inlineStr">
        <is>
          <t>LJUNGBY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62521-2020</t>
        </is>
      </c>
      <c r="B2266" s="1" t="n">
        <v>44160</v>
      </c>
      <c r="C2266" s="1" t="n">
        <v>45845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62505-2020</t>
        </is>
      </c>
      <c r="B2267" s="1" t="n">
        <v>44160</v>
      </c>
      <c r="C2267" s="1" t="n">
        <v>45845</v>
      </c>
      <c r="D2267" t="inlineStr">
        <is>
          <t>KRONOBERGS LÄN</t>
        </is>
      </c>
      <c r="E2267" t="inlineStr">
        <is>
          <t>ÄLMHULT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62571-2020</t>
        </is>
      </c>
      <c r="B2268" s="1" t="n">
        <v>44160</v>
      </c>
      <c r="C2268" s="1" t="n">
        <v>45845</v>
      </c>
      <c r="D2268" t="inlineStr">
        <is>
          <t>KRONOBERGS LÄN</t>
        </is>
      </c>
      <c r="E2268" t="inlineStr">
        <is>
          <t>MARKARYD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62821-2020</t>
        </is>
      </c>
      <c r="B2269" s="1" t="n">
        <v>44161</v>
      </c>
      <c r="C2269" s="1" t="n">
        <v>45845</v>
      </c>
      <c r="D2269" t="inlineStr">
        <is>
          <t>KRONOBERGS LÄN</t>
        </is>
      </c>
      <c r="E2269" t="inlineStr">
        <is>
          <t>ÄLMHULT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62639-2020</t>
        </is>
      </c>
      <c r="B2270" s="1" t="n">
        <v>44161</v>
      </c>
      <c r="C2270" s="1" t="n">
        <v>45845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62722-2020</t>
        </is>
      </c>
      <c r="B2271" s="1" t="n">
        <v>44161</v>
      </c>
      <c r="C2271" s="1" t="n">
        <v>45845</v>
      </c>
      <c r="D2271" t="inlineStr">
        <is>
          <t>KRONOBERGS LÄN</t>
        </is>
      </c>
      <c r="E2271" t="inlineStr">
        <is>
          <t>VÄXJÖ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63517-2020</t>
        </is>
      </c>
      <c r="B2272" s="1" t="n">
        <v>44161</v>
      </c>
      <c r="C2272" s="1" t="n">
        <v>45845</v>
      </c>
      <c r="D2272" t="inlineStr">
        <is>
          <t>KRONOBERGS LÄN</t>
        </is>
      </c>
      <c r="E2272" t="inlineStr">
        <is>
          <t>VÄXJÖ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63095-2020</t>
        </is>
      </c>
      <c r="B2273" s="1" t="n">
        <v>44162</v>
      </c>
      <c r="C2273" s="1" t="n">
        <v>45845</v>
      </c>
      <c r="D2273" t="inlineStr">
        <is>
          <t>KRONOBERGS LÄN</t>
        </is>
      </c>
      <c r="E2273" t="inlineStr">
        <is>
          <t>UPPVIDINGE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63129-2020</t>
        </is>
      </c>
      <c r="B2274" s="1" t="n">
        <v>44162</v>
      </c>
      <c r="C2274" s="1" t="n">
        <v>45845</v>
      </c>
      <c r="D2274" t="inlineStr">
        <is>
          <t>KRONOBERGS LÄN</t>
        </is>
      </c>
      <c r="E2274" t="inlineStr">
        <is>
          <t>ÄLMHULT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63355-2020</t>
        </is>
      </c>
      <c r="B2275" s="1" t="n">
        <v>44165</v>
      </c>
      <c r="C2275" s="1" t="n">
        <v>45845</v>
      </c>
      <c r="D2275" t="inlineStr">
        <is>
          <t>KRONOBERGS LÄN</t>
        </is>
      </c>
      <c r="E2275" t="inlineStr">
        <is>
          <t>ALVESTA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63381-2020</t>
        </is>
      </c>
      <c r="B2276" s="1" t="n">
        <v>44165</v>
      </c>
      <c r="C2276" s="1" t="n">
        <v>45845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63509-2020</t>
        </is>
      </c>
      <c r="B2277" s="1" t="n">
        <v>44165</v>
      </c>
      <c r="C2277" s="1" t="n">
        <v>45845</v>
      </c>
      <c r="D2277" t="inlineStr">
        <is>
          <t>KRONOBERGS LÄN</t>
        </is>
      </c>
      <c r="E2277" t="inlineStr">
        <is>
          <t>LESSEBO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63386-2020</t>
        </is>
      </c>
      <c r="B2278" s="1" t="n">
        <v>44165</v>
      </c>
      <c r="C2278" s="1" t="n">
        <v>45845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63479-2020</t>
        </is>
      </c>
      <c r="B2279" s="1" t="n">
        <v>44165</v>
      </c>
      <c r="C2279" s="1" t="n">
        <v>45845</v>
      </c>
      <c r="D2279" t="inlineStr">
        <is>
          <t>KRONOBERGS LÄN</t>
        </is>
      </c>
      <c r="E2279" t="inlineStr">
        <is>
          <t>UPPVIDINGE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63506-2020</t>
        </is>
      </c>
      <c r="B2280" s="1" t="n">
        <v>44165</v>
      </c>
      <c r="C2280" s="1" t="n">
        <v>45845</v>
      </c>
      <c r="D2280" t="inlineStr">
        <is>
          <t>KRONOBERGS LÄN</t>
        </is>
      </c>
      <c r="E2280" t="inlineStr">
        <is>
          <t>UPPVIDINGE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63586-2020</t>
        </is>
      </c>
      <c r="B2281" s="1" t="n">
        <v>44165</v>
      </c>
      <c r="C2281" s="1" t="n">
        <v>45845</v>
      </c>
      <c r="D2281" t="inlineStr">
        <is>
          <t>KRONOBERGS LÄN</t>
        </is>
      </c>
      <c r="E2281" t="inlineStr">
        <is>
          <t>LJUNGBY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63594-2020</t>
        </is>
      </c>
      <c r="B2282" s="1" t="n">
        <v>44165</v>
      </c>
      <c r="C2282" s="1" t="n">
        <v>45845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63588-2020</t>
        </is>
      </c>
      <c r="B2283" s="1" t="n">
        <v>44165</v>
      </c>
      <c r="C2283" s="1" t="n">
        <v>45845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63661-2020</t>
        </is>
      </c>
      <c r="B2284" s="1" t="n">
        <v>44166</v>
      </c>
      <c r="C2284" s="1" t="n">
        <v>45845</v>
      </c>
      <c r="D2284" t="inlineStr">
        <is>
          <t>KRONOBERGS LÄN</t>
        </is>
      </c>
      <c r="E2284" t="inlineStr">
        <is>
          <t>LESSEBO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63670-2020</t>
        </is>
      </c>
      <c r="B2285" s="1" t="n">
        <v>44166</v>
      </c>
      <c r="C2285" s="1" t="n">
        <v>45845</v>
      </c>
      <c r="D2285" t="inlineStr">
        <is>
          <t>KRONOBERGS LÄN</t>
        </is>
      </c>
      <c r="E2285" t="inlineStr">
        <is>
          <t>LESSEBO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63659-2020</t>
        </is>
      </c>
      <c r="B2286" s="1" t="n">
        <v>44166</v>
      </c>
      <c r="C2286" s="1" t="n">
        <v>45845</v>
      </c>
      <c r="D2286" t="inlineStr">
        <is>
          <t>KRONOBERGS LÄN</t>
        </is>
      </c>
      <c r="E2286" t="inlineStr">
        <is>
          <t>LESSEBO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63665-2020</t>
        </is>
      </c>
      <c r="B2287" s="1" t="n">
        <v>44166</v>
      </c>
      <c r="C2287" s="1" t="n">
        <v>45845</v>
      </c>
      <c r="D2287" t="inlineStr">
        <is>
          <t>KRONOBERGS LÄN</t>
        </is>
      </c>
      <c r="E2287" t="inlineStr">
        <is>
          <t>LESSEBO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63674-2020</t>
        </is>
      </c>
      <c r="B2288" s="1" t="n">
        <v>44166</v>
      </c>
      <c r="C2288" s="1" t="n">
        <v>45845</v>
      </c>
      <c r="D2288" t="inlineStr">
        <is>
          <t>KRONOBERGS LÄN</t>
        </is>
      </c>
      <c r="E2288" t="inlineStr">
        <is>
          <t>LESSEBO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63873-2020</t>
        </is>
      </c>
      <c r="B2289" s="1" t="n">
        <v>44166</v>
      </c>
      <c r="C2289" s="1" t="n">
        <v>45845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63658-2020</t>
        </is>
      </c>
      <c r="B2290" s="1" t="n">
        <v>44166</v>
      </c>
      <c r="C2290" s="1" t="n">
        <v>45845</v>
      </c>
      <c r="D2290" t="inlineStr">
        <is>
          <t>KRONOBERGS LÄN</t>
        </is>
      </c>
      <c r="E2290" t="inlineStr">
        <is>
          <t>LESSEBO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63668-2020</t>
        </is>
      </c>
      <c r="B2291" s="1" t="n">
        <v>44166</v>
      </c>
      <c r="C2291" s="1" t="n">
        <v>45845</v>
      </c>
      <c r="D2291" t="inlineStr">
        <is>
          <t>KRONOBERGS LÄN</t>
        </is>
      </c>
      <c r="E2291" t="inlineStr">
        <is>
          <t>LESSEBO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63995-2020</t>
        </is>
      </c>
      <c r="B2292" s="1" t="n">
        <v>44167</v>
      </c>
      <c r="C2292" s="1" t="n">
        <v>45845</v>
      </c>
      <c r="D2292" t="inlineStr">
        <is>
          <t>KRONOBERGS LÄN</t>
        </is>
      </c>
      <c r="E2292" t="inlineStr">
        <is>
          <t>UPPVIDINGE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64083-2020</t>
        </is>
      </c>
      <c r="B2293" s="1" t="n">
        <v>44167</v>
      </c>
      <c r="C2293" s="1" t="n">
        <v>45845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63973-2020</t>
        </is>
      </c>
      <c r="B2294" s="1" t="n">
        <v>44167</v>
      </c>
      <c r="C2294" s="1" t="n">
        <v>45845</v>
      </c>
      <c r="D2294" t="inlineStr">
        <is>
          <t>KRONOBERGS LÄN</t>
        </is>
      </c>
      <c r="E2294" t="inlineStr">
        <is>
          <t>TINGSRYD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64089-2020</t>
        </is>
      </c>
      <c r="B2295" s="1" t="n">
        <v>44167</v>
      </c>
      <c r="C2295" s="1" t="n">
        <v>45845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64125-2020</t>
        </is>
      </c>
      <c r="B2296" s="1" t="n">
        <v>44167</v>
      </c>
      <c r="C2296" s="1" t="n">
        <v>45845</v>
      </c>
      <c r="D2296" t="inlineStr">
        <is>
          <t>KRONOBERGS LÄN</t>
        </is>
      </c>
      <c r="E2296" t="inlineStr">
        <is>
          <t>VÄXJÖ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64371-2020</t>
        </is>
      </c>
      <c r="B2297" s="1" t="n">
        <v>44168</v>
      </c>
      <c r="C2297" s="1" t="n">
        <v>45845</v>
      </c>
      <c r="D2297" t="inlineStr">
        <is>
          <t>KRONOBERGS LÄN</t>
        </is>
      </c>
      <c r="E2297" t="inlineStr">
        <is>
          <t>UPPVIDINGE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65151-2020</t>
        </is>
      </c>
      <c r="B2298" s="1" t="n">
        <v>44168</v>
      </c>
      <c r="C2298" s="1" t="n">
        <v>45845</v>
      </c>
      <c r="D2298" t="inlineStr">
        <is>
          <t>KRONOBERGS LÄN</t>
        </is>
      </c>
      <c r="E2298" t="inlineStr">
        <is>
          <t>TINGSRYD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64572-2020</t>
        </is>
      </c>
      <c r="B2299" s="1" t="n">
        <v>44168</v>
      </c>
      <c r="C2299" s="1" t="n">
        <v>45845</v>
      </c>
      <c r="D2299" t="inlineStr">
        <is>
          <t>KRONOBERGS LÄN</t>
        </is>
      </c>
      <c r="E2299" t="inlineStr">
        <is>
          <t>VÄXJÖ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65153-2020</t>
        </is>
      </c>
      <c r="B2300" s="1" t="n">
        <v>44168</v>
      </c>
      <c r="C2300" s="1" t="n">
        <v>45845</v>
      </c>
      <c r="D2300" t="inlineStr">
        <is>
          <t>KRONOBERGS LÄN</t>
        </is>
      </c>
      <c r="E2300" t="inlineStr">
        <is>
          <t>TINGSRYD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65338-2020</t>
        </is>
      </c>
      <c r="B2301" s="1" t="n">
        <v>44168</v>
      </c>
      <c r="C2301" s="1" t="n">
        <v>45845</v>
      </c>
      <c r="D2301" t="inlineStr">
        <is>
          <t>KRONOBERGS LÄN</t>
        </is>
      </c>
      <c r="E2301" t="inlineStr">
        <is>
          <t>UPPVIDINGE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64656-2020</t>
        </is>
      </c>
      <c r="B2302" s="1" t="n">
        <v>44169</v>
      </c>
      <c r="C2302" s="1" t="n">
        <v>45845</v>
      </c>
      <c r="D2302" t="inlineStr">
        <is>
          <t>KRONOBERGS LÄN</t>
        </is>
      </c>
      <c r="E2302" t="inlineStr">
        <is>
          <t>LJUNGBY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64662-2020</t>
        </is>
      </c>
      <c r="B2303" s="1" t="n">
        <v>44169</v>
      </c>
      <c r="C2303" s="1" t="n">
        <v>45845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64660-2020</t>
        </is>
      </c>
      <c r="B2304" s="1" t="n">
        <v>44169</v>
      </c>
      <c r="C2304" s="1" t="n">
        <v>45845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64752-2020</t>
        </is>
      </c>
      <c r="B2305" s="1" t="n">
        <v>44169</v>
      </c>
      <c r="C2305" s="1" t="n">
        <v>45845</v>
      </c>
      <c r="D2305" t="inlineStr">
        <is>
          <t>KRONOBERGS LÄN</t>
        </is>
      </c>
      <c r="E2305" t="inlineStr">
        <is>
          <t>VÄXJÖ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64659-2020</t>
        </is>
      </c>
      <c r="B2306" s="1" t="n">
        <v>44169</v>
      </c>
      <c r="C2306" s="1" t="n">
        <v>45845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64743-2020</t>
        </is>
      </c>
      <c r="B2307" s="1" t="n">
        <v>44169</v>
      </c>
      <c r="C2307" s="1" t="n">
        <v>45845</v>
      </c>
      <c r="D2307" t="inlineStr">
        <is>
          <t>KRONOBERGS LÄN</t>
        </is>
      </c>
      <c r="E2307" t="inlineStr">
        <is>
          <t>VÄXJÖ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64769-2020</t>
        </is>
      </c>
      <c r="B2308" s="1" t="n">
        <v>44169</v>
      </c>
      <c r="C2308" s="1" t="n">
        <v>45845</v>
      </c>
      <c r="D2308" t="inlineStr">
        <is>
          <t>KRONOBERGS LÄN</t>
        </is>
      </c>
      <c r="E2308" t="inlineStr">
        <is>
          <t>TINGSRYD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65022-2020</t>
        </is>
      </c>
      <c r="B2309" s="1" t="n">
        <v>44172</v>
      </c>
      <c r="C2309" s="1" t="n">
        <v>45845</v>
      </c>
      <c r="D2309" t="inlineStr">
        <is>
          <t>KRONOBERGS LÄN</t>
        </is>
      </c>
      <c r="E2309" t="inlineStr">
        <is>
          <t>LESSEBO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65191-2020</t>
        </is>
      </c>
      <c r="B2310" s="1" t="n">
        <v>44172</v>
      </c>
      <c r="C2310" s="1" t="n">
        <v>45845</v>
      </c>
      <c r="D2310" t="inlineStr">
        <is>
          <t>KRONOBERGS LÄN</t>
        </is>
      </c>
      <c r="E2310" t="inlineStr">
        <is>
          <t>VÄXJÖ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65244-2020</t>
        </is>
      </c>
      <c r="B2311" s="1" t="n">
        <v>44172</v>
      </c>
      <c r="C2311" s="1" t="n">
        <v>45845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65249-2020</t>
        </is>
      </c>
      <c r="B2312" s="1" t="n">
        <v>44172</v>
      </c>
      <c r="C2312" s="1" t="n">
        <v>45845</v>
      </c>
      <c r="D2312" t="inlineStr">
        <is>
          <t>KRONOBERGS LÄN</t>
        </is>
      </c>
      <c r="E2312" t="inlineStr">
        <is>
          <t>VÄXJÖ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64966-2020</t>
        </is>
      </c>
      <c r="B2313" s="1" t="n">
        <v>44172</v>
      </c>
      <c r="C2313" s="1" t="n">
        <v>45845</v>
      </c>
      <c r="D2313" t="inlineStr">
        <is>
          <t>KRONOBERGS LÄN</t>
        </is>
      </c>
      <c r="E2313" t="inlineStr">
        <is>
          <t>LESSEBO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65026-2020</t>
        </is>
      </c>
      <c r="B2314" s="1" t="n">
        <v>44172</v>
      </c>
      <c r="C2314" s="1" t="n">
        <v>45845</v>
      </c>
      <c r="D2314" t="inlineStr">
        <is>
          <t>KRONOBERGS LÄN</t>
        </is>
      </c>
      <c r="E2314" t="inlineStr">
        <is>
          <t>LESSEBO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65251-2020</t>
        </is>
      </c>
      <c r="B2315" s="1" t="n">
        <v>44172</v>
      </c>
      <c r="C2315" s="1" t="n">
        <v>45845</v>
      </c>
      <c r="D2315" t="inlineStr">
        <is>
          <t>KRONOBERGS LÄN</t>
        </is>
      </c>
      <c r="E2315" t="inlineStr">
        <is>
          <t>VÄXJÖ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65213-2020</t>
        </is>
      </c>
      <c r="B2316" s="1" t="n">
        <v>44172</v>
      </c>
      <c r="C2316" s="1" t="n">
        <v>45845</v>
      </c>
      <c r="D2316" t="inlineStr">
        <is>
          <t>KRONOBERGS LÄN</t>
        </is>
      </c>
      <c r="E2316" t="inlineStr">
        <is>
          <t>ALVESTA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65238-2020</t>
        </is>
      </c>
      <c r="B2317" s="1" t="n">
        <v>44172</v>
      </c>
      <c r="C2317" s="1" t="n">
        <v>45845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65388-2020</t>
        </is>
      </c>
      <c r="B2318" s="1" t="n">
        <v>44173</v>
      </c>
      <c r="C2318" s="1" t="n">
        <v>45845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65989-2020</t>
        </is>
      </c>
      <c r="B2319" s="1" t="n">
        <v>44173</v>
      </c>
      <c r="C2319" s="1" t="n">
        <v>45845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66008-2020</t>
        </is>
      </c>
      <c r="B2320" s="1" t="n">
        <v>44173</v>
      </c>
      <c r="C2320" s="1" t="n">
        <v>45845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65644-2020</t>
        </is>
      </c>
      <c r="B2321" s="1" t="n">
        <v>44174</v>
      </c>
      <c r="C2321" s="1" t="n">
        <v>45845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65734-2020</t>
        </is>
      </c>
      <c r="B2322" s="1" t="n">
        <v>44174</v>
      </c>
      <c r="C2322" s="1" t="n">
        <v>45845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65664-2020</t>
        </is>
      </c>
      <c r="B2323" s="1" t="n">
        <v>44174</v>
      </c>
      <c r="C2323" s="1" t="n">
        <v>45845</v>
      </c>
      <c r="D2323" t="inlineStr">
        <is>
          <t>KRONOBERGS LÄN</t>
        </is>
      </c>
      <c r="E2323" t="inlineStr">
        <is>
          <t>VÄXJÖ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65701-2020</t>
        </is>
      </c>
      <c r="B2324" s="1" t="n">
        <v>44174</v>
      </c>
      <c r="C2324" s="1" t="n">
        <v>45845</v>
      </c>
      <c r="D2324" t="inlineStr">
        <is>
          <t>KRONOBERGS LÄN</t>
        </is>
      </c>
      <c r="E2324" t="inlineStr">
        <is>
          <t>LESSEBO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65731-2020</t>
        </is>
      </c>
      <c r="B2325" s="1" t="n">
        <v>44174</v>
      </c>
      <c r="C2325" s="1" t="n">
        <v>45845</v>
      </c>
      <c r="D2325" t="inlineStr">
        <is>
          <t>KRONOBERGS LÄN</t>
        </is>
      </c>
      <c r="E2325" t="inlineStr">
        <is>
          <t>LESSEBO</t>
        </is>
      </c>
      <c r="F2325" t="inlineStr">
        <is>
          <t>Kommuner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65798-2020</t>
        </is>
      </c>
      <c r="B2326" s="1" t="n">
        <v>44174</v>
      </c>
      <c r="C2326" s="1" t="n">
        <v>45845</v>
      </c>
      <c r="D2326" t="inlineStr">
        <is>
          <t>KRONOBERGS LÄN</t>
        </is>
      </c>
      <c r="E2326" t="inlineStr">
        <is>
          <t>ALVESTA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66743-2020</t>
        </is>
      </c>
      <c r="B2327" s="1" t="n">
        <v>44174</v>
      </c>
      <c r="C2327" s="1" t="n">
        <v>45845</v>
      </c>
      <c r="D2327" t="inlineStr">
        <is>
          <t>KRONOBERGS LÄN</t>
        </is>
      </c>
      <c r="E2327" t="inlineStr">
        <is>
          <t>TINGSRYD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65894-2020</t>
        </is>
      </c>
      <c r="B2328" s="1" t="n">
        <v>44174</v>
      </c>
      <c r="C2328" s="1" t="n">
        <v>45845</v>
      </c>
      <c r="D2328" t="inlineStr">
        <is>
          <t>KRONOBERGS LÄN</t>
        </is>
      </c>
      <c r="E2328" t="inlineStr">
        <is>
          <t>ÄLMHULT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65875-2020</t>
        </is>
      </c>
      <c r="B2329" s="1" t="n">
        <v>44174</v>
      </c>
      <c r="C2329" s="1" t="n">
        <v>45845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66026-2020</t>
        </is>
      </c>
      <c r="B2330" s="1" t="n">
        <v>44175</v>
      </c>
      <c r="C2330" s="1" t="n">
        <v>45845</v>
      </c>
      <c r="D2330" t="inlineStr">
        <is>
          <t>KRONOBERGS LÄN</t>
        </is>
      </c>
      <c r="E2330" t="inlineStr">
        <is>
          <t>ALVESTA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66105-2020</t>
        </is>
      </c>
      <c r="B2331" s="1" t="n">
        <v>44175</v>
      </c>
      <c r="C2331" s="1" t="n">
        <v>45845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66116-2020</t>
        </is>
      </c>
      <c r="B2332" s="1" t="n">
        <v>44175</v>
      </c>
      <c r="C2332" s="1" t="n">
        <v>45845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66024-2020</t>
        </is>
      </c>
      <c r="B2333" s="1" t="n">
        <v>44175</v>
      </c>
      <c r="C2333" s="1" t="n">
        <v>45845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66032-2020</t>
        </is>
      </c>
      <c r="B2334" s="1" t="n">
        <v>44175</v>
      </c>
      <c r="C2334" s="1" t="n">
        <v>45845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65937-2020</t>
        </is>
      </c>
      <c r="B2335" s="1" t="n">
        <v>44175</v>
      </c>
      <c r="C2335" s="1" t="n">
        <v>45845</v>
      </c>
      <c r="D2335" t="inlineStr">
        <is>
          <t>KRONOBERGS LÄN</t>
        </is>
      </c>
      <c r="E2335" t="inlineStr">
        <is>
          <t>VÄXJÖ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66023-2020</t>
        </is>
      </c>
      <c r="B2336" s="1" t="n">
        <v>44175</v>
      </c>
      <c r="C2336" s="1" t="n">
        <v>45845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66029-2020</t>
        </is>
      </c>
      <c r="B2337" s="1" t="n">
        <v>44175</v>
      </c>
      <c r="C2337" s="1" t="n">
        <v>45845</v>
      </c>
      <c r="D2337" t="inlineStr">
        <is>
          <t>KRONOBERGS LÄN</t>
        </is>
      </c>
      <c r="E2337" t="inlineStr">
        <is>
          <t>ALVESTA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66137-2020</t>
        </is>
      </c>
      <c r="B2338" s="1" t="n">
        <v>44175</v>
      </c>
      <c r="C2338" s="1" t="n">
        <v>45845</v>
      </c>
      <c r="D2338" t="inlineStr">
        <is>
          <t>KRONOBERGS LÄN</t>
        </is>
      </c>
      <c r="E2338" t="inlineStr">
        <is>
          <t>LJUNGBY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66115-2020</t>
        </is>
      </c>
      <c r="B2339" s="1" t="n">
        <v>44175</v>
      </c>
      <c r="C2339" s="1" t="n">
        <v>45845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66198-2020</t>
        </is>
      </c>
      <c r="B2340" s="1" t="n">
        <v>44175</v>
      </c>
      <c r="C2340" s="1" t="n">
        <v>45845</v>
      </c>
      <c r="D2340" t="inlineStr">
        <is>
          <t>KRONOBERGS LÄN</t>
        </is>
      </c>
      <c r="E2340" t="inlineStr">
        <is>
          <t>LESSEBO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66223-2020</t>
        </is>
      </c>
      <c r="B2341" s="1" t="n">
        <v>44175</v>
      </c>
      <c r="C2341" s="1" t="n">
        <v>45845</v>
      </c>
      <c r="D2341" t="inlineStr">
        <is>
          <t>KRONOBERGS LÄN</t>
        </is>
      </c>
      <c r="E2341" t="inlineStr">
        <is>
          <t>UPPVIDINGE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66216-2020</t>
        </is>
      </c>
      <c r="B2342" s="1" t="n">
        <v>44175</v>
      </c>
      <c r="C2342" s="1" t="n">
        <v>45845</v>
      </c>
      <c r="D2342" t="inlineStr">
        <is>
          <t>KRONOBERGS LÄN</t>
        </is>
      </c>
      <c r="E2342" t="inlineStr">
        <is>
          <t>ÄLMHULT</t>
        </is>
      </c>
      <c r="G2342" t="n">
        <v>7.4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66368-2020</t>
        </is>
      </c>
      <c r="B2343" s="1" t="n">
        <v>44176</v>
      </c>
      <c r="C2343" s="1" t="n">
        <v>45845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66440-2020</t>
        </is>
      </c>
      <c r="B2344" s="1" t="n">
        <v>44176</v>
      </c>
      <c r="C2344" s="1" t="n">
        <v>45845</v>
      </c>
      <c r="D2344" t="inlineStr">
        <is>
          <t>KRONOBERGS LÄN</t>
        </is>
      </c>
      <c r="E2344" t="inlineStr">
        <is>
          <t>UPPVIDINGE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66432-2020</t>
        </is>
      </c>
      <c r="B2345" s="1" t="n">
        <v>44176</v>
      </c>
      <c r="C2345" s="1" t="n">
        <v>45845</v>
      </c>
      <c r="D2345" t="inlineStr">
        <is>
          <t>KRONOBERGS LÄN</t>
        </is>
      </c>
      <c r="E2345" t="inlineStr">
        <is>
          <t>UPPVIDINGE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66664-2020</t>
        </is>
      </c>
      <c r="B2346" s="1" t="n">
        <v>44179</v>
      </c>
      <c r="C2346" s="1" t="n">
        <v>45845</v>
      </c>
      <c r="D2346" t="inlineStr">
        <is>
          <t>KRONOBERGS LÄN</t>
        </is>
      </c>
      <c r="E2346" t="inlineStr">
        <is>
          <t>UPPVIDINGE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66756-2020</t>
        </is>
      </c>
      <c r="B2347" s="1" t="n">
        <v>44179</v>
      </c>
      <c r="C2347" s="1" t="n">
        <v>45845</v>
      </c>
      <c r="D2347" t="inlineStr">
        <is>
          <t>KRONOBERGS LÄN</t>
        </is>
      </c>
      <c r="E2347" t="inlineStr">
        <is>
          <t>TINGSRYD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66771-2020</t>
        </is>
      </c>
      <c r="B2348" s="1" t="n">
        <v>44179</v>
      </c>
      <c r="C2348" s="1" t="n">
        <v>45845</v>
      </c>
      <c r="D2348" t="inlineStr">
        <is>
          <t>KRONOBERGS LÄN</t>
        </is>
      </c>
      <c r="E2348" t="inlineStr">
        <is>
          <t>TINGSRYD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66937-2020</t>
        </is>
      </c>
      <c r="B2349" s="1" t="n">
        <v>44180</v>
      </c>
      <c r="C2349" s="1" t="n">
        <v>45845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67045-2020</t>
        </is>
      </c>
      <c r="B2350" s="1" t="n">
        <v>44180</v>
      </c>
      <c r="C2350" s="1" t="n">
        <v>45845</v>
      </c>
      <c r="D2350" t="inlineStr">
        <is>
          <t>KRONOBERGS LÄN</t>
        </is>
      </c>
      <c r="E2350" t="inlineStr">
        <is>
          <t>TINGSRYD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67051-2020</t>
        </is>
      </c>
      <c r="B2351" s="1" t="n">
        <v>44180</v>
      </c>
      <c r="C2351" s="1" t="n">
        <v>45845</v>
      </c>
      <c r="D2351" t="inlineStr">
        <is>
          <t>KRONOBERGS LÄN</t>
        </is>
      </c>
      <c r="E2351" t="inlineStr">
        <is>
          <t>TINGSRYD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66942-2020</t>
        </is>
      </c>
      <c r="B2352" s="1" t="n">
        <v>44180</v>
      </c>
      <c r="C2352" s="1" t="n">
        <v>45845</v>
      </c>
      <c r="D2352" t="inlineStr">
        <is>
          <t>KRONOBERGS LÄN</t>
        </is>
      </c>
      <c r="E2352" t="inlineStr">
        <is>
          <t>LJUNGBY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67169-2020</t>
        </is>
      </c>
      <c r="B2353" s="1" t="n">
        <v>44180</v>
      </c>
      <c r="C2353" s="1" t="n">
        <v>45845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67201-2020</t>
        </is>
      </c>
      <c r="B2354" s="1" t="n">
        <v>44180</v>
      </c>
      <c r="C2354" s="1" t="n">
        <v>45845</v>
      </c>
      <c r="D2354" t="inlineStr">
        <is>
          <t>KRONOBERGS LÄN</t>
        </is>
      </c>
      <c r="E2354" t="inlineStr">
        <is>
          <t>LESSEBO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67160-2020</t>
        </is>
      </c>
      <c r="B2355" s="1" t="n">
        <v>44180</v>
      </c>
      <c r="C2355" s="1" t="n">
        <v>45845</v>
      </c>
      <c r="D2355" t="inlineStr">
        <is>
          <t>KRONOBERGS LÄN</t>
        </is>
      </c>
      <c r="E2355" t="inlineStr">
        <is>
          <t>TINGSRYD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67181-2020</t>
        </is>
      </c>
      <c r="B2356" s="1" t="n">
        <v>44180</v>
      </c>
      <c r="C2356" s="1" t="n">
        <v>45845</v>
      </c>
      <c r="D2356" t="inlineStr">
        <is>
          <t>KRONOBERGS LÄN</t>
        </is>
      </c>
      <c r="E2356" t="inlineStr">
        <is>
          <t>VÄXJÖ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67214-2020</t>
        </is>
      </c>
      <c r="B2357" s="1" t="n">
        <v>44180</v>
      </c>
      <c r="C2357" s="1" t="n">
        <v>45845</v>
      </c>
      <c r="D2357" t="inlineStr">
        <is>
          <t>KRONOBERGS LÄN</t>
        </is>
      </c>
      <c r="E2357" t="inlineStr">
        <is>
          <t>VÄXJÖ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67228-2020</t>
        </is>
      </c>
      <c r="B2358" s="1" t="n">
        <v>44180</v>
      </c>
      <c r="C2358" s="1" t="n">
        <v>45845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67247-2020</t>
        </is>
      </c>
      <c r="B2359" s="1" t="n">
        <v>44181</v>
      </c>
      <c r="C2359" s="1" t="n">
        <v>45845</v>
      </c>
      <c r="D2359" t="inlineStr">
        <is>
          <t>KRONOBERGS LÄN</t>
        </is>
      </c>
      <c r="E2359" t="inlineStr">
        <is>
          <t>LJUNGBY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67346-2020</t>
        </is>
      </c>
      <c r="B2360" s="1" t="n">
        <v>44181</v>
      </c>
      <c r="C2360" s="1" t="n">
        <v>45845</v>
      </c>
      <c r="D2360" t="inlineStr">
        <is>
          <t>KRONOBERGS LÄN</t>
        </is>
      </c>
      <c r="E2360" t="inlineStr">
        <is>
          <t>LJUNGBY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67366-2020</t>
        </is>
      </c>
      <c r="B2361" s="1" t="n">
        <v>44181</v>
      </c>
      <c r="C2361" s="1" t="n">
        <v>45845</v>
      </c>
      <c r="D2361" t="inlineStr">
        <is>
          <t>KRONOBERGS LÄN</t>
        </is>
      </c>
      <c r="E2361" t="inlineStr">
        <is>
          <t>TINGSRYD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67511-2020</t>
        </is>
      </c>
      <c r="B2362" s="1" t="n">
        <v>44181</v>
      </c>
      <c r="C2362" s="1" t="n">
        <v>45845</v>
      </c>
      <c r="D2362" t="inlineStr">
        <is>
          <t>KRONOBERGS LÄN</t>
        </is>
      </c>
      <c r="E2362" t="inlineStr">
        <is>
          <t>MARKARYD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67310-2020</t>
        </is>
      </c>
      <c r="B2363" s="1" t="n">
        <v>44181</v>
      </c>
      <c r="C2363" s="1" t="n">
        <v>45845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67311-2020</t>
        </is>
      </c>
      <c r="B2364" s="1" t="n">
        <v>44181</v>
      </c>
      <c r="C2364" s="1" t="n">
        <v>45845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67363-2020</t>
        </is>
      </c>
      <c r="B2365" s="1" t="n">
        <v>44181</v>
      </c>
      <c r="C2365" s="1" t="n">
        <v>45845</v>
      </c>
      <c r="D2365" t="inlineStr">
        <is>
          <t>KRONOBERGS LÄN</t>
        </is>
      </c>
      <c r="E2365" t="inlineStr">
        <is>
          <t>TINGSRYD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67569-2020</t>
        </is>
      </c>
      <c r="B2366" s="1" t="n">
        <v>44181</v>
      </c>
      <c r="C2366" s="1" t="n">
        <v>45845</v>
      </c>
      <c r="D2366" t="inlineStr">
        <is>
          <t>KRONOBERGS LÄN</t>
        </is>
      </c>
      <c r="E2366" t="inlineStr">
        <is>
          <t>LJUNGBY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67638-2020</t>
        </is>
      </c>
      <c r="B2367" s="1" t="n">
        <v>44182</v>
      </c>
      <c r="C2367" s="1" t="n">
        <v>45845</v>
      </c>
      <c r="D2367" t="inlineStr">
        <is>
          <t>KRONOBERGS LÄN</t>
        </is>
      </c>
      <c r="E2367" t="inlineStr">
        <is>
          <t>TINGSRYD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67984-2020</t>
        </is>
      </c>
      <c r="B2368" s="1" t="n">
        <v>44182</v>
      </c>
      <c r="C2368" s="1" t="n">
        <v>45845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67927-2020</t>
        </is>
      </c>
      <c r="B2369" s="1" t="n">
        <v>44182</v>
      </c>
      <c r="C2369" s="1" t="n">
        <v>45845</v>
      </c>
      <c r="D2369" t="inlineStr">
        <is>
          <t>KRONOBERGS LÄN</t>
        </is>
      </c>
      <c r="E2369" t="inlineStr">
        <is>
          <t>ALVESTA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68208-2020</t>
        </is>
      </c>
      <c r="B2370" s="1" t="n">
        <v>44183</v>
      </c>
      <c r="C2370" s="1" t="n">
        <v>45845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68255-2020</t>
        </is>
      </c>
      <c r="B2371" s="1" t="n">
        <v>44183</v>
      </c>
      <c r="C2371" s="1" t="n">
        <v>45845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68185-2020</t>
        </is>
      </c>
      <c r="B2372" s="1" t="n">
        <v>44183</v>
      </c>
      <c r="C2372" s="1" t="n">
        <v>45845</v>
      </c>
      <c r="D2372" t="inlineStr">
        <is>
          <t>KRONOBERGS LÄN</t>
        </is>
      </c>
      <c r="E2372" t="inlineStr">
        <is>
          <t>TINGSRYD</t>
        </is>
      </c>
      <c r="G2372" t="n">
        <v>7.3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68506-2020</t>
        </is>
      </c>
      <c r="B2373" s="1" t="n">
        <v>44183</v>
      </c>
      <c r="C2373" s="1" t="n">
        <v>45845</v>
      </c>
      <c r="D2373" t="inlineStr">
        <is>
          <t>KRONOBERGS LÄN</t>
        </is>
      </c>
      <c r="E2373" t="inlineStr">
        <is>
          <t>TINGSRYD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68337-2020</t>
        </is>
      </c>
      <c r="B2374" s="1" t="n">
        <v>44186</v>
      </c>
      <c r="C2374" s="1" t="n">
        <v>45845</v>
      </c>
      <c r="D2374" t="inlineStr">
        <is>
          <t>KRONOBERGS LÄN</t>
        </is>
      </c>
      <c r="E2374" t="inlineStr">
        <is>
          <t>LJUNGBY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68335-2020</t>
        </is>
      </c>
      <c r="B2375" s="1" t="n">
        <v>44186</v>
      </c>
      <c r="C2375" s="1" t="n">
        <v>45845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68343-2020</t>
        </is>
      </c>
      <c r="B2376" s="1" t="n">
        <v>44186</v>
      </c>
      <c r="C2376" s="1" t="n">
        <v>45845</v>
      </c>
      <c r="D2376" t="inlineStr">
        <is>
          <t>KRONOBERGS LÄN</t>
        </is>
      </c>
      <c r="E2376" t="inlineStr">
        <is>
          <t>ALVESTA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68401-2020</t>
        </is>
      </c>
      <c r="B2377" s="1" t="n">
        <v>44186</v>
      </c>
      <c r="C2377" s="1" t="n">
        <v>45845</v>
      </c>
      <c r="D2377" t="inlineStr">
        <is>
          <t>KRONOBERGS LÄN</t>
        </is>
      </c>
      <c r="E2377" t="inlineStr">
        <is>
          <t>TINGSRYD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68336-2020</t>
        </is>
      </c>
      <c r="B2378" s="1" t="n">
        <v>44186</v>
      </c>
      <c r="C2378" s="1" t="n">
        <v>45845</v>
      </c>
      <c r="D2378" t="inlineStr">
        <is>
          <t>KRONOBERGS LÄN</t>
        </is>
      </c>
      <c r="E2378" t="inlineStr">
        <is>
          <t>LJUNGBY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68541-2020</t>
        </is>
      </c>
      <c r="B2379" s="1" t="n">
        <v>44186</v>
      </c>
      <c r="C2379" s="1" t="n">
        <v>45845</v>
      </c>
      <c r="D2379" t="inlineStr">
        <is>
          <t>KRONOBERGS LÄN</t>
        </is>
      </c>
      <c r="E2379" t="inlineStr">
        <is>
          <t>ALVESTA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68742-2020</t>
        </is>
      </c>
      <c r="B2380" s="1" t="n">
        <v>44186</v>
      </c>
      <c r="C2380" s="1" t="n">
        <v>45845</v>
      </c>
      <c r="D2380" t="inlineStr">
        <is>
          <t>KRONOBERGS LÄN</t>
        </is>
      </c>
      <c r="E2380" t="inlineStr">
        <is>
          <t>TINGSRYD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68334-2020</t>
        </is>
      </c>
      <c r="B2381" s="1" t="n">
        <v>44186</v>
      </c>
      <c r="C2381" s="1" t="n">
        <v>45845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68804-2020</t>
        </is>
      </c>
      <c r="B2382" s="1" t="n">
        <v>44187</v>
      </c>
      <c r="C2382" s="1" t="n">
        <v>45845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68683-2020</t>
        </is>
      </c>
      <c r="B2383" s="1" t="n">
        <v>44187</v>
      </c>
      <c r="C2383" s="1" t="n">
        <v>45845</v>
      </c>
      <c r="D2383" t="inlineStr">
        <is>
          <t>KRONOBERGS LÄN</t>
        </is>
      </c>
      <c r="E2383" t="inlineStr">
        <is>
          <t>TINGSRYD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68802-2020</t>
        </is>
      </c>
      <c r="B2384" s="1" t="n">
        <v>44187</v>
      </c>
      <c r="C2384" s="1" t="n">
        <v>45845</v>
      </c>
      <c r="D2384" t="inlineStr">
        <is>
          <t>KRONOBERGS LÄN</t>
        </is>
      </c>
      <c r="E2384" t="inlineStr">
        <is>
          <t>LJUNGBY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68761-2020</t>
        </is>
      </c>
      <c r="B2385" s="1" t="n">
        <v>44187</v>
      </c>
      <c r="C2385" s="1" t="n">
        <v>45845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68940-2020</t>
        </is>
      </c>
      <c r="B2386" s="1" t="n">
        <v>44187</v>
      </c>
      <c r="C2386" s="1" t="n">
        <v>45845</v>
      </c>
      <c r="D2386" t="inlineStr">
        <is>
          <t>KRONOBERGS LÄN</t>
        </is>
      </c>
      <c r="E2386" t="inlineStr">
        <is>
          <t>LJUNGBY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68952-2020</t>
        </is>
      </c>
      <c r="B2387" s="1" t="n">
        <v>44187</v>
      </c>
      <c r="C2387" s="1" t="n">
        <v>45845</v>
      </c>
      <c r="D2387" t="inlineStr">
        <is>
          <t>KRONOBERGS LÄN</t>
        </is>
      </c>
      <c r="E2387" t="inlineStr">
        <is>
          <t>VÄXJÖ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69127-2020</t>
        </is>
      </c>
      <c r="B2388" s="1" t="n">
        <v>44188</v>
      </c>
      <c r="C2388" s="1" t="n">
        <v>45845</v>
      </c>
      <c r="D2388" t="inlineStr">
        <is>
          <t>KRONOBERGS LÄN</t>
        </is>
      </c>
      <c r="E2388" t="inlineStr">
        <is>
          <t>ALVESTA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69236-2020</t>
        </is>
      </c>
      <c r="B2389" s="1" t="n">
        <v>44192</v>
      </c>
      <c r="C2389" s="1" t="n">
        <v>45845</v>
      </c>
      <c r="D2389" t="inlineStr">
        <is>
          <t>KRONOBERGS LÄN</t>
        </is>
      </c>
      <c r="E2389" t="inlineStr">
        <is>
          <t>ÄLMHULT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69274-2020</t>
        </is>
      </c>
      <c r="B2390" s="1" t="n">
        <v>44193</v>
      </c>
      <c r="C2390" s="1" t="n">
        <v>45845</v>
      </c>
      <c r="D2390" t="inlineStr">
        <is>
          <t>KRONOBERGS LÄN</t>
        </is>
      </c>
      <c r="E2390" t="inlineStr">
        <is>
          <t>MARKARYD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69272-2020</t>
        </is>
      </c>
      <c r="B2391" s="1" t="n">
        <v>44193</v>
      </c>
      <c r="C2391" s="1" t="n">
        <v>45845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69280-2020</t>
        </is>
      </c>
      <c r="B2392" s="1" t="n">
        <v>44193</v>
      </c>
      <c r="C2392" s="1" t="n">
        <v>45845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69396-2020</t>
        </is>
      </c>
      <c r="B2393" s="1" t="n">
        <v>44193</v>
      </c>
      <c r="C2393" s="1" t="n">
        <v>45845</v>
      </c>
      <c r="D2393" t="inlineStr">
        <is>
          <t>KRONOBERGS LÄN</t>
        </is>
      </c>
      <c r="E2393" t="inlineStr">
        <is>
          <t>VÄXJÖ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69278-2020</t>
        </is>
      </c>
      <c r="B2394" s="1" t="n">
        <v>44193</v>
      </c>
      <c r="C2394" s="1" t="n">
        <v>45845</v>
      </c>
      <c r="D2394" t="inlineStr">
        <is>
          <t>KRONOBERGS LÄN</t>
        </is>
      </c>
      <c r="E2394" t="inlineStr">
        <is>
          <t>MARKARYD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69357-2020</t>
        </is>
      </c>
      <c r="B2395" s="1" t="n">
        <v>44193</v>
      </c>
      <c r="C2395" s="1" t="n">
        <v>45845</v>
      </c>
      <c r="D2395" t="inlineStr">
        <is>
          <t>KRONOBERGS LÄN</t>
        </is>
      </c>
      <c r="E2395" t="inlineStr">
        <is>
          <t>UPPVIDINGE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69400-2020</t>
        </is>
      </c>
      <c r="B2396" s="1" t="n">
        <v>44193</v>
      </c>
      <c r="C2396" s="1" t="n">
        <v>45845</v>
      </c>
      <c r="D2396" t="inlineStr">
        <is>
          <t>KRONOBERGS LÄN</t>
        </is>
      </c>
      <c r="E2396" t="inlineStr">
        <is>
          <t>VÄXJÖ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69521-2020</t>
        </is>
      </c>
      <c r="B2397" s="1" t="n">
        <v>44194</v>
      </c>
      <c r="C2397" s="1" t="n">
        <v>45845</v>
      </c>
      <c r="D2397" t="inlineStr">
        <is>
          <t>KRONOBERGS LÄN</t>
        </is>
      </c>
      <c r="E2397" t="inlineStr">
        <is>
          <t>VÄXJÖ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69427-2020</t>
        </is>
      </c>
      <c r="B2398" s="1" t="n">
        <v>44194</v>
      </c>
      <c r="C2398" s="1" t="n">
        <v>45845</v>
      </c>
      <c r="D2398" t="inlineStr">
        <is>
          <t>KRONOBERGS LÄN</t>
        </is>
      </c>
      <c r="E2398" t="inlineStr">
        <is>
          <t>ÄLMHULT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69518-2020</t>
        </is>
      </c>
      <c r="B2399" s="1" t="n">
        <v>44194</v>
      </c>
      <c r="C2399" s="1" t="n">
        <v>45845</v>
      </c>
      <c r="D2399" t="inlineStr">
        <is>
          <t>KRONOBERGS LÄN</t>
        </is>
      </c>
      <c r="E2399" t="inlineStr">
        <is>
          <t>VÄXJÖ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69524-2020</t>
        </is>
      </c>
      <c r="B2400" s="1" t="n">
        <v>44194</v>
      </c>
      <c r="C2400" s="1" t="n">
        <v>45845</v>
      </c>
      <c r="D2400" t="inlineStr">
        <is>
          <t>KRONOBERGS LÄN</t>
        </is>
      </c>
      <c r="E2400" t="inlineStr">
        <is>
          <t>VÄXJÖ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69541-2020</t>
        </is>
      </c>
      <c r="B2401" s="1" t="n">
        <v>44194</v>
      </c>
      <c r="C2401" s="1" t="n">
        <v>45845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69558-2020</t>
        </is>
      </c>
      <c r="B2402" s="1" t="n">
        <v>44194</v>
      </c>
      <c r="C2402" s="1" t="n">
        <v>45845</v>
      </c>
      <c r="D2402" t="inlineStr">
        <is>
          <t>KRONOBERGS LÄN</t>
        </is>
      </c>
      <c r="E2402" t="inlineStr">
        <is>
          <t>LJUNGBY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69652-2020</t>
        </is>
      </c>
      <c r="B2403" s="1" t="n">
        <v>44195</v>
      </c>
      <c r="C2403" s="1" t="n">
        <v>45845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44-2021</t>
        </is>
      </c>
      <c r="B2404" s="1" t="n">
        <v>44199</v>
      </c>
      <c r="C2404" s="1" t="n">
        <v>45845</v>
      </c>
      <c r="D2404" t="inlineStr">
        <is>
          <t>KRONOBERGS LÄN</t>
        </is>
      </c>
      <c r="E2404" t="inlineStr">
        <is>
          <t>TINGSRYD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134-2021</t>
        </is>
      </c>
      <c r="B2405" s="1" t="n">
        <v>44200</v>
      </c>
      <c r="C2405" s="1" t="n">
        <v>45845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165-2021</t>
        </is>
      </c>
      <c r="B2406" s="1" t="n">
        <v>44200</v>
      </c>
      <c r="C2406" s="1" t="n">
        <v>45845</v>
      </c>
      <c r="D2406" t="inlineStr">
        <is>
          <t>KRONOBERGS LÄN</t>
        </is>
      </c>
      <c r="E2406" t="inlineStr">
        <is>
          <t>ALVESTA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186-2021</t>
        </is>
      </c>
      <c r="B2407" s="1" t="n">
        <v>44200</v>
      </c>
      <c r="C2407" s="1" t="n">
        <v>45845</v>
      </c>
      <c r="D2407" t="inlineStr">
        <is>
          <t>KRONOBERGS LÄN</t>
        </is>
      </c>
      <c r="E2407" t="inlineStr">
        <is>
          <t>ALVESTA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182-2021</t>
        </is>
      </c>
      <c r="B2408" s="1" t="n">
        <v>44200</v>
      </c>
      <c r="C2408" s="1" t="n">
        <v>45845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187-2021</t>
        </is>
      </c>
      <c r="B2409" s="1" t="n">
        <v>44200</v>
      </c>
      <c r="C2409" s="1" t="n">
        <v>45845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178-2021</t>
        </is>
      </c>
      <c r="B2410" s="1" t="n">
        <v>44200</v>
      </c>
      <c r="C2410" s="1" t="n">
        <v>45845</v>
      </c>
      <c r="D2410" t="inlineStr">
        <is>
          <t>KRONOBERGS LÄN</t>
        </is>
      </c>
      <c r="E2410" t="inlineStr">
        <is>
          <t>MARKARYD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192-2021</t>
        </is>
      </c>
      <c r="B2411" s="1" t="n">
        <v>44200</v>
      </c>
      <c r="C2411" s="1" t="n">
        <v>45845</v>
      </c>
      <c r="D2411" t="inlineStr">
        <is>
          <t>KRONOBERGS LÄN</t>
        </is>
      </c>
      <c r="E2411" t="inlineStr">
        <is>
          <t>MARKARYD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295-2021</t>
        </is>
      </c>
      <c r="B2412" s="1" t="n">
        <v>44200</v>
      </c>
      <c r="C2412" s="1" t="n">
        <v>45845</v>
      </c>
      <c r="D2412" t="inlineStr">
        <is>
          <t>KRONOBERGS LÄN</t>
        </is>
      </c>
      <c r="E2412" t="inlineStr">
        <is>
          <t>LESSEBO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292-2021</t>
        </is>
      </c>
      <c r="B2413" s="1" t="n">
        <v>44200</v>
      </c>
      <c r="C2413" s="1" t="n">
        <v>45845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908-2021</t>
        </is>
      </c>
      <c r="B2414" s="1" t="n">
        <v>44200</v>
      </c>
      <c r="C2414" s="1" t="n">
        <v>45845</v>
      </c>
      <c r="D2414" t="inlineStr">
        <is>
          <t>KRONOBERGS LÄN</t>
        </is>
      </c>
      <c r="E2414" t="inlineStr">
        <is>
          <t>MARKARYD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431-2021</t>
        </is>
      </c>
      <c r="B2415" s="1" t="n">
        <v>44201</v>
      </c>
      <c r="C2415" s="1" t="n">
        <v>45845</v>
      </c>
      <c r="D2415" t="inlineStr">
        <is>
          <t>KRONOBERGS LÄN</t>
        </is>
      </c>
      <c r="E2415" t="inlineStr">
        <is>
          <t>VÄXJÖ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474-2021</t>
        </is>
      </c>
      <c r="B2416" s="1" t="n">
        <v>44201</v>
      </c>
      <c r="C2416" s="1" t="n">
        <v>45845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482-2021</t>
        </is>
      </c>
      <c r="B2417" s="1" t="n">
        <v>44201</v>
      </c>
      <c r="C2417" s="1" t="n">
        <v>45845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422-2021</t>
        </is>
      </c>
      <c r="B2418" s="1" t="n">
        <v>44201</v>
      </c>
      <c r="C2418" s="1" t="n">
        <v>45845</v>
      </c>
      <c r="D2418" t="inlineStr">
        <is>
          <t>KRONOBERGS LÄN</t>
        </is>
      </c>
      <c r="E2418" t="inlineStr">
        <is>
          <t>VÄXJÖ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480-2021</t>
        </is>
      </c>
      <c r="B2419" s="1" t="n">
        <v>44201</v>
      </c>
      <c r="C2419" s="1" t="n">
        <v>45845</v>
      </c>
      <c r="D2419" t="inlineStr">
        <is>
          <t>KRONOBERGS LÄN</t>
        </is>
      </c>
      <c r="E2419" t="inlineStr">
        <is>
          <t>UPPVIDINGE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328-2021</t>
        </is>
      </c>
      <c r="B2420" s="1" t="n">
        <v>44201</v>
      </c>
      <c r="C2420" s="1" t="n">
        <v>45845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476-2021</t>
        </is>
      </c>
      <c r="B2421" s="1" t="n">
        <v>44201</v>
      </c>
      <c r="C2421" s="1" t="n">
        <v>45845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483-2021</t>
        </is>
      </c>
      <c r="B2422" s="1" t="n">
        <v>44201</v>
      </c>
      <c r="C2422" s="1" t="n">
        <v>45845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479-2021</t>
        </is>
      </c>
      <c r="B2423" s="1" t="n">
        <v>44201</v>
      </c>
      <c r="C2423" s="1" t="n">
        <v>45845</v>
      </c>
      <c r="D2423" t="inlineStr">
        <is>
          <t>KRONOBERGS LÄN</t>
        </is>
      </c>
      <c r="E2423" t="inlineStr">
        <is>
          <t>UPPVIDINGE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486-2021</t>
        </is>
      </c>
      <c r="B2424" s="1" t="n">
        <v>44201</v>
      </c>
      <c r="C2424" s="1" t="n">
        <v>45845</v>
      </c>
      <c r="D2424" t="inlineStr">
        <is>
          <t>KRONOBERGS LÄN</t>
        </is>
      </c>
      <c r="E2424" t="inlineStr">
        <is>
          <t>UPPVIDINGE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632-2021</t>
        </is>
      </c>
      <c r="B2425" s="1" t="n">
        <v>44202</v>
      </c>
      <c r="C2425" s="1" t="n">
        <v>45845</v>
      </c>
      <c r="D2425" t="inlineStr">
        <is>
          <t>KRONOBERGS LÄN</t>
        </is>
      </c>
      <c r="E2425" t="inlineStr">
        <is>
          <t>UPPVIDINGE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706-2021</t>
        </is>
      </c>
      <c r="B2426" s="1" t="n">
        <v>44203</v>
      </c>
      <c r="C2426" s="1" t="n">
        <v>45845</v>
      </c>
      <c r="D2426" t="inlineStr">
        <is>
          <t>KRONOBERGS LÄN</t>
        </is>
      </c>
      <c r="E2426" t="inlineStr">
        <is>
          <t>LJUNGBY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851-2021</t>
        </is>
      </c>
      <c r="B2427" s="1" t="n">
        <v>44204</v>
      </c>
      <c r="C2427" s="1" t="n">
        <v>45845</v>
      </c>
      <c r="D2427" t="inlineStr">
        <is>
          <t>KRONOBERGS LÄN</t>
        </is>
      </c>
      <c r="E2427" t="inlineStr">
        <is>
          <t>VÄXJÖ</t>
        </is>
      </c>
      <c r="F2427" t="inlineStr">
        <is>
          <t>Kyrkan</t>
        </is>
      </c>
      <c r="G2427" t="n">
        <v>9.300000000000001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850-2021</t>
        </is>
      </c>
      <c r="B2428" s="1" t="n">
        <v>44204</v>
      </c>
      <c r="C2428" s="1" t="n">
        <v>45845</v>
      </c>
      <c r="D2428" t="inlineStr">
        <is>
          <t>KRONOBERGS LÄN</t>
        </is>
      </c>
      <c r="E2428" t="inlineStr">
        <is>
          <t>LJUNGBY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1117-2021</t>
        </is>
      </c>
      <c r="B2429" s="1" t="n">
        <v>44207</v>
      </c>
      <c r="C2429" s="1" t="n">
        <v>45845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926-2021</t>
        </is>
      </c>
      <c r="B2430" s="1" t="n">
        <v>44207</v>
      </c>
      <c r="C2430" s="1" t="n">
        <v>45845</v>
      </c>
      <c r="D2430" t="inlineStr">
        <is>
          <t>KRONOBERGS LÄN</t>
        </is>
      </c>
      <c r="E2430" t="inlineStr">
        <is>
          <t>ALVESTA</t>
        </is>
      </c>
      <c r="F2430" t="inlineStr">
        <is>
          <t>Kommuner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914-2021</t>
        </is>
      </c>
      <c r="B2431" s="1" t="n">
        <v>44207</v>
      </c>
      <c r="C2431" s="1" t="n">
        <v>45845</v>
      </c>
      <c r="D2431" t="inlineStr">
        <is>
          <t>KRONOBERGS LÄN</t>
        </is>
      </c>
      <c r="E2431" t="inlineStr">
        <is>
          <t>VÄXJÖ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923-2021</t>
        </is>
      </c>
      <c r="B2432" s="1" t="n">
        <v>44207</v>
      </c>
      <c r="C2432" s="1" t="n">
        <v>45845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1092-2021</t>
        </is>
      </c>
      <c r="B2433" s="1" t="n">
        <v>44207</v>
      </c>
      <c r="C2433" s="1" t="n">
        <v>45845</v>
      </c>
      <c r="D2433" t="inlineStr">
        <is>
          <t>KRONOBERGS LÄN</t>
        </is>
      </c>
      <c r="E2433" t="inlineStr">
        <is>
          <t>TINGSRYD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924-2021</t>
        </is>
      </c>
      <c r="B2434" s="1" t="n">
        <v>44207</v>
      </c>
      <c r="C2434" s="1" t="n">
        <v>45845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1116-2021</t>
        </is>
      </c>
      <c r="B2435" s="1" t="n">
        <v>44207</v>
      </c>
      <c r="C2435" s="1" t="n">
        <v>45845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1099-2021</t>
        </is>
      </c>
      <c r="B2436" s="1" t="n">
        <v>44207</v>
      </c>
      <c r="C2436" s="1" t="n">
        <v>45845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1115-2021</t>
        </is>
      </c>
      <c r="B2437" s="1" t="n">
        <v>44207</v>
      </c>
      <c r="C2437" s="1" t="n">
        <v>45845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1163-2021</t>
        </is>
      </c>
      <c r="B2438" s="1" t="n">
        <v>44207</v>
      </c>
      <c r="C2438" s="1" t="n">
        <v>45845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1361-2021</t>
        </is>
      </c>
      <c r="B2439" s="1" t="n">
        <v>44208</v>
      </c>
      <c r="C2439" s="1" t="n">
        <v>45845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1360-2021</t>
        </is>
      </c>
      <c r="B2440" s="1" t="n">
        <v>44208</v>
      </c>
      <c r="C2440" s="1" t="n">
        <v>45845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1663-2021</t>
        </is>
      </c>
      <c r="B2441" s="1" t="n">
        <v>44209</v>
      </c>
      <c r="C2441" s="1" t="n">
        <v>45845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1548-2021</t>
        </is>
      </c>
      <c r="B2442" s="1" t="n">
        <v>44209</v>
      </c>
      <c r="C2442" s="1" t="n">
        <v>45845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1647-2021</t>
        </is>
      </c>
      <c r="B2443" s="1" t="n">
        <v>44209</v>
      </c>
      <c r="C2443" s="1" t="n">
        <v>45845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1692-2021</t>
        </is>
      </c>
      <c r="B2444" s="1" t="n">
        <v>44209</v>
      </c>
      <c r="C2444" s="1" t="n">
        <v>45845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1511-2021</t>
        </is>
      </c>
      <c r="B2445" s="1" t="n">
        <v>44209</v>
      </c>
      <c r="C2445" s="1" t="n">
        <v>45845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1576-2021</t>
        </is>
      </c>
      <c r="B2446" s="1" t="n">
        <v>44209</v>
      </c>
      <c r="C2446" s="1" t="n">
        <v>45845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1668-2021</t>
        </is>
      </c>
      <c r="B2447" s="1" t="n">
        <v>44209</v>
      </c>
      <c r="C2447" s="1" t="n">
        <v>45845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1813-2021</t>
        </is>
      </c>
      <c r="B2448" s="1" t="n">
        <v>44209</v>
      </c>
      <c r="C2448" s="1" t="n">
        <v>45845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1798-2021</t>
        </is>
      </c>
      <c r="B2449" s="1" t="n">
        <v>44210</v>
      </c>
      <c r="C2449" s="1" t="n">
        <v>45845</v>
      </c>
      <c r="D2449" t="inlineStr">
        <is>
          <t>KRONOBERGS LÄN</t>
        </is>
      </c>
      <c r="E2449" t="inlineStr">
        <is>
          <t>LESSEBO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1805-2021</t>
        </is>
      </c>
      <c r="B2450" s="1" t="n">
        <v>44210</v>
      </c>
      <c r="C2450" s="1" t="n">
        <v>45845</v>
      </c>
      <c r="D2450" t="inlineStr">
        <is>
          <t>KRONOBERGS LÄN</t>
        </is>
      </c>
      <c r="E2450" t="inlineStr">
        <is>
          <t>LESSEBO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1788-2021</t>
        </is>
      </c>
      <c r="B2451" s="1" t="n">
        <v>44210</v>
      </c>
      <c r="C2451" s="1" t="n">
        <v>45845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1786-2021</t>
        </is>
      </c>
      <c r="B2452" s="1" t="n">
        <v>44210</v>
      </c>
      <c r="C2452" s="1" t="n">
        <v>45845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1952-2021</t>
        </is>
      </c>
      <c r="B2453" s="1" t="n">
        <v>44210</v>
      </c>
      <c r="C2453" s="1" t="n">
        <v>45845</v>
      </c>
      <c r="D2453" t="inlineStr">
        <is>
          <t>KRONOBERGS LÄN</t>
        </is>
      </c>
      <c r="E2453" t="inlineStr">
        <is>
          <t>VÄXJÖ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1972-2021</t>
        </is>
      </c>
      <c r="B2454" s="1" t="n">
        <v>44210</v>
      </c>
      <c r="C2454" s="1" t="n">
        <v>45845</v>
      </c>
      <c r="D2454" t="inlineStr">
        <is>
          <t>KRONOBERGS LÄN</t>
        </is>
      </c>
      <c r="E2454" t="inlineStr">
        <is>
          <t>VÄXJÖ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1981-2021</t>
        </is>
      </c>
      <c r="B2455" s="1" t="n">
        <v>44210</v>
      </c>
      <c r="C2455" s="1" t="n">
        <v>45845</v>
      </c>
      <c r="D2455" t="inlineStr">
        <is>
          <t>KRONOBERGS LÄN</t>
        </is>
      </c>
      <c r="E2455" t="inlineStr">
        <is>
          <t>ALVESTA</t>
        </is>
      </c>
      <c r="F2455" t="inlineStr">
        <is>
          <t>Kyrkan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2146-2021</t>
        </is>
      </c>
      <c r="B2456" s="1" t="n">
        <v>44211</v>
      </c>
      <c r="C2456" s="1" t="n">
        <v>45845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2111-2021</t>
        </is>
      </c>
      <c r="B2457" s="1" t="n">
        <v>44211</v>
      </c>
      <c r="C2457" s="1" t="n">
        <v>45845</v>
      </c>
      <c r="D2457" t="inlineStr">
        <is>
          <t>KRONOBERGS LÄN</t>
        </is>
      </c>
      <c r="E2457" t="inlineStr">
        <is>
          <t>ÄLMHULT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2255-2021</t>
        </is>
      </c>
      <c r="B2458" s="1" t="n">
        <v>44211</v>
      </c>
      <c r="C2458" s="1" t="n">
        <v>45845</v>
      </c>
      <c r="D2458" t="inlineStr">
        <is>
          <t>KRONOBERGS LÄN</t>
        </is>
      </c>
      <c r="E2458" t="inlineStr">
        <is>
          <t>VÄXJÖ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2056-2021</t>
        </is>
      </c>
      <c r="B2459" s="1" t="n">
        <v>44211</v>
      </c>
      <c r="C2459" s="1" t="n">
        <v>45845</v>
      </c>
      <c r="D2459" t="inlineStr">
        <is>
          <t>KRONOBERGS LÄN</t>
        </is>
      </c>
      <c r="E2459" t="inlineStr">
        <is>
          <t>TINGSRYD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2257-2021</t>
        </is>
      </c>
      <c r="B2460" s="1" t="n">
        <v>44211</v>
      </c>
      <c r="C2460" s="1" t="n">
        <v>45845</v>
      </c>
      <c r="D2460" t="inlineStr">
        <is>
          <t>KRONOBERGS LÄN</t>
        </is>
      </c>
      <c r="E2460" t="inlineStr">
        <is>
          <t>LJUNGBY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2277-2021</t>
        </is>
      </c>
      <c r="B2461" s="1" t="n">
        <v>44211</v>
      </c>
      <c r="C2461" s="1" t="n">
        <v>45845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2475-2021</t>
        </is>
      </c>
      <c r="B2462" s="1" t="n">
        <v>44214</v>
      </c>
      <c r="C2462" s="1" t="n">
        <v>45845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2459-2021</t>
        </is>
      </c>
      <c r="B2463" s="1" t="n">
        <v>44214</v>
      </c>
      <c r="C2463" s="1" t="n">
        <v>45845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2785-2021</t>
        </is>
      </c>
      <c r="B2464" s="1" t="n">
        <v>44215</v>
      </c>
      <c r="C2464" s="1" t="n">
        <v>45845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2795-2021</t>
        </is>
      </c>
      <c r="B2465" s="1" t="n">
        <v>44215</v>
      </c>
      <c r="C2465" s="1" t="n">
        <v>45845</v>
      </c>
      <c r="D2465" t="inlineStr">
        <is>
          <t>KRONOBERGS LÄN</t>
        </is>
      </c>
      <c r="E2465" t="inlineStr">
        <is>
          <t>MARKARYD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2906-2021</t>
        </is>
      </c>
      <c r="B2466" s="1" t="n">
        <v>44216</v>
      </c>
      <c r="C2466" s="1" t="n">
        <v>45845</v>
      </c>
      <c r="D2466" t="inlineStr">
        <is>
          <t>KRONOBERGS LÄN</t>
        </is>
      </c>
      <c r="E2466" t="inlineStr">
        <is>
          <t>ALVESTA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2895-2021</t>
        </is>
      </c>
      <c r="B2467" s="1" t="n">
        <v>44216</v>
      </c>
      <c r="C2467" s="1" t="n">
        <v>45845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3083-2021</t>
        </is>
      </c>
      <c r="B2468" s="1" t="n">
        <v>44216</v>
      </c>
      <c r="C2468" s="1" t="n">
        <v>45845</v>
      </c>
      <c r="D2468" t="inlineStr">
        <is>
          <t>KRONOBERGS LÄN</t>
        </is>
      </c>
      <c r="E2468" t="inlineStr">
        <is>
          <t>ALVESTA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3020-2021</t>
        </is>
      </c>
      <c r="B2469" s="1" t="n">
        <v>44216</v>
      </c>
      <c r="C2469" s="1" t="n">
        <v>45845</v>
      </c>
      <c r="D2469" t="inlineStr">
        <is>
          <t>KRONOBERGS LÄN</t>
        </is>
      </c>
      <c r="E2469" t="inlineStr">
        <is>
          <t>LESSEBO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2898-2021</t>
        </is>
      </c>
      <c r="B2470" s="1" t="n">
        <v>44216</v>
      </c>
      <c r="C2470" s="1" t="n">
        <v>45845</v>
      </c>
      <c r="D2470" t="inlineStr">
        <is>
          <t>KRONOBERGS LÄN</t>
        </is>
      </c>
      <c r="E2470" t="inlineStr">
        <is>
          <t>VÄXJÖ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3105-2021</t>
        </is>
      </c>
      <c r="B2471" s="1" t="n">
        <v>44217</v>
      </c>
      <c r="C2471" s="1" t="n">
        <v>45845</v>
      </c>
      <c r="D2471" t="inlineStr">
        <is>
          <t>KRONOBERGS LÄN</t>
        </is>
      </c>
      <c r="E2471" t="inlineStr">
        <is>
          <t>MARKARYD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3168-2021</t>
        </is>
      </c>
      <c r="B2472" s="1" t="n">
        <v>44217</v>
      </c>
      <c r="C2472" s="1" t="n">
        <v>45845</v>
      </c>
      <c r="D2472" t="inlineStr">
        <is>
          <t>KRONOBERGS LÄN</t>
        </is>
      </c>
      <c r="E2472" t="inlineStr">
        <is>
          <t>UPPVIDINGE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3379-2021</t>
        </is>
      </c>
      <c r="B2473" s="1" t="n">
        <v>44218</v>
      </c>
      <c r="C2473" s="1" t="n">
        <v>45845</v>
      </c>
      <c r="D2473" t="inlineStr">
        <is>
          <t>KRONOBERGS LÄN</t>
        </is>
      </c>
      <c r="E2473" t="inlineStr">
        <is>
          <t>LESSEBO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3415-2021</t>
        </is>
      </c>
      <c r="B2474" s="1" t="n">
        <v>44218</v>
      </c>
      <c r="C2474" s="1" t="n">
        <v>45845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4190-2021</t>
        </is>
      </c>
      <c r="B2475" s="1" t="n">
        <v>44218</v>
      </c>
      <c r="C2475" s="1" t="n">
        <v>45845</v>
      </c>
      <c r="D2475" t="inlineStr">
        <is>
          <t>KRONOBERGS LÄN</t>
        </is>
      </c>
      <c r="E2475" t="inlineStr">
        <is>
          <t>TINGSRYD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3587-2021</t>
        </is>
      </c>
      <c r="B2476" s="1" t="n">
        <v>44220</v>
      </c>
      <c r="C2476" s="1" t="n">
        <v>45845</v>
      </c>
      <c r="D2476" t="inlineStr">
        <is>
          <t>KRONOBERGS LÄN</t>
        </is>
      </c>
      <c r="E2476" t="inlineStr">
        <is>
          <t>TINGSRYD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3623-2021</t>
        </is>
      </c>
      <c r="B2477" s="1" t="n">
        <v>44221</v>
      </c>
      <c r="C2477" s="1" t="n">
        <v>45845</v>
      </c>
      <c r="D2477" t="inlineStr">
        <is>
          <t>KRONOBERGS LÄN</t>
        </is>
      </c>
      <c r="E2477" t="inlineStr">
        <is>
          <t>LJUNGBY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3636-2021</t>
        </is>
      </c>
      <c r="B2478" s="1" t="n">
        <v>44221</v>
      </c>
      <c r="C2478" s="1" t="n">
        <v>45845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4163-2021</t>
        </is>
      </c>
      <c r="B2479" s="1" t="n">
        <v>44221</v>
      </c>
      <c r="C2479" s="1" t="n">
        <v>45845</v>
      </c>
      <c r="D2479" t="inlineStr">
        <is>
          <t>KRONOBERGS LÄN</t>
        </is>
      </c>
      <c r="E2479" t="inlineStr">
        <is>
          <t>ÄLMHULT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4156-2021</t>
        </is>
      </c>
      <c r="B2480" s="1" t="n">
        <v>44221</v>
      </c>
      <c r="C2480" s="1" t="n">
        <v>45845</v>
      </c>
      <c r="D2480" t="inlineStr">
        <is>
          <t>KRONOBERGS LÄN</t>
        </is>
      </c>
      <c r="E2480" t="inlineStr">
        <is>
          <t>ÄLMHULT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4152-2021</t>
        </is>
      </c>
      <c r="B2481" s="1" t="n">
        <v>44221</v>
      </c>
      <c r="C2481" s="1" t="n">
        <v>45845</v>
      </c>
      <c r="D2481" t="inlineStr">
        <is>
          <t>KRONOBERGS LÄN</t>
        </is>
      </c>
      <c r="E2481" t="inlineStr">
        <is>
          <t>ÄLMHULT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4170-2021</t>
        </is>
      </c>
      <c r="B2482" s="1" t="n">
        <v>44221</v>
      </c>
      <c r="C2482" s="1" t="n">
        <v>45845</v>
      </c>
      <c r="D2482" t="inlineStr">
        <is>
          <t>KRONOBERGS LÄN</t>
        </is>
      </c>
      <c r="E2482" t="inlineStr">
        <is>
          <t>ÄLMHULT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3819-2021</t>
        </is>
      </c>
      <c r="B2483" s="1" t="n">
        <v>44222</v>
      </c>
      <c r="C2483" s="1" t="n">
        <v>45845</v>
      </c>
      <c r="D2483" t="inlineStr">
        <is>
          <t>KRONOBERGS LÄN</t>
        </is>
      </c>
      <c r="E2483" t="inlineStr">
        <is>
          <t>ALVESTA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4089-2021</t>
        </is>
      </c>
      <c r="B2484" s="1" t="n">
        <v>44222</v>
      </c>
      <c r="C2484" s="1" t="n">
        <v>45845</v>
      </c>
      <c r="D2484" t="inlineStr">
        <is>
          <t>KRONOBERGS LÄN</t>
        </is>
      </c>
      <c r="E2484" t="inlineStr">
        <is>
          <t>MARKARYD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4383-2021</t>
        </is>
      </c>
      <c r="B2485" s="1" t="n">
        <v>44223</v>
      </c>
      <c r="C2485" s="1" t="n">
        <v>45845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4269-2021</t>
        </is>
      </c>
      <c r="B2486" s="1" t="n">
        <v>44223</v>
      </c>
      <c r="C2486" s="1" t="n">
        <v>45845</v>
      </c>
      <c r="D2486" t="inlineStr">
        <is>
          <t>KRONOBERGS LÄN</t>
        </is>
      </c>
      <c r="E2486" t="inlineStr">
        <is>
          <t>TINGSRYD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4144-2021</t>
        </is>
      </c>
      <c r="B2487" s="1" t="n">
        <v>44223</v>
      </c>
      <c r="C2487" s="1" t="n">
        <v>45845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4403-2021</t>
        </is>
      </c>
      <c r="B2488" s="1" t="n">
        <v>44223</v>
      </c>
      <c r="C2488" s="1" t="n">
        <v>45845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4402-2021</t>
        </is>
      </c>
      <c r="B2489" s="1" t="n">
        <v>44223</v>
      </c>
      <c r="C2489" s="1" t="n">
        <v>45845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4482-2021</t>
        </is>
      </c>
      <c r="B2490" s="1" t="n">
        <v>44224</v>
      </c>
      <c r="C2490" s="1" t="n">
        <v>45845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4587-2021</t>
        </is>
      </c>
      <c r="B2491" s="1" t="n">
        <v>44224</v>
      </c>
      <c r="C2491" s="1" t="n">
        <v>45845</v>
      </c>
      <c r="D2491" t="inlineStr">
        <is>
          <t>KRONOBERGS LÄN</t>
        </is>
      </c>
      <c r="E2491" t="inlineStr">
        <is>
          <t>TINGSRYD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4645-2021</t>
        </is>
      </c>
      <c r="B2492" s="1" t="n">
        <v>44224</v>
      </c>
      <c r="C2492" s="1" t="n">
        <v>45845</v>
      </c>
      <c r="D2492" t="inlineStr">
        <is>
          <t>KRONOBERGS LÄN</t>
        </is>
      </c>
      <c r="E2492" t="inlineStr">
        <is>
          <t>VÄXJÖ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4655-2021</t>
        </is>
      </c>
      <c r="B2493" s="1" t="n">
        <v>44224</v>
      </c>
      <c r="C2493" s="1" t="n">
        <v>45845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4636-2021</t>
        </is>
      </c>
      <c r="B2494" s="1" t="n">
        <v>44224</v>
      </c>
      <c r="C2494" s="1" t="n">
        <v>45845</v>
      </c>
      <c r="D2494" t="inlineStr">
        <is>
          <t>KRONOBERGS LÄN</t>
        </is>
      </c>
      <c r="E2494" t="inlineStr">
        <is>
          <t>LJUNGBY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4665-2021</t>
        </is>
      </c>
      <c r="B2495" s="1" t="n">
        <v>44224</v>
      </c>
      <c r="C2495" s="1" t="n">
        <v>45845</v>
      </c>
      <c r="D2495" t="inlineStr">
        <is>
          <t>KRONOBERGS LÄN</t>
        </is>
      </c>
      <c r="E2495" t="inlineStr">
        <is>
          <t>VÄXJÖ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4649-2021</t>
        </is>
      </c>
      <c r="B2496" s="1" t="n">
        <v>44224</v>
      </c>
      <c r="C2496" s="1" t="n">
        <v>45845</v>
      </c>
      <c r="D2496" t="inlineStr">
        <is>
          <t>KRONOBERGS LÄN</t>
        </is>
      </c>
      <c r="E2496" t="inlineStr">
        <is>
          <t>VÄXJÖ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4666-2021</t>
        </is>
      </c>
      <c r="B2497" s="1" t="n">
        <v>44224</v>
      </c>
      <c r="C2497" s="1" t="n">
        <v>45845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4668-2021</t>
        </is>
      </c>
      <c r="B2498" s="1" t="n">
        <v>44224</v>
      </c>
      <c r="C2498" s="1" t="n">
        <v>45845</v>
      </c>
      <c r="D2498" t="inlineStr">
        <is>
          <t>KRONOBERGS LÄN</t>
        </is>
      </c>
      <c r="E2498" t="inlineStr">
        <is>
          <t>VÄXJÖ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4670-2021</t>
        </is>
      </c>
      <c r="B2499" s="1" t="n">
        <v>44224</v>
      </c>
      <c r="C2499" s="1" t="n">
        <v>45845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4667-2021</t>
        </is>
      </c>
      <c r="B2500" s="1" t="n">
        <v>44224</v>
      </c>
      <c r="C2500" s="1" t="n">
        <v>45845</v>
      </c>
      <c r="D2500" t="inlineStr">
        <is>
          <t>KRONOBERGS LÄN</t>
        </is>
      </c>
      <c r="E2500" t="inlineStr">
        <is>
          <t>VÄXJÖ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4741-2021</t>
        </is>
      </c>
      <c r="B2501" s="1" t="n">
        <v>44225</v>
      </c>
      <c r="C2501" s="1" t="n">
        <v>45845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4700-2021</t>
        </is>
      </c>
      <c r="B2502" s="1" t="n">
        <v>44225</v>
      </c>
      <c r="C2502" s="1" t="n">
        <v>45845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4739-2021</t>
        </is>
      </c>
      <c r="B2503" s="1" t="n">
        <v>44225</v>
      </c>
      <c r="C2503" s="1" t="n">
        <v>45845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4750-2021</t>
        </is>
      </c>
      <c r="B2504" s="1" t="n">
        <v>44225</v>
      </c>
      <c r="C2504" s="1" t="n">
        <v>45845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4743-2021</t>
        </is>
      </c>
      <c r="B2505" s="1" t="n">
        <v>44225</v>
      </c>
      <c r="C2505" s="1" t="n">
        <v>45845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4904-2021</t>
        </is>
      </c>
      <c r="B2506" s="1" t="n">
        <v>44225</v>
      </c>
      <c r="C2506" s="1" t="n">
        <v>45845</v>
      </c>
      <c r="D2506" t="inlineStr">
        <is>
          <t>KRONOBERGS LÄN</t>
        </is>
      </c>
      <c r="E2506" t="inlineStr">
        <is>
          <t>UPPVIDINGE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4690-2021</t>
        </is>
      </c>
      <c r="B2507" s="1" t="n">
        <v>44225</v>
      </c>
      <c r="C2507" s="1" t="n">
        <v>45845</v>
      </c>
      <c r="D2507" t="inlineStr">
        <is>
          <t>KRONOBERGS LÄN</t>
        </is>
      </c>
      <c r="E2507" t="inlineStr">
        <is>
          <t>ÄLMHULT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4987-2021</t>
        </is>
      </c>
      <c r="B2508" s="1" t="n">
        <v>44228</v>
      </c>
      <c r="C2508" s="1" t="n">
        <v>45845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4980-2021</t>
        </is>
      </c>
      <c r="B2509" s="1" t="n">
        <v>44228</v>
      </c>
      <c r="C2509" s="1" t="n">
        <v>45845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4977-2021</t>
        </is>
      </c>
      <c r="B2510" s="1" t="n">
        <v>44228</v>
      </c>
      <c r="C2510" s="1" t="n">
        <v>45845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4995-2021</t>
        </is>
      </c>
      <c r="B2511" s="1" t="n">
        <v>44228</v>
      </c>
      <c r="C2511" s="1" t="n">
        <v>45845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5119-2021</t>
        </is>
      </c>
      <c r="B2512" s="1" t="n">
        <v>44228</v>
      </c>
      <c r="C2512" s="1" t="n">
        <v>45845</v>
      </c>
      <c r="D2512" t="inlineStr">
        <is>
          <t>KRONOBERGS LÄN</t>
        </is>
      </c>
      <c r="E2512" t="inlineStr">
        <is>
          <t>LJUNGBY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5185-2021</t>
        </is>
      </c>
      <c r="B2513" s="1" t="n">
        <v>44228</v>
      </c>
      <c r="C2513" s="1" t="n">
        <v>45845</v>
      </c>
      <c r="D2513" t="inlineStr">
        <is>
          <t>KRONOBERGS LÄN</t>
        </is>
      </c>
      <c r="E2513" t="inlineStr">
        <is>
          <t>ÄLMHULT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5186-2021</t>
        </is>
      </c>
      <c r="B2514" s="1" t="n">
        <v>44228</v>
      </c>
      <c r="C2514" s="1" t="n">
        <v>45845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5409-2021</t>
        </is>
      </c>
      <c r="B2515" s="1" t="n">
        <v>44228</v>
      </c>
      <c r="C2515" s="1" t="n">
        <v>45845</v>
      </c>
      <c r="D2515" t="inlineStr">
        <is>
          <t>KRONOBERGS LÄN</t>
        </is>
      </c>
      <c r="E2515" t="inlineStr">
        <is>
          <t>VÄXJÖ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5568-2021</t>
        </is>
      </c>
      <c r="B2516" s="1" t="n">
        <v>44228</v>
      </c>
      <c r="C2516" s="1" t="n">
        <v>45845</v>
      </c>
      <c r="D2516" t="inlineStr">
        <is>
          <t>KRONOBERGS LÄN</t>
        </is>
      </c>
      <c r="E2516" t="inlineStr">
        <is>
          <t>UPPVIDINGE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5297-2021</t>
        </is>
      </c>
      <c r="B2517" s="1" t="n">
        <v>44229</v>
      </c>
      <c r="C2517" s="1" t="n">
        <v>45845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5346-2021</t>
        </is>
      </c>
      <c r="B2518" s="1" t="n">
        <v>44229</v>
      </c>
      <c r="C2518" s="1" t="n">
        <v>45845</v>
      </c>
      <c r="D2518" t="inlineStr">
        <is>
          <t>KRONOBERGS LÄN</t>
        </is>
      </c>
      <c r="E2518" t="inlineStr">
        <is>
          <t>MARKARYD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5403-2021</t>
        </is>
      </c>
      <c r="B2519" s="1" t="n">
        <v>44229</v>
      </c>
      <c r="C2519" s="1" t="n">
        <v>45845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5442-2021</t>
        </is>
      </c>
      <c r="B2520" s="1" t="n">
        <v>44229</v>
      </c>
      <c r="C2520" s="1" t="n">
        <v>45845</v>
      </c>
      <c r="D2520" t="inlineStr">
        <is>
          <t>KRONOBERGS LÄN</t>
        </is>
      </c>
      <c r="E2520" t="inlineStr">
        <is>
          <t>UPPVIDINGE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5475-2021</t>
        </is>
      </c>
      <c r="B2521" s="1" t="n">
        <v>44229</v>
      </c>
      <c r="C2521" s="1" t="n">
        <v>45845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5308-2021</t>
        </is>
      </c>
      <c r="B2522" s="1" t="n">
        <v>44229</v>
      </c>
      <c r="C2522" s="1" t="n">
        <v>45845</v>
      </c>
      <c r="D2522" t="inlineStr">
        <is>
          <t>KRONOBERGS LÄN</t>
        </is>
      </c>
      <c r="E2522" t="inlineStr">
        <is>
          <t>TINGSRYD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5320-2021</t>
        </is>
      </c>
      <c r="B2523" s="1" t="n">
        <v>44229</v>
      </c>
      <c r="C2523" s="1" t="n">
        <v>45845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5371-2021</t>
        </is>
      </c>
      <c r="B2524" s="1" t="n">
        <v>44229</v>
      </c>
      <c r="C2524" s="1" t="n">
        <v>45845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5453-2021</t>
        </is>
      </c>
      <c r="B2525" s="1" t="n">
        <v>44229</v>
      </c>
      <c r="C2525" s="1" t="n">
        <v>45845</v>
      </c>
      <c r="D2525" t="inlineStr">
        <is>
          <t>KRONOBERGS LÄN</t>
        </is>
      </c>
      <c r="E2525" t="inlineStr">
        <is>
          <t>ÄLMHULT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5474-2021</t>
        </is>
      </c>
      <c r="B2526" s="1" t="n">
        <v>44229</v>
      </c>
      <c r="C2526" s="1" t="n">
        <v>45845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5257-2021</t>
        </is>
      </c>
      <c r="B2527" s="1" t="n">
        <v>44229</v>
      </c>
      <c r="C2527" s="1" t="n">
        <v>45845</v>
      </c>
      <c r="D2527" t="inlineStr">
        <is>
          <t>KRONOBERGS LÄN</t>
        </is>
      </c>
      <c r="E2527" t="inlineStr">
        <is>
          <t>UPPVIDINGE</t>
        </is>
      </c>
      <c r="G2527" t="n">
        <v>14.2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5631-2021</t>
        </is>
      </c>
      <c r="B2528" s="1" t="n">
        <v>44230</v>
      </c>
      <c r="C2528" s="1" t="n">
        <v>45845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5677-2021</t>
        </is>
      </c>
      <c r="B2529" s="1" t="n">
        <v>44230</v>
      </c>
      <c r="C2529" s="1" t="n">
        <v>45845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5676-2021</t>
        </is>
      </c>
      <c r="B2530" s="1" t="n">
        <v>44230</v>
      </c>
      <c r="C2530" s="1" t="n">
        <v>45845</v>
      </c>
      <c r="D2530" t="inlineStr">
        <is>
          <t>KRONOBERGS LÄN</t>
        </is>
      </c>
      <c r="E2530" t="inlineStr">
        <is>
          <t>TINGSRYD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5627-2021</t>
        </is>
      </c>
      <c r="B2531" s="1" t="n">
        <v>44230</v>
      </c>
      <c r="C2531" s="1" t="n">
        <v>45845</v>
      </c>
      <c r="D2531" t="inlineStr">
        <is>
          <t>KRONOBERGS LÄN</t>
        </is>
      </c>
      <c r="E2531" t="inlineStr">
        <is>
          <t>LJUNGBY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5690-2021</t>
        </is>
      </c>
      <c r="B2532" s="1" t="n">
        <v>44230</v>
      </c>
      <c r="C2532" s="1" t="n">
        <v>45845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5740-2021</t>
        </is>
      </c>
      <c r="B2533" s="1" t="n">
        <v>44230</v>
      </c>
      <c r="C2533" s="1" t="n">
        <v>45845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5980-2021</t>
        </is>
      </c>
      <c r="B2534" s="1" t="n">
        <v>44231</v>
      </c>
      <c r="C2534" s="1" t="n">
        <v>45845</v>
      </c>
      <c r="D2534" t="inlineStr">
        <is>
          <t>KRONOBERGS LÄN</t>
        </is>
      </c>
      <c r="E2534" t="inlineStr">
        <is>
          <t>ÄLMHULT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5846-2021</t>
        </is>
      </c>
      <c r="B2535" s="1" t="n">
        <v>44231</v>
      </c>
      <c r="C2535" s="1" t="n">
        <v>45845</v>
      </c>
      <c r="D2535" t="inlineStr">
        <is>
          <t>KRONOBERGS LÄN</t>
        </is>
      </c>
      <c r="E2535" t="inlineStr">
        <is>
          <t>VÄXJÖ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5866-2021</t>
        </is>
      </c>
      <c r="B2536" s="1" t="n">
        <v>44231</v>
      </c>
      <c r="C2536" s="1" t="n">
        <v>45845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5831-2021</t>
        </is>
      </c>
      <c r="B2537" s="1" t="n">
        <v>44231</v>
      </c>
      <c r="C2537" s="1" t="n">
        <v>45845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5838-2021</t>
        </is>
      </c>
      <c r="B2538" s="1" t="n">
        <v>44231</v>
      </c>
      <c r="C2538" s="1" t="n">
        <v>45845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6002-2021</t>
        </is>
      </c>
      <c r="B2539" s="1" t="n">
        <v>44231</v>
      </c>
      <c r="C2539" s="1" t="n">
        <v>45845</v>
      </c>
      <c r="D2539" t="inlineStr">
        <is>
          <t>KRONOBERGS LÄN</t>
        </is>
      </c>
      <c r="E2539" t="inlineStr">
        <is>
          <t>MARKARYD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5974-2021</t>
        </is>
      </c>
      <c r="B2540" s="1" t="n">
        <v>44231</v>
      </c>
      <c r="C2540" s="1" t="n">
        <v>45845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5977-2021</t>
        </is>
      </c>
      <c r="B2541" s="1" t="n">
        <v>44231</v>
      </c>
      <c r="C2541" s="1" t="n">
        <v>45845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6052-2021</t>
        </is>
      </c>
      <c r="B2542" s="1" t="n">
        <v>44232</v>
      </c>
      <c r="C2542" s="1" t="n">
        <v>45845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6188-2021</t>
        </is>
      </c>
      <c r="B2543" s="1" t="n">
        <v>44234</v>
      </c>
      <c r="C2543" s="1" t="n">
        <v>45845</v>
      </c>
      <c r="D2543" t="inlineStr">
        <is>
          <t>KRONOBERGS LÄN</t>
        </is>
      </c>
      <c r="E2543" t="inlineStr">
        <is>
          <t>ÄLMHULT</t>
        </is>
      </c>
      <c r="G2543" t="n">
        <v>8.5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6449-2021</t>
        </is>
      </c>
      <c r="B2544" s="1" t="n">
        <v>44235</v>
      </c>
      <c r="C2544" s="1" t="n">
        <v>45845</v>
      </c>
      <c r="D2544" t="inlineStr">
        <is>
          <t>KRONOBERGS LÄN</t>
        </is>
      </c>
      <c r="E2544" t="inlineStr">
        <is>
          <t>VÄXJÖ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6453-2021</t>
        </is>
      </c>
      <c r="B2545" s="1" t="n">
        <v>44235</v>
      </c>
      <c r="C2545" s="1" t="n">
        <v>45845</v>
      </c>
      <c r="D2545" t="inlineStr">
        <is>
          <t>KRONOBERGS LÄN</t>
        </is>
      </c>
      <c r="E2545" t="inlineStr">
        <is>
          <t>LJUNGBY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6451-2021</t>
        </is>
      </c>
      <c r="B2546" s="1" t="n">
        <v>44235</v>
      </c>
      <c r="C2546" s="1" t="n">
        <v>45845</v>
      </c>
      <c r="D2546" t="inlineStr">
        <is>
          <t>KRONOBERGS LÄN</t>
        </is>
      </c>
      <c r="E2546" t="inlineStr">
        <is>
          <t>VÄXJÖ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6464-2021</t>
        </is>
      </c>
      <c r="B2547" s="1" t="n">
        <v>44235</v>
      </c>
      <c r="C2547" s="1" t="n">
        <v>45845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6670-2021</t>
        </is>
      </c>
      <c r="B2548" s="1" t="n">
        <v>44236</v>
      </c>
      <c r="C2548" s="1" t="n">
        <v>45845</v>
      </c>
      <c r="D2548" t="inlineStr">
        <is>
          <t>KRONOBERGS LÄN</t>
        </is>
      </c>
      <c r="E2548" t="inlineStr">
        <is>
          <t>ALVESTA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6677-2021</t>
        </is>
      </c>
      <c r="B2549" s="1" t="n">
        <v>44236</v>
      </c>
      <c r="C2549" s="1" t="n">
        <v>45845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6662-2021</t>
        </is>
      </c>
      <c r="B2550" s="1" t="n">
        <v>44236</v>
      </c>
      <c r="C2550" s="1" t="n">
        <v>45845</v>
      </c>
      <c r="D2550" t="inlineStr">
        <is>
          <t>KRONOBERGS LÄN</t>
        </is>
      </c>
      <c r="E2550" t="inlineStr">
        <is>
          <t>ALVESTA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6762-2021</t>
        </is>
      </c>
      <c r="B2551" s="1" t="n">
        <v>44236</v>
      </c>
      <c r="C2551" s="1" t="n">
        <v>45845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6751-2021</t>
        </is>
      </c>
      <c r="B2552" s="1" t="n">
        <v>44236</v>
      </c>
      <c r="C2552" s="1" t="n">
        <v>45845</v>
      </c>
      <c r="D2552" t="inlineStr">
        <is>
          <t>KRONOBERGS LÄN</t>
        </is>
      </c>
      <c r="E2552" t="inlineStr">
        <is>
          <t>TINGSRYD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6931-2021</t>
        </is>
      </c>
      <c r="B2553" s="1" t="n">
        <v>44237</v>
      </c>
      <c r="C2553" s="1" t="n">
        <v>45845</v>
      </c>
      <c r="D2553" t="inlineStr">
        <is>
          <t>KRONOBERGS LÄN</t>
        </is>
      </c>
      <c r="E2553" t="inlineStr">
        <is>
          <t>LJUNGBY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6814-2021</t>
        </is>
      </c>
      <c r="B2554" s="1" t="n">
        <v>44237</v>
      </c>
      <c r="C2554" s="1" t="n">
        <v>45845</v>
      </c>
      <c r="D2554" t="inlineStr">
        <is>
          <t>KRONOBERGS LÄN</t>
        </is>
      </c>
      <c r="E2554" t="inlineStr">
        <is>
          <t>VÄXJÖ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6889-2021</t>
        </is>
      </c>
      <c r="B2555" s="1" t="n">
        <v>44237</v>
      </c>
      <c r="C2555" s="1" t="n">
        <v>45845</v>
      </c>
      <c r="D2555" t="inlineStr">
        <is>
          <t>KRONOBERGS LÄN</t>
        </is>
      </c>
      <c r="E2555" t="inlineStr">
        <is>
          <t>ÄLMHULT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7173-2021</t>
        </is>
      </c>
      <c r="B2556" s="1" t="n">
        <v>44237</v>
      </c>
      <c r="C2556" s="1" t="n">
        <v>45845</v>
      </c>
      <c r="D2556" t="inlineStr">
        <is>
          <t>KRONOBERGS LÄN</t>
        </is>
      </c>
      <c r="E2556" t="inlineStr">
        <is>
          <t>UPPVIDINGE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7150-2021</t>
        </is>
      </c>
      <c r="B2557" s="1" t="n">
        <v>44238</v>
      </c>
      <c r="C2557" s="1" t="n">
        <v>45845</v>
      </c>
      <c r="D2557" t="inlineStr">
        <is>
          <t>KRONOBERGS LÄN</t>
        </is>
      </c>
      <c r="E2557" t="inlineStr">
        <is>
          <t>TINGSRYD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7083-2021</t>
        </is>
      </c>
      <c r="B2558" s="1" t="n">
        <v>44238</v>
      </c>
      <c r="C2558" s="1" t="n">
        <v>45845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7287-2021</t>
        </is>
      </c>
      <c r="B2559" s="1" t="n">
        <v>44238</v>
      </c>
      <c r="C2559" s="1" t="n">
        <v>45845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7343-2021</t>
        </is>
      </c>
      <c r="B2560" s="1" t="n">
        <v>44238</v>
      </c>
      <c r="C2560" s="1" t="n">
        <v>45845</v>
      </c>
      <c r="D2560" t="inlineStr">
        <is>
          <t>KRONOBERGS LÄN</t>
        </is>
      </c>
      <c r="E2560" t="inlineStr">
        <is>
          <t>ALVESTA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7465-2021</t>
        </is>
      </c>
      <c r="B2561" s="1" t="n">
        <v>44239</v>
      </c>
      <c r="C2561" s="1" t="n">
        <v>45845</v>
      </c>
      <c r="D2561" t="inlineStr">
        <is>
          <t>KRONOBERGS LÄN</t>
        </is>
      </c>
      <c r="E2561" t="inlineStr">
        <is>
          <t>ALVESTA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7324-2021</t>
        </is>
      </c>
      <c r="B2562" s="1" t="n">
        <v>44239</v>
      </c>
      <c r="C2562" s="1" t="n">
        <v>45845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7448-2021</t>
        </is>
      </c>
      <c r="B2563" s="1" t="n">
        <v>44239</v>
      </c>
      <c r="C2563" s="1" t="n">
        <v>45845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7612-2021</t>
        </is>
      </c>
      <c r="B2564" s="1" t="n">
        <v>44242</v>
      </c>
      <c r="C2564" s="1" t="n">
        <v>45845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7686-2021</t>
        </is>
      </c>
      <c r="B2565" s="1" t="n">
        <v>44242</v>
      </c>
      <c r="C2565" s="1" t="n">
        <v>45845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7611-2021</t>
        </is>
      </c>
      <c r="B2566" s="1" t="n">
        <v>44242</v>
      </c>
      <c r="C2566" s="1" t="n">
        <v>45845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7623-2021</t>
        </is>
      </c>
      <c r="B2567" s="1" t="n">
        <v>44242</v>
      </c>
      <c r="C2567" s="1" t="n">
        <v>45845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7622-2021</t>
        </is>
      </c>
      <c r="B2568" s="1" t="n">
        <v>44242</v>
      </c>
      <c r="C2568" s="1" t="n">
        <v>45845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7784-2021</t>
        </is>
      </c>
      <c r="B2569" s="1" t="n">
        <v>44242</v>
      </c>
      <c r="C2569" s="1" t="n">
        <v>45845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7703-2021</t>
        </is>
      </c>
      <c r="B2570" s="1" t="n">
        <v>44242</v>
      </c>
      <c r="C2570" s="1" t="n">
        <v>45845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7866-2021</t>
        </is>
      </c>
      <c r="B2571" s="1" t="n">
        <v>44242</v>
      </c>
      <c r="C2571" s="1" t="n">
        <v>45845</v>
      </c>
      <c r="D2571" t="inlineStr">
        <is>
          <t>KRONOBERGS LÄN</t>
        </is>
      </c>
      <c r="E2571" t="inlineStr">
        <is>
          <t>TINGSRYD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7892-2021</t>
        </is>
      </c>
      <c r="B2572" s="1" t="n">
        <v>44243</v>
      </c>
      <c r="C2572" s="1" t="n">
        <v>45845</v>
      </c>
      <c r="D2572" t="inlineStr">
        <is>
          <t>KRONOBERGS LÄN</t>
        </is>
      </c>
      <c r="E2572" t="inlineStr">
        <is>
          <t>UPPVIDINGE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7954-2021</t>
        </is>
      </c>
      <c r="B2573" s="1" t="n">
        <v>44243</v>
      </c>
      <c r="C2573" s="1" t="n">
        <v>45845</v>
      </c>
      <c r="D2573" t="inlineStr">
        <is>
          <t>KRONOBERGS LÄN</t>
        </is>
      </c>
      <c r="E2573" t="inlineStr">
        <is>
          <t>TINGSRYD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8094-2021</t>
        </is>
      </c>
      <c r="B2574" s="1" t="n">
        <v>44243</v>
      </c>
      <c r="C2574" s="1" t="n">
        <v>45845</v>
      </c>
      <c r="D2574" t="inlineStr">
        <is>
          <t>KRONOBERGS LÄN</t>
        </is>
      </c>
      <c r="E2574" t="inlineStr">
        <is>
          <t>ALVESTA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7895-2021</t>
        </is>
      </c>
      <c r="B2575" s="1" t="n">
        <v>44243</v>
      </c>
      <c r="C2575" s="1" t="n">
        <v>45845</v>
      </c>
      <c r="D2575" t="inlineStr">
        <is>
          <t>KRONOBERGS LÄN</t>
        </is>
      </c>
      <c r="E2575" t="inlineStr">
        <is>
          <t>VÄXJÖ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7949-2021</t>
        </is>
      </c>
      <c r="B2576" s="1" t="n">
        <v>44243</v>
      </c>
      <c r="C2576" s="1" t="n">
        <v>45845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8178-2021</t>
        </is>
      </c>
      <c r="B2577" s="1" t="n">
        <v>44243</v>
      </c>
      <c r="C2577" s="1" t="n">
        <v>45845</v>
      </c>
      <c r="D2577" t="inlineStr">
        <is>
          <t>KRONOBERGS LÄN</t>
        </is>
      </c>
      <c r="E2577" t="inlineStr">
        <is>
          <t>ÄLMHULT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8165-2021</t>
        </is>
      </c>
      <c r="B2578" s="1" t="n">
        <v>44244</v>
      </c>
      <c r="C2578" s="1" t="n">
        <v>45845</v>
      </c>
      <c r="D2578" t="inlineStr">
        <is>
          <t>KRONOBERGS LÄN</t>
        </is>
      </c>
      <c r="E2578" t="inlineStr">
        <is>
          <t>VÄXJÖ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8239-2021</t>
        </is>
      </c>
      <c r="B2579" s="1" t="n">
        <v>44244</v>
      </c>
      <c r="C2579" s="1" t="n">
        <v>45845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8277-2021</t>
        </is>
      </c>
      <c r="B2580" s="1" t="n">
        <v>44244</v>
      </c>
      <c r="C2580" s="1" t="n">
        <v>45845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8310-2021</t>
        </is>
      </c>
      <c r="B2581" s="1" t="n">
        <v>44244</v>
      </c>
      <c r="C2581" s="1" t="n">
        <v>45845</v>
      </c>
      <c r="D2581" t="inlineStr">
        <is>
          <t>KRONOBERGS LÄN</t>
        </is>
      </c>
      <c r="E2581" t="inlineStr">
        <is>
          <t>ÄLMHULT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8259-2021</t>
        </is>
      </c>
      <c r="B2582" s="1" t="n">
        <v>44244</v>
      </c>
      <c r="C2582" s="1" t="n">
        <v>45845</v>
      </c>
      <c r="D2582" t="inlineStr">
        <is>
          <t>KRONOBERGS LÄN</t>
        </is>
      </c>
      <c r="E2582" t="inlineStr">
        <is>
          <t>VÄXJÖ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8281-2021</t>
        </is>
      </c>
      <c r="B2583" s="1" t="n">
        <v>44244</v>
      </c>
      <c r="C2583" s="1" t="n">
        <v>45845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8355-2021</t>
        </is>
      </c>
      <c r="B2584" s="1" t="n">
        <v>44244</v>
      </c>
      <c r="C2584" s="1" t="n">
        <v>45845</v>
      </c>
      <c r="D2584" t="inlineStr">
        <is>
          <t>KRONOBERGS LÄN</t>
        </is>
      </c>
      <c r="E2584" t="inlineStr">
        <is>
          <t>VÄXJÖ</t>
        </is>
      </c>
      <c r="G2584" t="n">
        <v>15.8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8367-2021</t>
        </is>
      </c>
      <c r="B2585" s="1" t="n">
        <v>44244</v>
      </c>
      <c r="C2585" s="1" t="n">
        <v>45845</v>
      </c>
      <c r="D2585" t="inlineStr">
        <is>
          <t>KRONOBERGS LÄN</t>
        </is>
      </c>
      <c r="E2585" t="inlineStr">
        <is>
          <t>VÄXJÖ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8386-2021</t>
        </is>
      </c>
      <c r="B2586" s="1" t="n">
        <v>44245</v>
      </c>
      <c r="C2586" s="1" t="n">
        <v>45845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8497-2021</t>
        </is>
      </c>
      <c r="B2587" s="1" t="n">
        <v>44245</v>
      </c>
      <c r="C2587" s="1" t="n">
        <v>45845</v>
      </c>
      <c r="D2587" t="inlineStr">
        <is>
          <t>KRONOBERGS LÄN</t>
        </is>
      </c>
      <c r="E2587" t="inlineStr">
        <is>
          <t>ÄLMHULT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8530-2021</t>
        </is>
      </c>
      <c r="B2588" s="1" t="n">
        <v>44245</v>
      </c>
      <c r="C2588" s="1" t="n">
        <v>45845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8395-2021</t>
        </is>
      </c>
      <c r="B2589" s="1" t="n">
        <v>44245</v>
      </c>
      <c r="C2589" s="1" t="n">
        <v>45845</v>
      </c>
      <c r="D2589" t="inlineStr">
        <is>
          <t>KRONOBERGS LÄN</t>
        </is>
      </c>
      <c r="E2589" t="inlineStr">
        <is>
          <t>TINGSRYD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8389-2021</t>
        </is>
      </c>
      <c r="B2590" s="1" t="n">
        <v>44245</v>
      </c>
      <c r="C2590" s="1" t="n">
        <v>45845</v>
      </c>
      <c r="D2590" t="inlineStr">
        <is>
          <t>KRONOBERGS LÄN</t>
        </is>
      </c>
      <c r="E2590" t="inlineStr">
        <is>
          <t>ÄLMHULT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8488-2021</t>
        </is>
      </c>
      <c r="B2591" s="1" t="n">
        <v>44245</v>
      </c>
      <c r="C2591" s="1" t="n">
        <v>45845</v>
      </c>
      <c r="D2591" t="inlineStr">
        <is>
          <t>KRONOBERGS LÄN</t>
        </is>
      </c>
      <c r="E2591" t="inlineStr">
        <is>
          <t>ÄLMHULT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8514-2021</t>
        </is>
      </c>
      <c r="B2592" s="1" t="n">
        <v>44245</v>
      </c>
      <c r="C2592" s="1" t="n">
        <v>45845</v>
      </c>
      <c r="D2592" t="inlineStr">
        <is>
          <t>KRONOBERGS LÄN</t>
        </is>
      </c>
      <c r="E2592" t="inlineStr">
        <is>
          <t>ÄLMHULT</t>
        </is>
      </c>
      <c r="G2592" t="n">
        <v>17.3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8525-2021</t>
        </is>
      </c>
      <c r="B2593" s="1" t="n">
        <v>44245</v>
      </c>
      <c r="C2593" s="1" t="n">
        <v>45845</v>
      </c>
      <c r="D2593" t="inlineStr">
        <is>
          <t>KRONOBERGS LÄN</t>
        </is>
      </c>
      <c r="E2593" t="inlineStr">
        <is>
          <t>ÄLMHULT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8501-2021</t>
        </is>
      </c>
      <c r="B2594" s="1" t="n">
        <v>44245</v>
      </c>
      <c r="C2594" s="1" t="n">
        <v>45845</v>
      </c>
      <c r="D2594" t="inlineStr">
        <is>
          <t>KRONOBERGS LÄN</t>
        </is>
      </c>
      <c r="E2594" t="inlineStr">
        <is>
          <t>ÄLMHULT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8533-2021</t>
        </is>
      </c>
      <c r="B2595" s="1" t="n">
        <v>44245</v>
      </c>
      <c r="C2595" s="1" t="n">
        <v>45845</v>
      </c>
      <c r="D2595" t="inlineStr">
        <is>
          <t>KRONOBERGS LÄN</t>
        </is>
      </c>
      <c r="E2595" t="inlineStr">
        <is>
          <t>ÄLMHULT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8516-2021</t>
        </is>
      </c>
      <c r="B2596" s="1" t="n">
        <v>44245</v>
      </c>
      <c r="C2596" s="1" t="n">
        <v>45845</v>
      </c>
      <c r="D2596" t="inlineStr">
        <is>
          <t>KRONOBERGS LÄN</t>
        </is>
      </c>
      <c r="E2596" t="inlineStr">
        <is>
          <t>ÄLMHULT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8529-2021</t>
        </is>
      </c>
      <c r="B2597" s="1" t="n">
        <v>44245</v>
      </c>
      <c r="C2597" s="1" t="n">
        <v>45845</v>
      </c>
      <c r="D2597" t="inlineStr">
        <is>
          <t>KRONOBERGS LÄN</t>
        </is>
      </c>
      <c r="E2597" t="inlineStr">
        <is>
          <t>ÄLMHULT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8624-2021</t>
        </is>
      </c>
      <c r="B2598" s="1" t="n">
        <v>44245</v>
      </c>
      <c r="C2598" s="1" t="n">
        <v>45845</v>
      </c>
      <c r="D2598" t="inlineStr">
        <is>
          <t>KRONOBERGS LÄN</t>
        </is>
      </c>
      <c r="E2598" t="inlineStr">
        <is>
          <t>LJUNGBY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8599-2021</t>
        </is>
      </c>
      <c r="B2599" s="1" t="n">
        <v>44245</v>
      </c>
      <c r="C2599" s="1" t="n">
        <v>45845</v>
      </c>
      <c r="D2599" t="inlineStr">
        <is>
          <t>KRONOBERGS LÄN</t>
        </is>
      </c>
      <c r="E2599" t="inlineStr">
        <is>
          <t>VÄXJÖ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8622-2021</t>
        </is>
      </c>
      <c r="B2600" s="1" t="n">
        <v>44245</v>
      </c>
      <c r="C2600" s="1" t="n">
        <v>45845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8676-2021</t>
        </is>
      </c>
      <c r="B2601" s="1" t="n">
        <v>44246</v>
      </c>
      <c r="C2601" s="1" t="n">
        <v>45845</v>
      </c>
      <c r="D2601" t="inlineStr">
        <is>
          <t>KRONOBERGS LÄN</t>
        </is>
      </c>
      <c r="E2601" t="inlineStr">
        <is>
          <t>TINGSRYD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8730-2021</t>
        </is>
      </c>
      <c r="B2602" s="1" t="n">
        <v>44246</v>
      </c>
      <c r="C2602" s="1" t="n">
        <v>45845</v>
      </c>
      <c r="D2602" t="inlineStr">
        <is>
          <t>KRONOBERGS LÄN</t>
        </is>
      </c>
      <c r="E2602" t="inlineStr">
        <is>
          <t>VÄXJÖ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8754-2021</t>
        </is>
      </c>
      <c r="B2603" s="1" t="n">
        <v>44246</v>
      </c>
      <c r="C2603" s="1" t="n">
        <v>45845</v>
      </c>
      <c r="D2603" t="inlineStr">
        <is>
          <t>KRONOBERGS LÄN</t>
        </is>
      </c>
      <c r="E2603" t="inlineStr">
        <is>
          <t>LJUNGBY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8868-2021</t>
        </is>
      </c>
      <c r="B2604" s="1" t="n">
        <v>44247</v>
      </c>
      <c r="C2604" s="1" t="n">
        <v>45845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8929-2021</t>
        </is>
      </c>
      <c r="B2605" s="1" t="n">
        <v>44249</v>
      </c>
      <c r="C2605" s="1" t="n">
        <v>45845</v>
      </c>
      <c r="D2605" t="inlineStr">
        <is>
          <t>KRONOBERGS LÄN</t>
        </is>
      </c>
      <c r="E2605" t="inlineStr">
        <is>
          <t>ALVESTA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9321-2021</t>
        </is>
      </c>
      <c r="B2606" s="1" t="n">
        <v>44250</v>
      </c>
      <c r="C2606" s="1" t="n">
        <v>45845</v>
      </c>
      <c r="D2606" t="inlineStr">
        <is>
          <t>KRONOBERGS LÄN</t>
        </is>
      </c>
      <c r="E2606" t="inlineStr">
        <is>
          <t>UPPVIDINGE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9482-2021</t>
        </is>
      </c>
      <c r="B2607" s="1" t="n">
        <v>44250</v>
      </c>
      <c r="C2607" s="1" t="n">
        <v>45845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Kyrkan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9224-2021</t>
        </is>
      </c>
      <c r="B2608" s="1" t="n">
        <v>44250</v>
      </c>
      <c r="C2608" s="1" t="n">
        <v>45845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9263-2021</t>
        </is>
      </c>
      <c r="B2609" s="1" t="n">
        <v>44250</v>
      </c>
      <c r="C2609" s="1" t="n">
        <v>45845</v>
      </c>
      <c r="D2609" t="inlineStr">
        <is>
          <t>KRONOBERGS LÄN</t>
        </is>
      </c>
      <c r="E2609" t="inlineStr">
        <is>
          <t>UPPVIDINGE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9583-2021</t>
        </is>
      </c>
      <c r="B2610" s="1" t="n">
        <v>44251</v>
      </c>
      <c r="C2610" s="1" t="n">
        <v>45845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9581-2021</t>
        </is>
      </c>
      <c r="B2611" s="1" t="n">
        <v>44251</v>
      </c>
      <c r="C2611" s="1" t="n">
        <v>45845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9422-2021</t>
        </is>
      </c>
      <c r="B2612" s="1" t="n">
        <v>44251</v>
      </c>
      <c r="C2612" s="1" t="n">
        <v>45845</v>
      </c>
      <c r="D2612" t="inlineStr">
        <is>
          <t>KRONOBERGS LÄN</t>
        </is>
      </c>
      <c r="E2612" t="inlineStr">
        <is>
          <t>ÄLMHULT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9528-2021</t>
        </is>
      </c>
      <c r="B2613" s="1" t="n">
        <v>44251</v>
      </c>
      <c r="C2613" s="1" t="n">
        <v>45845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9609-2021</t>
        </is>
      </c>
      <c r="B2614" s="1" t="n">
        <v>44251</v>
      </c>
      <c r="C2614" s="1" t="n">
        <v>45845</v>
      </c>
      <c r="D2614" t="inlineStr">
        <is>
          <t>KRONOBERGS LÄN</t>
        </is>
      </c>
      <c r="E2614" t="inlineStr">
        <is>
          <t>LJUNGBY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9644-2021</t>
        </is>
      </c>
      <c r="B2615" s="1" t="n">
        <v>44252</v>
      </c>
      <c r="C2615" s="1" t="n">
        <v>45845</v>
      </c>
      <c r="D2615" t="inlineStr">
        <is>
          <t>KRONOBERGS LÄN</t>
        </is>
      </c>
      <c r="E2615" t="inlineStr">
        <is>
          <t>ALVESTA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9696-2021</t>
        </is>
      </c>
      <c r="B2616" s="1" t="n">
        <v>44252</v>
      </c>
      <c r="C2616" s="1" t="n">
        <v>45845</v>
      </c>
      <c r="D2616" t="inlineStr">
        <is>
          <t>KRONOBERGS LÄN</t>
        </is>
      </c>
      <c r="E2616" t="inlineStr">
        <is>
          <t>TINGSRYD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9975-2021</t>
        </is>
      </c>
      <c r="B2617" s="1" t="n">
        <v>44253</v>
      </c>
      <c r="C2617" s="1" t="n">
        <v>45845</v>
      </c>
      <c r="D2617" t="inlineStr">
        <is>
          <t>KRONOBERGS LÄN</t>
        </is>
      </c>
      <c r="E2617" t="inlineStr">
        <is>
          <t>VÄXJÖ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9855-2021</t>
        </is>
      </c>
      <c r="B2618" s="1" t="n">
        <v>44253</v>
      </c>
      <c r="C2618" s="1" t="n">
        <v>45845</v>
      </c>
      <c r="D2618" t="inlineStr">
        <is>
          <t>KRONOBERGS LÄN</t>
        </is>
      </c>
      <c r="E2618" t="inlineStr">
        <is>
          <t>UPPVIDINGE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9910-2021</t>
        </is>
      </c>
      <c r="B2619" s="1" t="n">
        <v>44253</v>
      </c>
      <c r="C2619" s="1" t="n">
        <v>45845</v>
      </c>
      <c r="D2619" t="inlineStr">
        <is>
          <t>KRONOBERGS LÄN</t>
        </is>
      </c>
      <c r="E2619" t="inlineStr">
        <is>
          <t>ÄLMHULT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9974-2021</t>
        </is>
      </c>
      <c r="B2620" s="1" t="n">
        <v>44253</v>
      </c>
      <c r="C2620" s="1" t="n">
        <v>45845</v>
      </c>
      <c r="D2620" t="inlineStr">
        <is>
          <t>KRONOBERGS LÄN</t>
        </is>
      </c>
      <c r="E2620" t="inlineStr">
        <is>
          <t>LJUNGBY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9991-2021</t>
        </is>
      </c>
      <c r="B2621" s="1" t="n">
        <v>44254</v>
      </c>
      <c r="C2621" s="1" t="n">
        <v>45845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9990-2021</t>
        </is>
      </c>
      <c r="B2622" s="1" t="n">
        <v>44254</v>
      </c>
      <c r="C2622" s="1" t="n">
        <v>45845</v>
      </c>
      <c r="D2622" t="inlineStr">
        <is>
          <t>KRONOBERGS LÄN</t>
        </is>
      </c>
      <c r="E2622" t="inlineStr">
        <is>
          <t>VÄXJÖ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9988-2021</t>
        </is>
      </c>
      <c r="B2623" s="1" t="n">
        <v>44254</v>
      </c>
      <c r="C2623" s="1" t="n">
        <v>45845</v>
      </c>
      <c r="D2623" t="inlineStr">
        <is>
          <t>KRONOBERGS LÄN</t>
        </is>
      </c>
      <c r="E2623" t="inlineStr">
        <is>
          <t>VÄXJÖ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9992-2021</t>
        </is>
      </c>
      <c r="B2624" s="1" t="n">
        <v>44254</v>
      </c>
      <c r="C2624" s="1" t="n">
        <v>45845</v>
      </c>
      <c r="D2624" t="inlineStr">
        <is>
          <t>KRONOBERGS LÄN</t>
        </is>
      </c>
      <c r="E2624" t="inlineStr">
        <is>
          <t>VÄXJÖ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10192-2021</t>
        </is>
      </c>
      <c r="B2625" s="1" t="n">
        <v>44256</v>
      </c>
      <c r="C2625" s="1" t="n">
        <v>45845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10272-2021</t>
        </is>
      </c>
      <c r="B2626" s="1" t="n">
        <v>44256</v>
      </c>
      <c r="C2626" s="1" t="n">
        <v>45845</v>
      </c>
      <c r="D2626" t="inlineStr">
        <is>
          <t>KRONOBERGS LÄN</t>
        </is>
      </c>
      <c r="E2626" t="inlineStr">
        <is>
          <t>ALVESTA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10228-2021</t>
        </is>
      </c>
      <c r="B2627" s="1" t="n">
        <v>44256</v>
      </c>
      <c r="C2627" s="1" t="n">
        <v>45845</v>
      </c>
      <c r="D2627" t="inlineStr">
        <is>
          <t>KRONOBERGS LÄN</t>
        </is>
      </c>
      <c r="E2627" t="inlineStr">
        <is>
          <t>VÄXJÖ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10216-2021</t>
        </is>
      </c>
      <c r="B2628" s="1" t="n">
        <v>44256</v>
      </c>
      <c r="C2628" s="1" t="n">
        <v>45845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10273-2021</t>
        </is>
      </c>
      <c r="B2629" s="1" t="n">
        <v>44256</v>
      </c>
      <c r="C2629" s="1" t="n">
        <v>45845</v>
      </c>
      <c r="D2629" t="inlineStr">
        <is>
          <t>KRONOBERGS LÄN</t>
        </is>
      </c>
      <c r="E2629" t="inlineStr">
        <is>
          <t>ALVESTA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10319-2021</t>
        </is>
      </c>
      <c r="B2630" s="1" t="n">
        <v>44257</v>
      </c>
      <c r="C2630" s="1" t="n">
        <v>45845</v>
      </c>
      <c r="D2630" t="inlineStr">
        <is>
          <t>KRONOBERGS LÄN</t>
        </is>
      </c>
      <c r="E2630" t="inlineStr">
        <is>
          <t>ALVESTA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10365-2021</t>
        </is>
      </c>
      <c r="B2631" s="1" t="n">
        <v>44257</v>
      </c>
      <c r="C2631" s="1" t="n">
        <v>45845</v>
      </c>
      <c r="D2631" t="inlineStr">
        <is>
          <t>KRONOBERGS LÄN</t>
        </is>
      </c>
      <c r="E2631" t="inlineStr">
        <is>
          <t>MARKARYD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10428-2021</t>
        </is>
      </c>
      <c r="B2632" s="1" t="n">
        <v>44257</v>
      </c>
      <c r="C2632" s="1" t="n">
        <v>45845</v>
      </c>
      <c r="D2632" t="inlineStr">
        <is>
          <t>KRONOBERGS LÄN</t>
        </is>
      </c>
      <c r="E2632" t="inlineStr">
        <is>
          <t>ALVESTA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10468-2021</t>
        </is>
      </c>
      <c r="B2633" s="1" t="n">
        <v>44257</v>
      </c>
      <c r="C2633" s="1" t="n">
        <v>45845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10516-2021</t>
        </is>
      </c>
      <c r="B2634" s="1" t="n">
        <v>44258</v>
      </c>
      <c r="C2634" s="1" t="n">
        <v>45845</v>
      </c>
      <c r="D2634" t="inlineStr">
        <is>
          <t>KRONOBERGS LÄN</t>
        </is>
      </c>
      <c r="E2634" t="inlineStr">
        <is>
          <t>LJUNGBY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10549-2021</t>
        </is>
      </c>
      <c r="B2635" s="1" t="n">
        <v>44258</v>
      </c>
      <c r="C2635" s="1" t="n">
        <v>45845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10664-2021</t>
        </is>
      </c>
      <c r="B2636" s="1" t="n">
        <v>44258</v>
      </c>
      <c r="C2636" s="1" t="n">
        <v>45845</v>
      </c>
      <c r="D2636" t="inlineStr">
        <is>
          <t>KRONOBERGS LÄN</t>
        </is>
      </c>
      <c r="E2636" t="inlineStr">
        <is>
          <t>LJUNGBY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10667-2021</t>
        </is>
      </c>
      <c r="B2637" s="1" t="n">
        <v>44258</v>
      </c>
      <c r="C2637" s="1" t="n">
        <v>45845</v>
      </c>
      <c r="D2637" t="inlineStr">
        <is>
          <t>KRONOBERGS LÄN</t>
        </is>
      </c>
      <c r="E2637" t="inlineStr">
        <is>
          <t>LJUNGBY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10676-2021</t>
        </is>
      </c>
      <c r="B2638" s="1" t="n">
        <v>44258</v>
      </c>
      <c r="C2638" s="1" t="n">
        <v>45845</v>
      </c>
      <c r="D2638" t="inlineStr">
        <is>
          <t>KRONOBERGS LÄN</t>
        </is>
      </c>
      <c r="E2638" t="inlineStr">
        <is>
          <t>TINGSRYD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10672-2021</t>
        </is>
      </c>
      <c r="B2639" s="1" t="n">
        <v>44258</v>
      </c>
      <c r="C2639" s="1" t="n">
        <v>45845</v>
      </c>
      <c r="D2639" t="inlineStr">
        <is>
          <t>KRONOBERGS LÄN</t>
        </is>
      </c>
      <c r="E2639" t="inlineStr">
        <is>
          <t>TINGSRYD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10789-2021</t>
        </is>
      </c>
      <c r="B2640" s="1" t="n">
        <v>44259</v>
      </c>
      <c r="C2640" s="1" t="n">
        <v>45845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10785-2021</t>
        </is>
      </c>
      <c r="B2641" s="1" t="n">
        <v>44259</v>
      </c>
      <c r="C2641" s="1" t="n">
        <v>45845</v>
      </c>
      <c r="D2641" t="inlineStr">
        <is>
          <t>KRONOBERGS LÄN</t>
        </is>
      </c>
      <c r="E2641" t="inlineStr">
        <is>
          <t>TINGSRYD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10804-2021</t>
        </is>
      </c>
      <c r="B2642" s="1" t="n">
        <v>44259</v>
      </c>
      <c r="C2642" s="1" t="n">
        <v>45845</v>
      </c>
      <c r="D2642" t="inlineStr">
        <is>
          <t>KRONOBERGS LÄN</t>
        </is>
      </c>
      <c r="E2642" t="inlineStr">
        <is>
          <t>VÄXJÖ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10847-2021</t>
        </is>
      </c>
      <c r="B2643" s="1" t="n">
        <v>44259</v>
      </c>
      <c r="C2643" s="1" t="n">
        <v>45845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10927-2021</t>
        </is>
      </c>
      <c r="B2644" s="1" t="n">
        <v>44259</v>
      </c>
      <c r="C2644" s="1" t="n">
        <v>45845</v>
      </c>
      <c r="D2644" t="inlineStr">
        <is>
          <t>KRONOBERGS LÄN</t>
        </is>
      </c>
      <c r="E2644" t="inlineStr">
        <is>
          <t>TINGSRYD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10842-2021</t>
        </is>
      </c>
      <c r="B2645" s="1" t="n">
        <v>44259</v>
      </c>
      <c r="C2645" s="1" t="n">
        <v>45845</v>
      </c>
      <c r="D2645" t="inlineStr">
        <is>
          <t>KRONOBERGS LÄN</t>
        </is>
      </c>
      <c r="E2645" t="inlineStr">
        <is>
          <t>LJUNGBY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10967-2021</t>
        </is>
      </c>
      <c r="B2646" s="1" t="n">
        <v>44260</v>
      </c>
      <c r="C2646" s="1" t="n">
        <v>45845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11128-2021</t>
        </is>
      </c>
      <c r="B2647" s="1" t="n">
        <v>44260</v>
      </c>
      <c r="C2647" s="1" t="n">
        <v>45845</v>
      </c>
      <c r="D2647" t="inlineStr">
        <is>
          <t>KRONOBERGS LÄN</t>
        </is>
      </c>
      <c r="E2647" t="inlineStr">
        <is>
          <t>LJUNGBY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11131-2021</t>
        </is>
      </c>
      <c r="B2648" s="1" t="n">
        <v>44260</v>
      </c>
      <c r="C2648" s="1" t="n">
        <v>45845</v>
      </c>
      <c r="D2648" t="inlineStr">
        <is>
          <t>KRONOBERGS LÄN</t>
        </is>
      </c>
      <c r="E2648" t="inlineStr">
        <is>
          <t>MARKARYD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11132-2021</t>
        </is>
      </c>
      <c r="B2649" s="1" t="n">
        <v>44260</v>
      </c>
      <c r="C2649" s="1" t="n">
        <v>45845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11182-2021</t>
        </is>
      </c>
      <c r="B2650" s="1" t="n">
        <v>44262</v>
      </c>
      <c r="C2650" s="1" t="n">
        <v>45845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11187-2021</t>
        </is>
      </c>
      <c r="B2651" s="1" t="n">
        <v>44263</v>
      </c>
      <c r="C2651" s="1" t="n">
        <v>45845</v>
      </c>
      <c r="D2651" t="inlineStr">
        <is>
          <t>KRONOBERGS LÄN</t>
        </is>
      </c>
      <c r="E2651" t="inlineStr">
        <is>
          <t>UPPVIDINGE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11547-2021</t>
        </is>
      </c>
      <c r="B2652" s="1" t="n">
        <v>44264</v>
      </c>
      <c r="C2652" s="1" t="n">
        <v>45845</v>
      </c>
      <c r="D2652" t="inlineStr">
        <is>
          <t>KRONOBERGS LÄN</t>
        </is>
      </c>
      <c r="E2652" t="inlineStr">
        <is>
          <t>ALVESTA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11601-2021</t>
        </is>
      </c>
      <c r="B2653" s="1" t="n">
        <v>44264</v>
      </c>
      <c r="C2653" s="1" t="n">
        <v>45845</v>
      </c>
      <c r="D2653" t="inlineStr">
        <is>
          <t>KRONOBERGS LÄN</t>
        </is>
      </c>
      <c r="E2653" t="inlineStr">
        <is>
          <t>VÄXJÖ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11619-2021</t>
        </is>
      </c>
      <c r="B2654" s="1" t="n">
        <v>44264</v>
      </c>
      <c r="C2654" s="1" t="n">
        <v>45845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11652-2021</t>
        </is>
      </c>
      <c r="B2655" s="1" t="n">
        <v>44264</v>
      </c>
      <c r="C2655" s="1" t="n">
        <v>45845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11680-2021</t>
        </is>
      </c>
      <c r="B2656" s="1" t="n">
        <v>44264</v>
      </c>
      <c r="C2656" s="1" t="n">
        <v>45845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11649-2021</t>
        </is>
      </c>
      <c r="B2657" s="1" t="n">
        <v>44264</v>
      </c>
      <c r="C2657" s="1" t="n">
        <v>45845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11651-2021</t>
        </is>
      </c>
      <c r="B2658" s="1" t="n">
        <v>44264</v>
      </c>
      <c r="C2658" s="1" t="n">
        <v>45845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11800-2021</t>
        </is>
      </c>
      <c r="B2659" s="1" t="n">
        <v>44265</v>
      </c>
      <c r="C2659" s="1" t="n">
        <v>45845</v>
      </c>
      <c r="D2659" t="inlineStr">
        <is>
          <t>KRONOBERGS LÄN</t>
        </is>
      </c>
      <c r="E2659" t="inlineStr">
        <is>
          <t>TINGSRYD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11803-2021</t>
        </is>
      </c>
      <c r="B2660" s="1" t="n">
        <v>44265</v>
      </c>
      <c r="C2660" s="1" t="n">
        <v>45845</v>
      </c>
      <c r="D2660" t="inlineStr">
        <is>
          <t>KRONOBERGS LÄN</t>
        </is>
      </c>
      <c r="E2660" t="inlineStr">
        <is>
          <t>VÄXJÖ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11801-2021</t>
        </is>
      </c>
      <c r="B2661" s="1" t="n">
        <v>44265</v>
      </c>
      <c r="C2661" s="1" t="n">
        <v>45845</v>
      </c>
      <c r="D2661" t="inlineStr">
        <is>
          <t>KRONOBERGS LÄN</t>
        </is>
      </c>
      <c r="E2661" t="inlineStr">
        <is>
          <t>TINGSRYD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11884-2021</t>
        </is>
      </c>
      <c r="B2662" s="1" t="n">
        <v>44265</v>
      </c>
      <c r="C2662" s="1" t="n">
        <v>45845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11914-2021</t>
        </is>
      </c>
      <c r="B2663" s="1" t="n">
        <v>44265</v>
      </c>
      <c r="C2663" s="1" t="n">
        <v>45845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11975-2021</t>
        </is>
      </c>
      <c r="B2664" s="1" t="n">
        <v>44266</v>
      </c>
      <c r="C2664" s="1" t="n">
        <v>45845</v>
      </c>
      <c r="D2664" t="inlineStr">
        <is>
          <t>KRONOBERGS LÄN</t>
        </is>
      </c>
      <c r="E2664" t="inlineStr">
        <is>
          <t>VÄXJÖ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11997-2021</t>
        </is>
      </c>
      <c r="B2665" s="1" t="n">
        <v>44266</v>
      </c>
      <c r="C2665" s="1" t="n">
        <v>45845</v>
      </c>
      <c r="D2665" t="inlineStr">
        <is>
          <t>KRONOBERGS LÄN</t>
        </is>
      </c>
      <c r="E2665" t="inlineStr">
        <is>
          <t>TINGSRYD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12131-2021</t>
        </is>
      </c>
      <c r="B2666" s="1" t="n">
        <v>44266</v>
      </c>
      <c r="C2666" s="1" t="n">
        <v>45845</v>
      </c>
      <c r="D2666" t="inlineStr">
        <is>
          <t>KRONOBERGS LÄN</t>
        </is>
      </c>
      <c r="E2666" t="inlineStr">
        <is>
          <t>LJUNGBY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12200-2021</t>
        </is>
      </c>
      <c r="B2667" s="1" t="n">
        <v>44266</v>
      </c>
      <c r="C2667" s="1" t="n">
        <v>45845</v>
      </c>
      <c r="D2667" t="inlineStr">
        <is>
          <t>KRONOBERGS LÄN</t>
        </is>
      </c>
      <c r="E2667" t="inlineStr">
        <is>
          <t>TINGSRYD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12253-2021</t>
        </is>
      </c>
      <c r="B2668" s="1" t="n">
        <v>44266</v>
      </c>
      <c r="C2668" s="1" t="n">
        <v>45845</v>
      </c>
      <c r="D2668" t="inlineStr">
        <is>
          <t>KRONOBERGS LÄN</t>
        </is>
      </c>
      <c r="E2668" t="inlineStr">
        <is>
          <t>VÄXJÖ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12248-2021</t>
        </is>
      </c>
      <c r="B2669" s="1" t="n">
        <v>44266</v>
      </c>
      <c r="C2669" s="1" t="n">
        <v>45845</v>
      </c>
      <c r="D2669" t="inlineStr">
        <is>
          <t>KRONOBERGS LÄN</t>
        </is>
      </c>
      <c r="E2669" t="inlineStr">
        <is>
          <t>ÄLMHULT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12377-2021</t>
        </is>
      </c>
      <c r="B2670" s="1" t="n">
        <v>44267</v>
      </c>
      <c r="C2670" s="1" t="n">
        <v>45845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12386-2021</t>
        </is>
      </c>
      <c r="B2671" s="1" t="n">
        <v>44267</v>
      </c>
      <c r="C2671" s="1" t="n">
        <v>45845</v>
      </c>
      <c r="D2671" t="inlineStr">
        <is>
          <t>KRONOBERGS LÄN</t>
        </is>
      </c>
      <c r="E2671" t="inlineStr">
        <is>
          <t>TINGSRYD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12297-2021</t>
        </is>
      </c>
      <c r="B2672" s="1" t="n">
        <v>44267</v>
      </c>
      <c r="C2672" s="1" t="n">
        <v>45845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12404-2021</t>
        </is>
      </c>
      <c r="B2673" s="1" t="n">
        <v>44267</v>
      </c>
      <c r="C2673" s="1" t="n">
        <v>45845</v>
      </c>
      <c r="D2673" t="inlineStr">
        <is>
          <t>KRONOBERGS LÄN</t>
        </is>
      </c>
      <c r="E2673" t="inlineStr">
        <is>
          <t>VÄXJÖ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12448-2021</t>
        </is>
      </c>
      <c r="B2674" s="1" t="n">
        <v>44267</v>
      </c>
      <c r="C2674" s="1" t="n">
        <v>45845</v>
      </c>
      <c r="D2674" t="inlineStr">
        <is>
          <t>KRONOBERGS LÄN</t>
        </is>
      </c>
      <c r="E2674" t="inlineStr">
        <is>
          <t>UPPVIDINGE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12449-2021</t>
        </is>
      </c>
      <c r="B2675" s="1" t="n">
        <v>44267</v>
      </c>
      <c r="C2675" s="1" t="n">
        <v>45845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12613-2021</t>
        </is>
      </c>
      <c r="B2676" s="1" t="n">
        <v>44270</v>
      </c>
      <c r="C2676" s="1" t="n">
        <v>45845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12694-2021</t>
        </is>
      </c>
      <c r="B2677" s="1" t="n">
        <v>44270</v>
      </c>
      <c r="C2677" s="1" t="n">
        <v>45845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12689-2021</t>
        </is>
      </c>
      <c r="B2678" s="1" t="n">
        <v>44270</v>
      </c>
      <c r="C2678" s="1" t="n">
        <v>45845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12838-2021</t>
        </is>
      </c>
      <c r="B2679" s="1" t="n">
        <v>44271</v>
      </c>
      <c r="C2679" s="1" t="n">
        <v>45845</v>
      </c>
      <c r="D2679" t="inlineStr">
        <is>
          <t>KRONOBERGS LÄN</t>
        </is>
      </c>
      <c r="E2679" t="inlineStr">
        <is>
          <t>ALVESTA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13015-2021</t>
        </is>
      </c>
      <c r="B2680" s="1" t="n">
        <v>44271</v>
      </c>
      <c r="C2680" s="1" t="n">
        <v>45845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13027-2021</t>
        </is>
      </c>
      <c r="B2681" s="1" t="n">
        <v>44271</v>
      </c>
      <c r="C2681" s="1" t="n">
        <v>45845</v>
      </c>
      <c r="D2681" t="inlineStr">
        <is>
          <t>KRONOBERGS LÄN</t>
        </is>
      </c>
      <c r="E2681" t="inlineStr">
        <is>
          <t>MARKARYD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13075-2021</t>
        </is>
      </c>
      <c r="B2682" s="1" t="n">
        <v>44272</v>
      </c>
      <c r="C2682" s="1" t="n">
        <v>45845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13073-2021</t>
        </is>
      </c>
      <c r="B2683" s="1" t="n">
        <v>44272</v>
      </c>
      <c r="C2683" s="1" t="n">
        <v>45845</v>
      </c>
      <c r="D2683" t="inlineStr">
        <is>
          <t>KRONOBERGS LÄN</t>
        </is>
      </c>
      <c r="E2683" t="inlineStr">
        <is>
          <t>TINGSRYD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13287-2021</t>
        </is>
      </c>
      <c r="B2684" s="1" t="n">
        <v>44272</v>
      </c>
      <c r="C2684" s="1" t="n">
        <v>45845</v>
      </c>
      <c r="D2684" t="inlineStr">
        <is>
          <t>KRONOBERGS LÄN</t>
        </is>
      </c>
      <c r="E2684" t="inlineStr">
        <is>
          <t>LJUNGBY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13330-2021</t>
        </is>
      </c>
      <c r="B2685" s="1" t="n">
        <v>44273</v>
      </c>
      <c r="C2685" s="1" t="n">
        <v>45845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13327-2021</t>
        </is>
      </c>
      <c r="B2686" s="1" t="n">
        <v>44273</v>
      </c>
      <c r="C2686" s="1" t="n">
        <v>45845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13477-2021</t>
        </is>
      </c>
      <c r="B2687" s="1" t="n">
        <v>44273</v>
      </c>
      <c r="C2687" s="1" t="n">
        <v>45845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13371-2021</t>
        </is>
      </c>
      <c r="B2688" s="1" t="n">
        <v>44273</v>
      </c>
      <c r="C2688" s="1" t="n">
        <v>45845</v>
      </c>
      <c r="D2688" t="inlineStr">
        <is>
          <t>KRONOBERGS LÄN</t>
        </is>
      </c>
      <c r="E2688" t="inlineStr">
        <is>
          <t>UPPVIDINGE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13672-2021</t>
        </is>
      </c>
      <c r="B2689" s="1" t="n">
        <v>44274</v>
      </c>
      <c r="C2689" s="1" t="n">
        <v>45845</v>
      </c>
      <c r="D2689" t="inlineStr">
        <is>
          <t>KRONOBERGS LÄN</t>
        </is>
      </c>
      <c r="E2689" t="inlineStr">
        <is>
          <t>VÄXJÖ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13779-2021</t>
        </is>
      </c>
      <c r="B2690" s="1" t="n">
        <v>44274</v>
      </c>
      <c r="C2690" s="1" t="n">
        <v>45845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13677-2021</t>
        </is>
      </c>
      <c r="B2691" s="1" t="n">
        <v>44274</v>
      </c>
      <c r="C2691" s="1" t="n">
        <v>45845</v>
      </c>
      <c r="D2691" t="inlineStr">
        <is>
          <t>KRONOBERGS LÄN</t>
        </is>
      </c>
      <c r="E2691" t="inlineStr">
        <is>
          <t>UPPVIDINGE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13722-2021</t>
        </is>
      </c>
      <c r="B2692" s="1" t="n">
        <v>44274</v>
      </c>
      <c r="C2692" s="1" t="n">
        <v>45845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13817-2021</t>
        </is>
      </c>
      <c r="B2693" s="1" t="n">
        <v>44276</v>
      </c>
      <c r="C2693" s="1" t="n">
        <v>45845</v>
      </c>
      <c r="D2693" t="inlineStr">
        <is>
          <t>KRONOBERGS LÄN</t>
        </is>
      </c>
      <c r="E2693" t="inlineStr">
        <is>
          <t>UPPVIDINGE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13892-2021</t>
        </is>
      </c>
      <c r="B2694" s="1" t="n">
        <v>44277</v>
      </c>
      <c r="C2694" s="1" t="n">
        <v>45845</v>
      </c>
      <c r="D2694" t="inlineStr">
        <is>
          <t>KRONOBERGS LÄN</t>
        </is>
      </c>
      <c r="E2694" t="inlineStr">
        <is>
          <t>VÄXJÖ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13977-2021</t>
        </is>
      </c>
      <c r="B2695" s="1" t="n">
        <v>44277</v>
      </c>
      <c r="C2695" s="1" t="n">
        <v>45845</v>
      </c>
      <c r="D2695" t="inlineStr">
        <is>
          <t>KRONOBERGS LÄN</t>
        </is>
      </c>
      <c r="E2695" t="inlineStr">
        <is>
          <t>ÄLMHULT</t>
        </is>
      </c>
      <c r="G2695" t="n">
        <v>4.6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13999-2021</t>
        </is>
      </c>
      <c r="B2696" s="1" t="n">
        <v>44277</v>
      </c>
      <c r="C2696" s="1" t="n">
        <v>45845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14002-2021</t>
        </is>
      </c>
      <c r="B2697" s="1" t="n">
        <v>44277</v>
      </c>
      <c r="C2697" s="1" t="n">
        <v>45845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14184-2021</t>
        </is>
      </c>
      <c r="B2698" s="1" t="n">
        <v>44278</v>
      </c>
      <c r="C2698" s="1" t="n">
        <v>45845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14209-2021</t>
        </is>
      </c>
      <c r="B2699" s="1" t="n">
        <v>44278</v>
      </c>
      <c r="C2699" s="1" t="n">
        <v>45845</v>
      </c>
      <c r="D2699" t="inlineStr">
        <is>
          <t>KRONOBERGS LÄN</t>
        </is>
      </c>
      <c r="E2699" t="inlineStr">
        <is>
          <t>UPPVIDINGE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14140-2021</t>
        </is>
      </c>
      <c r="B2700" s="1" t="n">
        <v>44278</v>
      </c>
      <c r="C2700" s="1" t="n">
        <v>45845</v>
      </c>
      <c r="D2700" t="inlineStr">
        <is>
          <t>KRONOBERGS LÄN</t>
        </is>
      </c>
      <c r="E2700" t="inlineStr">
        <is>
          <t>ÄLMHULT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14339-2021</t>
        </is>
      </c>
      <c r="B2701" s="1" t="n">
        <v>44279</v>
      </c>
      <c r="C2701" s="1" t="n">
        <v>45845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14384-2021</t>
        </is>
      </c>
      <c r="B2702" s="1" t="n">
        <v>44279</v>
      </c>
      <c r="C2702" s="1" t="n">
        <v>45845</v>
      </c>
      <c r="D2702" t="inlineStr">
        <is>
          <t>KRONOBERGS LÄN</t>
        </is>
      </c>
      <c r="E2702" t="inlineStr">
        <is>
          <t>ÄLMHULT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14670-2021</t>
        </is>
      </c>
      <c r="B2703" s="1" t="n">
        <v>44279</v>
      </c>
      <c r="C2703" s="1" t="n">
        <v>45845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14749-2021</t>
        </is>
      </c>
      <c r="B2704" s="1" t="n">
        <v>44280</v>
      </c>
      <c r="C2704" s="1" t="n">
        <v>45845</v>
      </c>
      <c r="D2704" t="inlineStr">
        <is>
          <t>KRONOBERGS LÄN</t>
        </is>
      </c>
      <c r="E2704" t="inlineStr">
        <is>
          <t>LJUNGBY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14612-2021</t>
        </is>
      </c>
      <c r="B2705" s="1" t="n">
        <v>44280</v>
      </c>
      <c r="C2705" s="1" t="n">
        <v>45845</v>
      </c>
      <c r="D2705" t="inlineStr">
        <is>
          <t>KRONOBERGS LÄN</t>
        </is>
      </c>
      <c r="E2705" t="inlineStr">
        <is>
          <t>ÄLMHULT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14695-2021</t>
        </is>
      </c>
      <c r="B2706" s="1" t="n">
        <v>44280</v>
      </c>
      <c r="C2706" s="1" t="n">
        <v>45845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14893-2021</t>
        </is>
      </c>
      <c r="B2707" s="1" t="n">
        <v>44281</v>
      </c>
      <c r="C2707" s="1" t="n">
        <v>45845</v>
      </c>
      <c r="D2707" t="inlineStr">
        <is>
          <t>KRONOBERGS LÄN</t>
        </is>
      </c>
      <c r="E2707" t="inlineStr">
        <is>
          <t>LESSEBO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14923-2021</t>
        </is>
      </c>
      <c r="B2708" s="1" t="n">
        <v>44281</v>
      </c>
      <c r="C2708" s="1" t="n">
        <v>45845</v>
      </c>
      <c r="D2708" t="inlineStr">
        <is>
          <t>KRONOBERGS LÄN</t>
        </is>
      </c>
      <c r="E2708" t="inlineStr">
        <is>
          <t>LJUNGBY</t>
        </is>
      </c>
      <c r="F2708" t="inlineStr">
        <is>
          <t>Kommuner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15128-2021</t>
        </is>
      </c>
      <c r="B2709" s="1" t="n">
        <v>44283</v>
      </c>
      <c r="C2709" s="1" t="n">
        <v>45845</v>
      </c>
      <c r="D2709" t="inlineStr">
        <is>
          <t>KRONOBERGS LÄN</t>
        </is>
      </c>
      <c r="E2709" t="inlineStr">
        <is>
          <t>MARKARYD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15165-2021</t>
        </is>
      </c>
      <c r="B2710" s="1" t="n">
        <v>44284</v>
      </c>
      <c r="C2710" s="1" t="n">
        <v>45845</v>
      </c>
      <c r="D2710" t="inlineStr">
        <is>
          <t>KRONOBERGS LÄN</t>
        </is>
      </c>
      <c r="E2710" t="inlineStr">
        <is>
          <t>ÄLMHULT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15176-2021</t>
        </is>
      </c>
      <c r="B2711" s="1" t="n">
        <v>44284</v>
      </c>
      <c r="C2711" s="1" t="n">
        <v>45845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15272-2021</t>
        </is>
      </c>
      <c r="B2712" s="1" t="n">
        <v>44284</v>
      </c>
      <c r="C2712" s="1" t="n">
        <v>45845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15350-2021</t>
        </is>
      </c>
      <c r="B2713" s="1" t="n">
        <v>44284</v>
      </c>
      <c r="C2713" s="1" t="n">
        <v>45845</v>
      </c>
      <c r="D2713" t="inlineStr">
        <is>
          <t>KRONOBERGS LÄN</t>
        </is>
      </c>
      <c r="E2713" t="inlineStr">
        <is>
          <t>LJUNGBY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15402-2021</t>
        </is>
      </c>
      <c r="B2714" s="1" t="n">
        <v>44285</v>
      </c>
      <c r="C2714" s="1" t="n">
        <v>45845</v>
      </c>
      <c r="D2714" t="inlineStr">
        <is>
          <t>KRONOBERGS LÄN</t>
        </is>
      </c>
      <c r="E2714" t="inlineStr">
        <is>
          <t>TINGSRYD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15408-2021</t>
        </is>
      </c>
      <c r="B2715" s="1" t="n">
        <v>44285</v>
      </c>
      <c r="C2715" s="1" t="n">
        <v>45845</v>
      </c>
      <c r="D2715" t="inlineStr">
        <is>
          <t>KRONOBERGS LÄN</t>
        </is>
      </c>
      <c r="E2715" t="inlineStr">
        <is>
          <t>UPPVIDINGE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15578-2021</t>
        </is>
      </c>
      <c r="B2716" s="1" t="n">
        <v>44285</v>
      </c>
      <c r="C2716" s="1" t="n">
        <v>45845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15551-2021</t>
        </is>
      </c>
      <c r="B2717" s="1" t="n">
        <v>44285</v>
      </c>
      <c r="C2717" s="1" t="n">
        <v>45845</v>
      </c>
      <c r="D2717" t="inlineStr">
        <is>
          <t>KRONOBERGS LÄN</t>
        </is>
      </c>
      <c r="E2717" t="inlineStr">
        <is>
          <t>VÄXJÖ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15566-2021</t>
        </is>
      </c>
      <c r="B2718" s="1" t="n">
        <v>44285</v>
      </c>
      <c r="C2718" s="1" t="n">
        <v>45845</v>
      </c>
      <c r="D2718" t="inlineStr">
        <is>
          <t>KRONOBERGS LÄN</t>
        </is>
      </c>
      <c r="E2718" t="inlineStr">
        <is>
          <t>TINGSRYD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15631-2021</t>
        </is>
      </c>
      <c r="B2719" s="1" t="n">
        <v>44285</v>
      </c>
      <c r="C2719" s="1" t="n">
        <v>45845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15630-2021</t>
        </is>
      </c>
      <c r="B2720" s="1" t="n">
        <v>44285</v>
      </c>
      <c r="C2720" s="1" t="n">
        <v>45845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15749-2021</t>
        </is>
      </c>
      <c r="B2721" s="1" t="n">
        <v>44286</v>
      </c>
      <c r="C2721" s="1" t="n">
        <v>45845</v>
      </c>
      <c r="D2721" t="inlineStr">
        <is>
          <t>KRONOBERGS LÄN</t>
        </is>
      </c>
      <c r="E2721" t="inlineStr">
        <is>
          <t>VÄXJÖ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15855-2021</t>
        </is>
      </c>
      <c r="B2722" s="1" t="n">
        <v>44286</v>
      </c>
      <c r="C2722" s="1" t="n">
        <v>45845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16081-2021</t>
        </is>
      </c>
      <c r="B2723" s="1" t="n">
        <v>44288</v>
      </c>
      <c r="C2723" s="1" t="n">
        <v>45845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16290-2021</t>
        </is>
      </c>
      <c r="B2724" s="1" t="n">
        <v>44292</v>
      </c>
      <c r="C2724" s="1" t="n">
        <v>45845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16224-2021</t>
        </is>
      </c>
      <c r="B2725" s="1" t="n">
        <v>44292</v>
      </c>
      <c r="C2725" s="1" t="n">
        <v>45845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16259-2021</t>
        </is>
      </c>
      <c r="B2726" s="1" t="n">
        <v>44292</v>
      </c>
      <c r="C2726" s="1" t="n">
        <v>45845</v>
      </c>
      <c r="D2726" t="inlineStr">
        <is>
          <t>KRONOBERGS LÄN</t>
        </is>
      </c>
      <c r="E2726" t="inlineStr">
        <is>
          <t>ÄLMHULT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16280-2021</t>
        </is>
      </c>
      <c r="B2727" s="1" t="n">
        <v>44292</v>
      </c>
      <c r="C2727" s="1" t="n">
        <v>45845</v>
      </c>
      <c r="D2727" t="inlineStr">
        <is>
          <t>KRONOBERGS LÄN</t>
        </is>
      </c>
      <c r="E2727" t="inlineStr">
        <is>
          <t>TINGSRYD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16328-2021</t>
        </is>
      </c>
      <c r="B2728" s="1" t="n">
        <v>44292</v>
      </c>
      <c r="C2728" s="1" t="n">
        <v>45845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16162-2021</t>
        </is>
      </c>
      <c r="B2729" s="1" t="n">
        <v>44292</v>
      </c>
      <c r="C2729" s="1" t="n">
        <v>45845</v>
      </c>
      <c r="D2729" t="inlineStr">
        <is>
          <t>KRONOBERGS LÄN</t>
        </is>
      </c>
      <c r="E2729" t="inlineStr">
        <is>
          <t>VÄXJÖ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16313-2021</t>
        </is>
      </c>
      <c r="B2730" s="1" t="n">
        <v>44292</v>
      </c>
      <c r="C2730" s="1" t="n">
        <v>45845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16361-2021</t>
        </is>
      </c>
      <c r="B2731" s="1" t="n">
        <v>44293</v>
      </c>
      <c r="C2731" s="1" t="n">
        <v>45845</v>
      </c>
      <c r="D2731" t="inlineStr">
        <is>
          <t>KRONOBERGS LÄN</t>
        </is>
      </c>
      <c r="E2731" t="inlineStr">
        <is>
          <t>ÄLMHULT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16399-2021</t>
        </is>
      </c>
      <c r="B2732" s="1" t="n">
        <v>44293</v>
      </c>
      <c r="C2732" s="1" t="n">
        <v>45845</v>
      </c>
      <c r="D2732" t="inlineStr">
        <is>
          <t>KRONOBERGS LÄN</t>
        </is>
      </c>
      <c r="E2732" t="inlineStr">
        <is>
          <t>ALVESTA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16721-2021</t>
        </is>
      </c>
      <c r="B2733" s="1" t="n">
        <v>44294</v>
      </c>
      <c r="C2733" s="1" t="n">
        <v>45845</v>
      </c>
      <c r="D2733" t="inlineStr">
        <is>
          <t>KRONOBERGS LÄN</t>
        </is>
      </c>
      <c r="E2733" t="inlineStr">
        <is>
          <t>ÄLMHULT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16948-2021</t>
        </is>
      </c>
      <c r="B2734" s="1" t="n">
        <v>44295</v>
      </c>
      <c r="C2734" s="1" t="n">
        <v>45845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16955-2021</t>
        </is>
      </c>
      <c r="B2735" s="1" t="n">
        <v>44295</v>
      </c>
      <c r="C2735" s="1" t="n">
        <v>45845</v>
      </c>
      <c r="D2735" t="inlineStr">
        <is>
          <t>KRONOBERGS LÄN</t>
        </is>
      </c>
      <c r="E2735" t="inlineStr">
        <is>
          <t>UPPVIDINGE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16965-2021</t>
        </is>
      </c>
      <c r="B2736" s="1" t="n">
        <v>44295</v>
      </c>
      <c r="C2736" s="1" t="n">
        <v>45845</v>
      </c>
      <c r="D2736" t="inlineStr">
        <is>
          <t>KRONOBERGS LÄN</t>
        </is>
      </c>
      <c r="E2736" t="inlineStr">
        <is>
          <t>ALVESTA</t>
        </is>
      </c>
      <c r="G2736" t="n">
        <v>21.8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16803-2021</t>
        </is>
      </c>
      <c r="B2737" s="1" t="n">
        <v>44295</v>
      </c>
      <c r="C2737" s="1" t="n">
        <v>45845</v>
      </c>
      <c r="D2737" t="inlineStr">
        <is>
          <t>KRONOBERGS LÄN</t>
        </is>
      </c>
      <c r="E2737" t="inlineStr">
        <is>
          <t>LJUNGBY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16800-2021</t>
        </is>
      </c>
      <c r="B2738" s="1" t="n">
        <v>44295</v>
      </c>
      <c r="C2738" s="1" t="n">
        <v>45845</v>
      </c>
      <c r="D2738" t="inlineStr">
        <is>
          <t>KRONOBERGS LÄN</t>
        </is>
      </c>
      <c r="E2738" t="inlineStr">
        <is>
          <t>ALVESTA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16949-2021</t>
        </is>
      </c>
      <c r="B2739" s="1" t="n">
        <v>44295</v>
      </c>
      <c r="C2739" s="1" t="n">
        <v>45845</v>
      </c>
      <c r="D2739" t="inlineStr">
        <is>
          <t>KRONOBERGS LÄN</t>
        </is>
      </c>
      <c r="E2739" t="inlineStr">
        <is>
          <t>VÄXJÖ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17039-2021</t>
        </is>
      </c>
      <c r="B2740" s="1" t="n">
        <v>44295</v>
      </c>
      <c r="C2740" s="1" t="n">
        <v>45845</v>
      </c>
      <c r="D2740" t="inlineStr">
        <is>
          <t>KRONOBERGS LÄN</t>
        </is>
      </c>
      <c r="E2740" t="inlineStr">
        <is>
          <t>LJUNGBY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17073-2021</t>
        </is>
      </c>
      <c r="B2741" s="1" t="n">
        <v>44297</v>
      </c>
      <c r="C2741" s="1" t="n">
        <v>45845</v>
      </c>
      <c r="D2741" t="inlineStr">
        <is>
          <t>KRONOBERGS LÄN</t>
        </is>
      </c>
      <c r="E2741" t="inlineStr">
        <is>
          <t>LJUNGBY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17075-2021</t>
        </is>
      </c>
      <c r="B2742" s="1" t="n">
        <v>44297</v>
      </c>
      <c r="C2742" s="1" t="n">
        <v>45845</v>
      </c>
      <c r="D2742" t="inlineStr">
        <is>
          <t>KRONOBERGS LÄN</t>
        </is>
      </c>
      <c r="E2742" t="inlineStr">
        <is>
          <t>LJUNGBY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17188-2021</t>
        </is>
      </c>
      <c r="B2743" s="1" t="n">
        <v>44298</v>
      </c>
      <c r="C2743" s="1" t="n">
        <v>45845</v>
      </c>
      <c r="D2743" t="inlineStr">
        <is>
          <t>KRONOBERGS LÄN</t>
        </is>
      </c>
      <c r="E2743" t="inlineStr">
        <is>
          <t>VÄXJÖ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17212-2021</t>
        </is>
      </c>
      <c r="B2744" s="1" t="n">
        <v>44298</v>
      </c>
      <c r="C2744" s="1" t="n">
        <v>45845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17340-2021</t>
        </is>
      </c>
      <c r="B2745" s="1" t="n">
        <v>44298</v>
      </c>
      <c r="C2745" s="1" t="n">
        <v>45845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17336-2021</t>
        </is>
      </c>
      <c r="B2746" s="1" t="n">
        <v>44298</v>
      </c>
      <c r="C2746" s="1" t="n">
        <v>45845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17388-2021</t>
        </is>
      </c>
      <c r="B2747" s="1" t="n">
        <v>44298</v>
      </c>
      <c r="C2747" s="1" t="n">
        <v>45845</v>
      </c>
      <c r="D2747" t="inlineStr">
        <is>
          <t>KRONOBERGS LÄN</t>
        </is>
      </c>
      <c r="E2747" t="inlineStr">
        <is>
          <t>VÄXJÖ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17485-2021</t>
        </is>
      </c>
      <c r="B2748" s="1" t="n">
        <v>44299</v>
      </c>
      <c r="C2748" s="1" t="n">
        <v>45845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17514-2021</t>
        </is>
      </c>
      <c r="B2749" s="1" t="n">
        <v>44299</v>
      </c>
      <c r="C2749" s="1" t="n">
        <v>45845</v>
      </c>
      <c r="D2749" t="inlineStr">
        <is>
          <t>KRONOBERGS LÄN</t>
        </is>
      </c>
      <c r="E2749" t="inlineStr">
        <is>
          <t>TINGSRYD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17702-2021</t>
        </is>
      </c>
      <c r="B2750" s="1" t="n">
        <v>44300</v>
      </c>
      <c r="C2750" s="1" t="n">
        <v>45845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17912-2021</t>
        </is>
      </c>
      <c r="B2751" s="1" t="n">
        <v>44301</v>
      </c>
      <c r="C2751" s="1" t="n">
        <v>45845</v>
      </c>
      <c r="D2751" t="inlineStr">
        <is>
          <t>KRONOBERGS LÄN</t>
        </is>
      </c>
      <c r="E2751" t="inlineStr">
        <is>
          <t>TINGSRYD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17924-2021</t>
        </is>
      </c>
      <c r="B2752" s="1" t="n">
        <v>44301</v>
      </c>
      <c r="C2752" s="1" t="n">
        <v>45845</v>
      </c>
      <c r="D2752" t="inlineStr">
        <is>
          <t>KRONOBERGS LÄN</t>
        </is>
      </c>
      <c r="E2752" t="inlineStr">
        <is>
          <t>TINGSRYD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18077-2021</t>
        </is>
      </c>
      <c r="B2753" s="1" t="n">
        <v>44302</v>
      </c>
      <c r="C2753" s="1" t="n">
        <v>45845</v>
      </c>
      <c r="D2753" t="inlineStr">
        <is>
          <t>KRONOBERGS LÄN</t>
        </is>
      </c>
      <c r="E2753" t="inlineStr">
        <is>
          <t>TINGSRYD</t>
        </is>
      </c>
      <c r="G2753" t="n">
        <v>20.4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18055-2021</t>
        </is>
      </c>
      <c r="B2754" s="1" t="n">
        <v>44302</v>
      </c>
      <c r="C2754" s="1" t="n">
        <v>45845</v>
      </c>
      <c r="D2754" t="inlineStr">
        <is>
          <t>KRONOBERGS LÄN</t>
        </is>
      </c>
      <c r="E2754" t="inlineStr">
        <is>
          <t>TINGSRYD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18229-2021</t>
        </is>
      </c>
      <c r="B2755" s="1" t="n">
        <v>44303</v>
      </c>
      <c r="C2755" s="1" t="n">
        <v>45845</v>
      </c>
      <c r="D2755" t="inlineStr">
        <is>
          <t>KRONOBERGS LÄN</t>
        </is>
      </c>
      <c r="E2755" t="inlineStr">
        <is>
          <t>MARKARYD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18228-2021</t>
        </is>
      </c>
      <c r="B2756" s="1" t="n">
        <v>44303</v>
      </c>
      <c r="C2756" s="1" t="n">
        <v>45845</v>
      </c>
      <c r="D2756" t="inlineStr">
        <is>
          <t>KRONOBERGS LÄN</t>
        </is>
      </c>
      <c r="E2756" t="inlineStr">
        <is>
          <t>MARKARYD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18233-2021</t>
        </is>
      </c>
      <c r="B2757" s="1" t="n">
        <v>44303</v>
      </c>
      <c r="C2757" s="1" t="n">
        <v>45845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18236-2021</t>
        </is>
      </c>
      <c r="B2758" s="1" t="n">
        <v>44304</v>
      </c>
      <c r="C2758" s="1" t="n">
        <v>45845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18426-2021</t>
        </is>
      </c>
      <c r="B2759" s="1" t="n">
        <v>44305</v>
      </c>
      <c r="C2759" s="1" t="n">
        <v>45845</v>
      </c>
      <c r="D2759" t="inlineStr">
        <is>
          <t>KRONOBERGS LÄN</t>
        </is>
      </c>
      <c r="E2759" t="inlineStr">
        <is>
          <t>VÄXJÖ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18416-2021</t>
        </is>
      </c>
      <c r="B2760" s="1" t="n">
        <v>44305</v>
      </c>
      <c r="C2760" s="1" t="n">
        <v>45845</v>
      </c>
      <c r="D2760" t="inlineStr">
        <is>
          <t>KRONOBERGS LÄN</t>
        </is>
      </c>
      <c r="E2760" t="inlineStr">
        <is>
          <t>LJUNGBY</t>
        </is>
      </c>
      <c r="F2760" t="inlineStr">
        <is>
          <t>Kyrkan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18419-2021</t>
        </is>
      </c>
      <c r="B2761" s="1" t="n">
        <v>44305</v>
      </c>
      <c r="C2761" s="1" t="n">
        <v>45845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18427-2021</t>
        </is>
      </c>
      <c r="B2762" s="1" t="n">
        <v>44305</v>
      </c>
      <c r="C2762" s="1" t="n">
        <v>45845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18458-2021</t>
        </is>
      </c>
      <c r="B2763" s="1" t="n">
        <v>44305</v>
      </c>
      <c r="C2763" s="1" t="n">
        <v>45845</v>
      </c>
      <c r="D2763" t="inlineStr">
        <is>
          <t>KRONOBERGS LÄN</t>
        </is>
      </c>
      <c r="E2763" t="inlineStr">
        <is>
          <t>VÄXJÖ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18568-2021</t>
        </is>
      </c>
      <c r="B2764" s="1" t="n">
        <v>44305</v>
      </c>
      <c r="C2764" s="1" t="n">
        <v>45845</v>
      </c>
      <c r="D2764" t="inlineStr">
        <is>
          <t>KRONOBERGS LÄN</t>
        </is>
      </c>
      <c r="E2764" t="inlineStr">
        <is>
          <t>ALVESTA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18630-2021</t>
        </is>
      </c>
      <c r="B2765" s="1" t="n">
        <v>44306</v>
      </c>
      <c r="C2765" s="1" t="n">
        <v>45845</v>
      </c>
      <c r="D2765" t="inlineStr">
        <is>
          <t>KRONOBERGS LÄN</t>
        </is>
      </c>
      <c r="E2765" t="inlineStr">
        <is>
          <t>LESSEBO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18632-2021</t>
        </is>
      </c>
      <c r="B2766" s="1" t="n">
        <v>44306</v>
      </c>
      <c r="C2766" s="1" t="n">
        <v>45845</v>
      </c>
      <c r="D2766" t="inlineStr">
        <is>
          <t>KRONOBERGS LÄN</t>
        </is>
      </c>
      <c r="E2766" t="inlineStr">
        <is>
          <t>ALVESTA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18643-2021</t>
        </is>
      </c>
      <c r="B2767" s="1" t="n">
        <v>44306</v>
      </c>
      <c r="C2767" s="1" t="n">
        <v>45845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18605-2021</t>
        </is>
      </c>
      <c r="B2768" s="1" t="n">
        <v>44306</v>
      </c>
      <c r="C2768" s="1" t="n">
        <v>45845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18621-2021</t>
        </is>
      </c>
      <c r="B2769" s="1" t="n">
        <v>44306</v>
      </c>
      <c r="C2769" s="1" t="n">
        <v>45845</v>
      </c>
      <c r="D2769" t="inlineStr">
        <is>
          <t>KRONOBERGS LÄN</t>
        </is>
      </c>
      <c r="E2769" t="inlineStr">
        <is>
          <t>TINGSRYD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18639-2021</t>
        </is>
      </c>
      <c r="B2770" s="1" t="n">
        <v>44306</v>
      </c>
      <c r="C2770" s="1" t="n">
        <v>45845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18729-2021</t>
        </is>
      </c>
      <c r="B2771" s="1" t="n">
        <v>44307</v>
      </c>
      <c r="C2771" s="1" t="n">
        <v>45845</v>
      </c>
      <c r="D2771" t="inlineStr">
        <is>
          <t>KRONOBERGS LÄN</t>
        </is>
      </c>
      <c r="E2771" t="inlineStr">
        <is>
          <t>LESSEBO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18753-2021</t>
        </is>
      </c>
      <c r="B2772" s="1" t="n">
        <v>44307</v>
      </c>
      <c r="C2772" s="1" t="n">
        <v>45845</v>
      </c>
      <c r="D2772" t="inlineStr">
        <is>
          <t>KRONOBERGS LÄN</t>
        </is>
      </c>
      <c r="E2772" t="inlineStr">
        <is>
          <t>UPPVIDINGE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18822-2021</t>
        </is>
      </c>
      <c r="B2773" s="1" t="n">
        <v>44307</v>
      </c>
      <c r="C2773" s="1" t="n">
        <v>45845</v>
      </c>
      <c r="D2773" t="inlineStr">
        <is>
          <t>KRONOBERGS LÄN</t>
        </is>
      </c>
      <c r="E2773" t="inlineStr">
        <is>
          <t>ALVESTA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18763-2021</t>
        </is>
      </c>
      <c r="B2774" s="1" t="n">
        <v>44307</v>
      </c>
      <c r="C2774" s="1" t="n">
        <v>45845</v>
      </c>
      <c r="D2774" t="inlineStr">
        <is>
          <t>KRONOBERGS LÄN</t>
        </is>
      </c>
      <c r="E2774" t="inlineStr">
        <is>
          <t>LJUNGBY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19108-2021</t>
        </is>
      </c>
      <c r="B2775" s="1" t="n">
        <v>44308</v>
      </c>
      <c r="C2775" s="1" t="n">
        <v>45845</v>
      </c>
      <c r="D2775" t="inlineStr">
        <is>
          <t>KRONOBERGS LÄN</t>
        </is>
      </c>
      <c r="E2775" t="inlineStr">
        <is>
          <t>UPPVIDINGE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18905-2021</t>
        </is>
      </c>
      <c r="B2776" s="1" t="n">
        <v>44308</v>
      </c>
      <c r="C2776" s="1" t="n">
        <v>45845</v>
      </c>
      <c r="D2776" t="inlineStr">
        <is>
          <t>KRONOBERGS LÄN</t>
        </is>
      </c>
      <c r="E2776" t="inlineStr">
        <is>
          <t>ÄLMHULT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19495-2021</t>
        </is>
      </c>
      <c r="B2777" s="1" t="n">
        <v>44308</v>
      </c>
      <c r="C2777" s="1" t="n">
        <v>45845</v>
      </c>
      <c r="D2777" t="inlineStr">
        <is>
          <t>KRONOBERGS LÄN</t>
        </is>
      </c>
      <c r="E2777" t="inlineStr">
        <is>
          <t>VÄXJÖ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19501-2021</t>
        </is>
      </c>
      <c r="B2778" s="1" t="n">
        <v>44308</v>
      </c>
      <c r="C2778" s="1" t="n">
        <v>45845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19989-2021</t>
        </is>
      </c>
      <c r="B2779" s="1" t="n">
        <v>44308</v>
      </c>
      <c r="C2779" s="1" t="n">
        <v>45845</v>
      </c>
      <c r="D2779" t="inlineStr">
        <is>
          <t>KRONOBERGS LÄN</t>
        </is>
      </c>
      <c r="E2779" t="inlineStr">
        <is>
          <t>UPPVIDINGE</t>
        </is>
      </c>
      <c r="G2779" t="n">
        <v>32.4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19330-2021</t>
        </is>
      </c>
      <c r="B2780" s="1" t="n">
        <v>44309</v>
      </c>
      <c r="C2780" s="1" t="n">
        <v>45845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19370-2021</t>
        </is>
      </c>
      <c r="B2781" s="1" t="n">
        <v>44309</v>
      </c>
      <c r="C2781" s="1" t="n">
        <v>45845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19286-2021</t>
        </is>
      </c>
      <c r="B2782" s="1" t="n">
        <v>44309</v>
      </c>
      <c r="C2782" s="1" t="n">
        <v>45845</v>
      </c>
      <c r="D2782" t="inlineStr">
        <is>
          <t>KRONOBERGS LÄN</t>
        </is>
      </c>
      <c r="E2782" t="inlineStr">
        <is>
          <t>ÄLMHULT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19336-2021</t>
        </is>
      </c>
      <c r="B2783" s="1" t="n">
        <v>44309</v>
      </c>
      <c r="C2783" s="1" t="n">
        <v>45845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19584-2021</t>
        </is>
      </c>
      <c r="B2784" s="1" t="n">
        <v>44312</v>
      </c>
      <c r="C2784" s="1" t="n">
        <v>45845</v>
      </c>
      <c r="D2784" t="inlineStr">
        <is>
          <t>KRONOBERGS LÄN</t>
        </is>
      </c>
      <c r="E2784" t="inlineStr">
        <is>
          <t>TINGSRYD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19663-2021</t>
        </is>
      </c>
      <c r="B2785" s="1" t="n">
        <v>44312</v>
      </c>
      <c r="C2785" s="1" t="n">
        <v>45845</v>
      </c>
      <c r="D2785" t="inlineStr">
        <is>
          <t>KRONOBERGS LÄN</t>
        </is>
      </c>
      <c r="E2785" t="inlineStr">
        <is>
          <t>ÄLMHULT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19481-2021</t>
        </is>
      </c>
      <c r="B2786" s="1" t="n">
        <v>44312</v>
      </c>
      <c r="C2786" s="1" t="n">
        <v>45845</v>
      </c>
      <c r="D2786" t="inlineStr">
        <is>
          <t>KRONOBERGS LÄN</t>
        </is>
      </c>
      <c r="E2786" t="inlineStr">
        <is>
          <t>TINGSRYD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19780-2021</t>
        </is>
      </c>
      <c r="B2787" s="1" t="n">
        <v>44313</v>
      </c>
      <c r="C2787" s="1" t="n">
        <v>45845</v>
      </c>
      <c r="D2787" t="inlineStr">
        <is>
          <t>KRONOBERGS LÄN</t>
        </is>
      </c>
      <c r="E2787" t="inlineStr">
        <is>
          <t>TINGSRYD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19907-2021</t>
        </is>
      </c>
      <c r="B2788" s="1" t="n">
        <v>44313</v>
      </c>
      <c r="C2788" s="1" t="n">
        <v>45845</v>
      </c>
      <c r="D2788" t="inlineStr">
        <is>
          <t>KRONOBERGS LÄN</t>
        </is>
      </c>
      <c r="E2788" t="inlineStr">
        <is>
          <t>ALVESTA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20028-2021</t>
        </is>
      </c>
      <c r="B2789" s="1" t="n">
        <v>44313</v>
      </c>
      <c r="C2789" s="1" t="n">
        <v>45845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20057-2021</t>
        </is>
      </c>
      <c r="B2790" s="1" t="n">
        <v>44314</v>
      </c>
      <c r="C2790" s="1" t="n">
        <v>45845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20148-2021</t>
        </is>
      </c>
      <c r="B2791" s="1" t="n">
        <v>44314</v>
      </c>
      <c r="C2791" s="1" t="n">
        <v>45845</v>
      </c>
      <c r="D2791" t="inlineStr">
        <is>
          <t>KRONOBERGS LÄN</t>
        </is>
      </c>
      <c r="E2791" t="inlineStr">
        <is>
          <t>VÄXJÖ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45845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20178-2021</t>
        </is>
      </c>
      <c r="B2793" s="1" t="n">
        <v>44314</v>
      </c>
      <c r="C2793" s="1" t="n">
        <v>45845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20364-2021</t>
        </is>
      </c>
      <c r="B2794" s="1" t="n">
        <v>44315</v>
      </c>
      <c r="C2794" s="1" t="n">
        <v>45845</v>
      </c>
      <c r="D2794" t="inlineStr">
        <is>
          <t>KRONOBERGS LÄN</t>
        </is>
      </c>
      <c r="E2794" t="inlineStr">
        <is>
          <t>ÄLMHULT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20425-2021</t>
        </is>
      </c>
      <c r="B2795" s="1" t="n">
        <v>44315</v>
      </c>
      <c r="C2795" s="1" t="n">
        <v>45845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20430-2021</t>
        </is>
      </c>
      <c r="B2796" s="1" t="n">
        <v>44315</v>
      </c>
      <c r="C2796" s="1" t="n">
        <v>45845</v>
      </c>
      <c r="D2796" t="inlineStr">
        <is>
          <t>KRONOBERGS LÄN</t>
        </is>
      </c>
      <c r="E2796" t="inlineStr">
        <is>
          <t>ÄLMHULT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20495-2021</t>
        </is>
      </c>
      <c r="B2797" s="1" t="n">
        <v>44315</v>
      </c>
      <c r="C2797" s="1" t="n">
        <v>45845</v>
      </c>
      <c r="D2797" t="inlineStr">
        <is>
          <t>KRONOBERGS LÄN</t>
        </is>
      </c>
      <c r="E2797" t="inlineStr">
        <is>
          <t>MARKARYD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20421-2021</t>
        </is>
      </c>
      <c r="B2798" s="1" t="n">
        <v>44315</v>
      </c>
      <c r="C2798" s="1" t="n">
        <v>45845</v>
      </c>
      <c r="D2798" t="inlineStr">
        <is>
          <t>KRONOBERGS LÄN</t>
        </is>
      </c>
      <c r="E2798" t="inlineStr">
        <is>
          <t>ÄLMHULT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20538-2021</t>
        </is>
      </c>
      <c r="B2799" s="1" t="n">
        <v>44315</v>
      </c>
      <c r="C2799" s="1" t="n">
        <v>45845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20626-2021</t>
        </is>
      </c>
      <c r="B2800" s="1" t="n">
        <v>44316</v>
      </c>
      <c r="C2800" s="1" t="n">
        <v>45845</v>
      </c>
      <c r="D2800" t="inlineStr">
        <is>
          <t>KRONOBERGS LÄN</t>
        </is>
      </c>
      <c r="E2800" t="inlineStr">
        <is>
          <t>ÄLMHULT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20925-2021</t>
        </is>
      </c>
      <c r="B2801" s="1" t="n">
        <v>44316</v>
      </c>
      <c r="C2801" s="1" t="n">
        <v>45845</v>
      </c>
      <c r="D2801" t="inlineStr">
        <is>
          <t>KRONOBERGS LÄN</t>
        </is>
      </c>
      <c r="E2801" t="inlineStr">
        <is>
          <t>TINGSRYD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20809-2021</t>
        </is>
      </c>
      <c r="B2802" s="1" t="n">
        <v>44317</v>
      </c>
      <c r="C2802" s="1" t="n">
        <v>45845</v>
      </c>
      <c r="D2802" t="inlineStr">
        <is>
          <t>KRONOBERGS LÄN</t>
        </is>
      </c>
      <c r="E2802" t="inlineStr">
        <is>
          <t>VÄXJÖ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20852-2021</t>
        </is>
      </c>
      <c r="B2803" s="1" t="n">
        <v>44319</v>
      </c>
      <c r="C2803" s="1" t="n">
        <v>45845</v>
      </c>
      <c r="D2803" t="inlineStr">
        <is>
          <t>KRONOBERGS LÄN</t>
        </is>
      </c>
      <c r="E2803" t="inlineStr">
        <is>
          <t>UPPVIDINGE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21168-2021</t>
        </is>
      </c>
      <c r="B2804" s="1" t="n">
        <v>44320</v>
      </c>
      <c r="C2804" s="1" t="n">
        <v>45845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21323-2021</t>
        </is>
      </c>
      <c r="B2805" s="1" t="n">
        <v>44320</v>
      </c>
      <c r="C2805" s="1" t="n">
        <v>45845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21188-2021</t>
        </is>
      </c>
      <c r="B2806" s="1" t="n">
        <v>44320</v>
      </c>
      <c r="C2806" s="1" t="n">
        <v>45845</v>
      </c>
      <c r="D2806" t="inlineStr">
        <is>
          <t>KRONOBERGS LÄN</t>
        </is>
      </c>
      <c r="E2806" t="inlineStr">
        <is>
          <t>LJUNGBY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21214-2021</t>
        </is>
      </c>
      <c r="B2807" s="1" t="n">
        <v>44320</v>
      </c>
      <c r="C2807" s="1" t="n">
        <v>45845</v>
      </c>
      <c r="D2807" t="inlineStr">
        <is>
          <t>KRONOBERGS LÄN</t>
        </is>
      </c>
      <c r="E2807" t="inlineStr">
        <is>
          <t>TINGSRYD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21165-2021</t>
        </is>
      </c>
      <c r="B2808" s="1" t="n">
        <v>44320</v>
      </c>
      <c r="C2808" s="1" t="n">
        <v>45845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21167-2021</t>
        </is>
      </c>
      <c r="B2809" s="1" t="n">
        <v>44320</v>
      </c>
      <c r="C2809" s="1" t="n">
        <v>45845</v>
      </c>
      <c r="D2809" t="inlineStr">
        <is>
          <t>KRONOBERGS LÄN</t>
        </is>
      </c>
      <c r="E2809" t="inlineStr">
        <is>
          <t>UPPVIDINGE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21173-2021</t>
        </is>
      </c>
      <c r="B2810" s="1" t="n">
        <v>44320</v>
      </c>
      <c r="C2810" s="1" t="n">
        <v>45845</v>
      </c>
      <c r="D2810" t="inlineStr">
        <is>
          <t>KRONOBERGS LÄN</t>
        </is>
      </c>
      <c r="E2810" t="inlineStr">
        <is>
          <t>ALVESTA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21223-2021</t>
        </is>
      </c>
      <c r="B2811" s="1" t="n">
        <v>44320</v>
      </c>
      <c r="C2811" s="1" t="n">
        <v>45845</v>
      </c>
      <c r="D2811" t="inlineStr">
        <is>
          <t>KRONOBERGS LÄN</t>
        </is>
      </c>
      <c r="E2811" t="inlineStr">
        <is>
          <t>TINGSRYD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21239-2021</t>
        </is>
      </c>
      <c r="B2812" s="1" t="n">
        <v>44320</v>
      </c>
      <c r="C2812" s="1" t="n">
        <v>45845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21485-2021</t>
        </is>
      </c>
      <c r="B2813" s="1" t="n">
        <v>44321</v>
      </c>
      <c r="C2813" s="1" t="n">
        <v>45845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21524-2021</t>
        </is>
      </c>
      <c r="B2814" s="1" t="n">
        <v>44321</v>
      </c>
      <c r="C2814" s="1" t="n">
        <v>45845</v>
      </c>
      <c r="D2814" t="inlineStr">
        <is>
          <t>KRONOBERGS LÄN</t>
        </is>
      </c>
      <c r="E2814" t="inlineStr">
        <is>
          <t>ÄLMHULT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21609-2021</t>
        </is>
      </c>
      <c r="B2815" s="1" t="n">
        <v>44321</v>
      </c>
      <c r="C2815" s="1" t="n">
        <v>45845</v>
      </c>
      <c r="D2815" t="inlineStr">
        <is>
          <t>KRONOBERGS LÄN</t>
        </is>
      </c>
      <c r="E2815" t="inlineStr">
        <is>
          <t>VÄXJÖ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21597-2021</t>
        </is>
      </c>
      <c r="B2816" s="1" t="n">
        <v>44321</v>
      </c>
      <c r="C2816" s="1" t="n">
        <v>45845</v>
      </c>
      <c r="D2816" t="inlineStr">
        <is>
          <t>KRONOBERGS LÄN</t>
        </is>
      </c>
      <c r="E2816" t="inlineStr">
        <is>
          <t>LESSEBO</t>
        </is>
      </c>
      <c r="F2816" t="inlineStr">
        <is>
          <t>Sveaskog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22312-2021</t>
        </is>
      </c>
      <c r="B2817" s="1" t="n">
        <v>44321</v>
      </c>
      <c r="C2817" s="1" t="n">
        <v>45845</v>
      </c>
      <c r="D2817" t="inlineStr">
        <is>
          <t>KRONOBERGS LÄN</t>
        </is>
      </c>
      <c r="E2817" t="inlineStr">
        <is>
          <t>UPPVIDINGE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22294-2021</t>
        </is>
      </c>
      <c r="B2818" s="1" t="n">
        <v>44321</v>
      </c>
      <c r="C2818" s="1" t="n">
        <v>45845</v>
      </c>
      <c r="D2818" t="inlineStr">
        <is>
          <t>KRONOBERGS LÄN</t>
        </is>
      </c>
      <c r="E2818" t="inlineStr">
        <is>
          <t>UPPVIDINGE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21777-2021</t>
        </is>
      </c>
      <c r="B2819" s="1" t="n">
        <v>44322</v>
      </c>
      <c r="C2819" s="1" t="n">
        <v>45845</v>
      </c>
      <c r="D2819" t="inlineStr">
        <is>
          <t>KRONOBERGS LÄN</t>
        </is>
      </c>
      <c r="E2819" t="inlineStr">
        <is>
          <t>VÄXJÖ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21856-2021</t>
        </is>
      </c>
      <c r="B2820" s="1" t="n">
        <v>44322</v>
      </c>
      <c r="C2820" s="1" t="n">
        <v>45845</v>
      </c>
      <c r="D2820" t="inlineStr">
        <is>
          <t>KRONOBERGS LÄN</t>
        </is>
      </c>
      <c r="E2820" t="inlineStr">
        <is>
          <t>VÄXJÖ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21888-2021</t>
        </is>
      </c>
      <c r="B2821" s="1" t="n">
        <v>44322</v>
      </c>
      <c r="C2821" s="1" t="n">
        <v>45845</v>
      </c>
      <c r="D2821" t="inlineStr">
        <is>
          <t>KRONOBERGS LÄN</t>
        </is>
      </c>
      <c r="E2821" t="inlineStr">
        <is>
          <t>LJUNGBY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21850-2021</t>
        </is>
      </c>
      <c r="B2822" s="1" t="n">
        <v>44322</v>
      </c>
      <c r="C2822" s="1" t="n">
        <v>45845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21892-2021</t>
        </is>
      </c>
      <c r="B2823" s="1" t="n">
        <v>44322</v>
      </c>
      <c r="C2823" s="1" t="n">
        <v>45845</v>
      </c>
      <c r="D2823" t="inlineStr">
        <is>
          <t>KRONOBERGS LÄN</t>
        </is>
      </c>
      <c r="E2823" t="inlineStr">
        <is>
          <t>LJUNGBY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21973-2021</t>
        </is>
      </c>
      <c r="B2824" s="1" t="n">
        <v>44323</v>
      </c>
      <c r="C2824" s="1" t="n">
        <v>45845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22738-2021</t>
        </is>
      </c>
      <c r="B2825" s="1" t="n">
        <v>44323</v>
      </c>
      <c r="C2825" s="1" t="n">
        <v>45845</v>
      </c>
      <c r="D2825" t="inlineStr">
        <is>
          <t>KRONOBERGS LÄN</t>
        </is>
      </c>
      <c r="E2825" t="inlineStr">
        <is>
          <t>VÄXJÖ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21970-2021</t>
        </is>
      </c>
      <c r="B2826" s="1" t="n">
        <v>44323</v>
      </c>
      <c r="C2826" s="1" t="n">
        <v>45845</v>
      </c>
      <c r="D2826" t="inlineStr">
        <is>
          <t>KRONOBERGS LÄN</t>
        </is>
      </c>
      <c r="E2826" t="inlineStr">
        <is>
          <t>LJUNGBY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22010-2021</t>
        </is>
      </c>
      <c r="B2827" s="1" t="n">
        <v>44323</v>
      </c>
      <c r="C2827" s="1" t="n">
        <v>45845</v>
      </c>
      <c r="D2827" t="inlineStr">
        <is>
          <t>KRONOBERGS LÄN</t>
        </is>
      </c>
      <c r="E2827" t="inlineStr">
        <is>
          <t>VÄXJÖ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22085-2021</t>
        </is>
      </c>
      <c r="B2828" s="1" t="n">
        <v>44323</v>
      </c>
      <c r="C2828" s="1" t="n">
        <v>45845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22735-2021</t>
        </is>
      </c>
      <c r="B2829" s="1" t="n">
        <v>44323</v>
      </c>
      <c r="C2829" s="1" t="n">
        <v>45845</v>
      </c>
      <c r="D2829" t="inlineStr">
        <is>
          <t>KRONOBERGS LÄN</t>
        </is>
      </c>
      <c r="E2829" t="inlineStr">
        <is>
          <t>ALVESTA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22277-2021</t>
        </is>
      </c>
      <c r="B2830" s="1" t="n">
        <v>44326</v>
      </c>
      <c r="C2830" s="1" t="n">
        <v>45845</v>
      </c>
      <c r="D2830" t="inlineStr">
        <is>
          <t>KRONOBERGS LÄN</t>
        </is>
      </c>
      <c r="E2830" t="inlineStr">
        <is>
          <t>ÄLMHULT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22218-2021</t>
        </is>
      </c>
      <c r="B2831" s="1" t="n">
        <v>44326</v>
      </c>
      <c r="C2831" s="1" t="n">
        <v>45845</v>
      </c>
      <c r="D2831" t="inlineStr">
        <is>
          <t>KRONOBERGS LÄN</t>
        </is>
      </c>
      <c r="E2831" t="inlineStr">
        <is>
          <t>ALVESTA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22229-2021</t>
        </is>
      </c>
      <c r="B2832" s="1" t="n">
        <v>44326</v>
      </c>
      <c r="C2832" s="1" t="n">
        <v>45845</v>
      </c>
      <c r="D2832" t="inlineStr">
        <is>
          <t>KRONOBERGS LÄN</t>
        </is>
      </c>
      <c r="E2832" t="inlineStr">
        <is>
          <t>LJUNGBY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22397-2021</t>
        </is>
      </c>
      <c r="B2833" s="1" t="n">
        <v>44326</v>
      </c>
      <c r="C2833" s="1" t="n">
        <v>45845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22607-2021</t>
        </is>
      </c>
      <c r="B2834" s="1" t="n">
        <v>44326</v>
      </c>
      <c r="C2834" s="1" t="n">
        <v>45845</v>
      </c>
      <c r="D2834" t="inlineStr">
        <is>
          <t>KRONOBERGS LÄN</t>
        </is>
      </c>
      <c r="E2834" t="inlineStr">
        <is>
          <t>TINGSRYD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22616-2021</t>
        </is>
      </c>
      <c r="B2835" s="1" t="n">
        <v>44326</v>
      </c>
      <c r="C2835" s="1" t="n">
        <v>45845</v>
      </c>
      <c r="D2835" t="inlineStr">
        <is>
          <t>KRONOBERGS LÄN</t>
        </is>
      </c>
      <c r="E2835" t="inlineStr">
        <is>
          <t>TINGSRYD</t>
        </is>
      </c>
      <c r="G2835" t="n">
        <v>6.9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22623-2021</t>
        </is>
      </c>
      <c r="B2836" s="1" t="n">
        <v>44327</v>
      </c>
      <c r="C2836" s="1" t="n">
        <v>45845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22570-2021</t>
        </is>
      </c>
      <c r="B2837" s="1" t="n">
        <v>44327</v>
      </c>
      <c r="C2837" s="1" t="n">
        <v>45845</v>
      </c>
      <c r="D2837" t="inlineStr">
        <is>
          <t>KRONOBERGS LÄN</t>
        </is>
      </c>
      <c r="E2837" t="inlineStr">
        <is>
          <t>TINGSRYD</t>
        </is>
      </c>
      <c r="F2837" t="inlineStr">
        <is>
          <t>Kommuner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22618-2021</t>
        </is>
      </c>
      <c r="B2838" s="1" t="n">
        <v>44327</v>
      </c>
      <c r="C2838" s="1" t="n">
        <v>45845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22639-2021</t>
        </is>
      </c>
      <c r="B2839" s="1" t="n">
        <v>44327</v>
      </c>
      <c r="C2839" s="1" t="n">
        <v>45845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22679-2021</t>
        </is>
      </c>
      <c r="B2840" s="1" t="n">
        <v>44327</v>
      </c>
      <c r="C2840" s="1" t="n">
        <v>45845</v>
      </c>
      <c r="D2840" t="inlineStr">
        <is>
          <t>KRONOBERGS LÄN</t>
        </is>
      </c>
      <c r="E2840" t="inlineStr">
        <is>
          <t>ÄLMHULT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22695-2021</t>
        </is>
      </c>
      <c r="B2841" s="1" t="n">
        <v>44327</v>
      </c>
      <c r="C2841" s="1" t="n">
        <v>45845</v>
      </c>
      <c r="D2841" t="inlineStr">
        <is>
          <t>KRONOBERGS LÄN</t>
        </is>
      </c>
      <c r="E2841" t="inlineStr">
        <is>
          <t>LJUNGBY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22576-2021</t>
        </is>
      </c>
      <c r="B2842" s="1" t="n">
        <v>44327</v>
      </c>
      <c r="C2842" s="1" t="n">
        <v>45845</v>
      </c>
      <c r="D2842" t="inlineStr">
        <is>
          <t>KRONOBERGS LÄN</t>
        </is>
      </c>
      <c r="E2842" t="inlineStr">
        <is>
          <t>VÄXJÖ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22614-2021</t>
        </is>
      </c>
      <c r="B2843" s="1" t="n">
        <v>44327</v>
      </c>
      <c r="C2843" s="1" t="n">
        <v>45845</v>
      </c>
      <c r="D2843" t="inlineStr">
        <is>
          <t>KRONOBERGS LÄN</t>
        </is>
      </c>
      <c r="E2843" t="inlineStr">
        <is>
          <t>VÄXJÖ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22678-2021</t>
        </is>
      </c>
      <c r="B2844" s="1" t="n">
        <v>44327</v>
      </c>
      <c r="C2844" s="1" t="n">
        <v>45845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22681-2021</t>
        </is>
      </c>
      <c r="B2845" s="1" t="n">
        <v>44327</v>
      </c>
      <c r="C2845" s="1" t="n">
        <v>45845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22765-2021</t>
        </is>
      </c>
      <c r="B2846" s="1" t="n">
        <v>44327</v>
      </c>
      <c r="C2846" s="1" t="n">
        <v>45845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22857-2021</t>
        </is>
      </c>
      <c r="B2847" s="1" t="n">
        <v>44328</v>
      </c>
      <c r="C2847" s="1" t="n">
        <v>45845</v>
      </c>
      <c r="D2847" t="inlineStr">
        <is>
          <t>KRONOBERGS LÄN</t>
        </is>
      </c>
      <c r="E2847" t="inlineStr">
        <is>
          <t>ALVESTA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22830-2021</t>
        </is>
      </c>
      <c r="B2848" s="1" t="n">
        <v>44328</v>
      </c>
      <c r="C2848" s="1" t="n">
        <v>45845</v>
      </c>
      <c r="D2848" t="inlineStr">
        <is>
          <t>KRONOBERGS LÄN</t>
        </is>
      </c>
      <c r="E2848" t="inlineStr">
        <is>
          <t>LJUNGBY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22845-2021</t>
        </is>
      </c>
      <c r="B2849" s="1" t="n">
        <v>44328</v>
      </c>
      <c r="C2849" s="1" t="n">
        <v>45845</v>
      </c>
      <c r="D2849" t="inlineStr">
        <is>
          <t>KRONOBERGS LÄN</t>
        </is>
      </c>
      <c r="E2849" t="inlineStr">
        <is>
          <t>UPPVIDINGE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23075-2021</t>
        </is>
      </c>
      <c r="B2850" s="1" t="n">
        <v>44330</v>
      </c>
      <c r="C2850" s="1" t="n">
        <v>45845</v>
      </c>
      <c r="D2850" t="inlineStr">
        <is>
          <t>KRONOBERGS LÄN</t>
        </is>
      </c>
      <c r="E2850" t="inlineStr">
        <is>
          <t>LJUNGBY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23128-2021</t>
        </is>
      </c>
      <c r="B2851" s="1" t="n">
        <v>44330</v>
      </c>
      <c r="C2851" s="1" t="n">
        <v>45845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23129-2021</t>
        </is>
      </c>
      <c r="B2852" s="1" t="n">
        <v>44330</v>
      </c>
      <c r="C2852" s="1" t="n">
        <v>45845</v>
      </c>
      <c r="D2852" t="inlineStr">
        <is>
          <t>KRONOBERGS LÄN</t>
        </is>
      </c>
      <c r="E2852" t="inlineStr">
        <is>
          <t>TINGSRYD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23160-2021</t>
        </is>
      </c>
      <c r="B2853" s="1" t="n">
        <v>44332</v>
      </c>
      <c r="C2853" s="1" t="n">
        <v>45845</v>
      </c>
      <c r="D2853" t="inlineStr">
        <is>
          <t>KRONOBERGS LÄN</t>
        </is>
      </c>
      <c r="E2853" t="inlineStr">
        <is>
          <t>TINGSRYD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23381-2021</t>
        </is>
      </c>
      <c r="B2854" s="1" t="n">
        <v>44333</v>
      </c>
      <c r="C2854" s="1" t="n">
        <v>45845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23440-2021</t>
        </is>
      </c>
      <c r="B2855" s="1" t="n">
        <v>44333</v>
      </c>
      <c r="C2855" s="1" t="n">
        <v>45845</v>
      </c>
      <c r="D2855" t="inlineStr">
        <is>
          <t>KRONOBERGS LÄN</t>
        </is>
      </c>
      <c r="E2855" t="inlineStr">
        <is>
          <t>MARKARYD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23617-2021</t>
        </is>
      </c>
      <c r="B2856" s="1" t="n">
        <v>44334</v>
      </c>
      <c r="C2856" s="1" t="n">
        <v>45845</v>
      </c>
      <c r="D2856" t="inlineStr">
        <is>
          <t>KRONOBERGS LÄN</t>
        </is>
      </c>
      <c r="E2856" t="inlineStr">
        <is>
          <t>TINGSRYD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23678-2021</t>
        </is>
      </c>
      <c r="B2857" s="1" t="n">
        <v>44334</v>
      </c>
      <c r="C2857" s="1" t="n">
        <v>45845</v>
      </c>
      <c r="D2857" t="inlineStr">
        <is>
          <t>KRONOBERGS LÄN</t>
        </is>
      </c>
      <c r="E2857" t="inlineStr">
        <is>
          <t>TINGSRYD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23541-2021</t>
        </is>
      </c>
      <c r="B2858" s="1" t="n">
        <v>44334</v>
      </c>
      <c r="C2858" s="1" t="n">
        <v>45845</v>
      </c>
      <c r="D2858" t="inlineStr">
        <is>
          <t>KRONOBERGS LÄN</t>
        </is>
      </c>
      <c r="E2858" t="inlineStr">
        <is>
          <t>VÄXJÖ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23535-2021</t>
        </is>
      </c>
      <c r="B2859" s="1" t="n">
        <v>44334</v>
      </c>
      <c r="C2859" s="1" t="n">
        <v>45845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23610-2021</t>
        </is>
      </c>
      <c r="B2860" s="1" t="n">
        <v>44334</v>
      </c>
      <c r="C2860" s="1" t="n">
        <v>45845</v>
      </c>
      <c r="D2860" t="inlineStr">
        <is>
          <t>KRONOBERGS LÄN</t>
        </is>
      </c>
      <c r="E2860" t="inlineStr">
        <is>
          <t>TINGSRYD</t>
        </is>
      </c>
      <c r="F2860" t="inlineStr">
        <is>
          <t>Kyrkan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23634-2021</t>
        </is>
      </c>
      <c r="B2861" s="1" t="n">
        <v>44334</v>
      </c>
      <c r="C2861" s="1" t="n">
        <v>45845</v>
      </c>
      <c r="D2861" t="inlineStr">
        <is>
          <t>KRONOBERGS LÄN</t>
        </is>
      </c>
      <c r="E2861" t="inlineStr">
        <is>
          <t>VÄXJÖ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23844-2021</t>
        </is>
      </c>
      <c r="B2862" s="1" t="n">
        <v>44335</v>
      </c>
      <c r="C2862" s="1" t="n">
        <v>45845</v>
      </c>
      <c r="D2862" t="inlineStr">
        <is>
          <t>KRONOBERGS LÄN</t>
        </is>
      </c>
      <c r="E2862" t="inlineStr">
        <is>
          <t>ÄLMHULT</t>
        </is>
      </c>
      <c r="F2862" t="inlineStr">
        <is>
          <t>Kommuner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23852-2021</t>
        </is>
      </c>
      <c r="B2863" s="1" t="n">
        <v>44335</v>
      </c>
      <c r="C2863" s="1" t="n">
        <v>45845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24058-2021</t>
        </is>
      </c>
      <c r="B2864" s="1" t="n">
        <v>44336</v>
      </c>
      <c r="C2864" s="1" t="n">
        <v>45845</v>
      </c>
      <c r="D2864" t="inlineStr">
        <is>
          <t>KRONOBERGS LÄN</t>
        </is>
      </c>
      <c r="E2864" t="inlineStr">
        <is>
          <t>UPPVIDINGE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24204-2021</t>
        </is>
      </c>
      <c r="B2865" s="1" t="n">
        <v>44336</v>
      </c>
      <c r="C2865" s="1" t="n">
        <v>45845</v>
      </c>
      <c r="D2865" t="inlineStr">
        <is>
          <t>KRONOBERGS LÄN</t>
        </is>
      </c>
      <c r="E2865" t="inlineStr">
        <is>
          <t>VÄXJÖ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24091-2021</t>
        </is>
      </c>
      <c r="B2866" s="1" t="n">
        <v>44336</v>
      </c>
      <c r="C2866" s="1" t="n">
        <v>45845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24189-2021</t>
        </is>
      </c>
      <c r="B2867" s="1" t="n">
        <v>44336</v>
      </c>
      <c r="C2867" s="1" t="n">
        <v>45845</v>
      </c>
      <c r="D2867" t="inlineStr">
        <is>
          <t>KRONOBERGS LÄN</t>
        </is>
      </c>
      <c r="E2867" t="inlineStr">
        <is>
          <t>VÄXJÖ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24226-2021</t>
        </is>
      </c>
      <c r="B2868" s="1" t="n">
        <v>44336</v>
      </c>
      <c r="C2868" s="1" t="n">
        <v>45845</v>
      </c>
      <c r="D2868" t="inlineStr">
        <is>
          <t>KRONOBERGS LÄN</t>
        </is>
      </c>
      <c r="E2868" t="inlineStr">
        <is>
          <t>VÄXJÖ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24297-2021</t>
        </is>
      </c>
      <c r="B2869" s="1" t="n">
        <v>44337</v>
      </c>
      <c r="C2869" s="1" t="n">
        <v>45845</v>
      </c>
      <c r="D2869" t="inlineStr">
        <is>
          <t>KRONOBERGS LÄN</t>
        </is>
      </c>
      <c r="E2869" t="inlineStr">
        <is>
          <t>MARKARYD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24401-2021</t>
        </is>
      </c>
      <c r="B2870" s="1" t="n">
        <v>44337</v>
      </c>
      <c r="C2870" s="1" t="n">
        <v>45845</v>
      </c>
      <c r="D2870" t="inlineStr">
        <is>
          <t>KRONOBERGS LÄN</t>
        </is>
      </c>
      <c r="E2870" t="inlineStr">
        <is>
          <t>LJUNGBY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24715-2021</t>
        </is>
      </c>
      <c r="B2871" s="1" t="n">
        <v>44340</v>
      </c>
      <c r="C2871" s="1" t="n">
        <v>45845</v>
      </c>
      <c r="D2871" t="inlineStr">
        <is>
          <t>KRONOBERGS LÄN</t>
        </is>
      </c>
      <c r="E2871" t="inlineStr">
        <is>
          <t>TINGSRYD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24730-2021</t>
        </is>
      </c>
      <c r="B2872" s="1" t="n">
        <v>44340</v>
      </c>
      <c r="C2872" s="1" t="n">
        <v>45845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24806-2021</t>
        </is>
      </c>
      <c r="B2873" s="1" t="n">
        <v>44340</v>
      </c>
      <c r="C2873" s="1" t="n">
        <v>45845</v>
      </c>
      <c r="D2873" t="inlineStr">
        <is>
          <t>KRONOBERGS LÄN</t>
        </is>
      </c>
      <c r="E2873" t="inlineStr">
        <is>
          <t>ALVESTA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25120-2021</t>
        </is>
      </c>
      <c r="B2874" s="1" t="n">
        <v>44341</v>
      </c>
      <c r="C2874" s="1" t="n">
        <v>45845</v>
      </c>
      <c r="D2874" t="inlineStr">
        <is>
          <t>KRONOBERGS LÄN</t>
        </is>
      </c>
      <c r="E2874" t="inlineStr">
        <is>
          <t>LJUNGBY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25202-2021</t>
        </is>
      </c>
      <c r="B2875" s="1" t="n">
        <v>44342</v>
      </c>
      <c r="C2875" s="1" t="n">
        <v>45845</v>
      </c>
      <c r="D2875" t="inlineStr">
        <is>
          <t>KRONOBERGS LÄN</t>
        </is>
      </c>
      <c r="E2875" t="inlineStr">
        <is>
          <t>ÄLMHULT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25645-2021</t>
        </is>
      </c>
      <c r="B2876" s="1" t="n">
        <v>44343</v>
      </c>
      <c r="C2876" s="1" t="n">
        <v>45845</v>
      </c>
      <c r="D2876" t="inlineStr">
        <is>
          <t>KRONOBERGS LÄN</t>
        </is>
      </c>
      <c r="E2876" t="inlineStr">
        <is>
          <t>MARKARYD</t>
        </is>
      </c>
      <c r="F2876" t="inlineStr">
        <is>
          <t>Kommuner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25579-2021</t>
        </is>
      </c>
      <c r="B2877" s="1" t="n">
        <v>44343</v>
      </c>
      <c r="C2877" s="1" t="n">
        <v>45845</v>
      </c>
      <c r="D2877" t="inlineStr">
        <is>
          <t>KRONOBERGS LÄN</t>
        </is>
      </c>
      <c r="E2877" t="inlineStr">
        <is>
          <t>TINGSRYD</t>
        </is>
      </c>
      <c r="F2877" t="inlineStr">
        <is>
          <t>Övriga Aktiebolag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25644-2021</t>
        </is>
      </c>
      <c r="B2878" s="1" t="n">
        <v>44343</v>
      </c>
      <c r="C2878" s="1" t="n">
        <v>45845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25670-2021</t>
        </is>
      </c>
      <c r="B2879" s="1" t="n">
        <v>44343</v>
      </c>
      <c r="C2879" s="1" t="n">
        <v>45845</v>
      </c>
      <c r="D2879" t="inlineStr">
        <is>
          <t>KRONOBERGS LÄN</t>
        </is>
      </c>
      <c r="E2879" t="inlineStr">
        <is>
          <t>TINGSRYD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25799-2021</t>
        </is>
      </c>
      <c r="B2880" s="1" t="n">
        <v>44343</v>
      </c>
      <c r="C2880" s="1" t="n">
        <v>45845</v>
      </c>
      <c r="D2880" t="inlineStr">
        <is>
          <t>KRONOBERGS LÄN</t>
        </is>
      </c>
      <c r="E2880" t="inlineStr">
        <is>
          <t>UPPVIDINGE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25981-2021</t>
        </is>
      </c>
      <c r="B2881" s="1" t="n">
        <v>44344</v>
      </c>
      <c r="C2881" s="1" t="n">
        <v>45845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25905-2021</t>
        </is>
      </c>
      <c r="B2882" s="1" t="n">
        <v>44344</v>
      </c>
      <c r="C2882" s="1" t="n">
        <v>45845</v>
      </c>
      <c r="D2882" t="inlineStr">
        <is>
          <t>KRONOBERGS LÄN</t>
        </is>
      </c>
      <c r="E2882" t="inlineStr">
        <is>
          <t>ÄLMHULT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25946-2021</t>
        </is>
      </c>
      <c r="B2883" s="1" t="n">
        <v>44344</v>
      </c>
      <c r="C2883" s="1" t="n">
        <v>45845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26059-2021</t>
        </is>
      </c>
      <c r="B2884" s="1" t="n">
        <v>44344</v>
      </c>
      <c r="C2884" s="1" t="n">
        <v>45845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26052-2021</t>
        </is>
      </c>
      <c r="B2885" s="1" t="n">
        <v>44344</v>
      </c>
      <c r="C2885" s="1" t="n">
        <v>45845</v>
      </c>
      <c r="D2885" t="inlineStr">
        <is>
          <t>KRONOBERGS LÄN</t>
        </is>
      </c>
      <c r="E2885" t="inlineStr">
        <is>
          <t>ÄLMHULT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26184-2021</t>
        </is>
      </c>
      <c r="B2886" s="1" t="n">
        <v>44347</v>
      </c>
      <c r="C2886" s="1" t="n">
        <v>45845</v>
      </c>
      <c r="D2886" t="inlineStr">
        <is>
          <t>KRONOBERGS LÄN</t>
        </is>
      </c>
      <c r="E2886" t="inlineStr">
        <is>
          <t>TINGSRYD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26181-2021</t>
        </is>
      </c>
      <c r="B2887" s="1" t="n">
        <v>44347</v>
      </c>
      <c r="C2887" s="1" t="n">
        <v>45845</v>
      </c>
      <c r="D2887" t="inlineStr">
        <is>
          <t>KRONOBERGS LÄN</t>
        </is>
      </c>
      <c r="E2887" t="inlineStr">
        <is>
          <t>ÄLMHULT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26569-2021</t>
        </is>
      </c>
      <c r="B2888" s="1" t="n">
        <v>44348</v>
      </c>
      <c r="C2888" s="1" t="n">
        <v>45845</v>
      </c>
      <c r="D2888" t="inlineStr">
        <is>
          <t>KRONOBERGS LÄN</t>
        </is>
      </c>
      <c r="E2888" t="inlineStr">
        <is>
          <t>LESSEBO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26541-2021</t>
        </is>
      </c>
      <c r="B2889" s="1" t="n">
        <v>44348</v>
      </c>
      <c r="C2889" s="1" t="n">
        <v>45845</v>
      </c>
      <c r="D2889" t="inlineStr">
        <is>
          <t>KRONOBERGS LÄN</t>
        </is>
      </c>
      <c r="E2889" t="inlineStr">
        <is>
          <t>LESSEBO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26564-2021</t>
        </is>
      </c>
      <c r="B2890" s="1" t="n">
        <v>44348</v>
      </c>
      <c r="C2890" s="1" t="n">
        <v>45845</v>
      </c>
      <c r="D2890" t="inlineStr">
        <is>
          <t>KRONOBERGS LÄN</t>
        </is>
      </c>
      <c r="E2890" t="inlineStr">
        <is>
          <t>LESSEBO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26855-2021</t>
        </is>
      </c>
      <c r="B2891" s="1" t="n">
        <v>44349</v>
      </c>
      <c r="C2891" s="1" t="n">
        <v>45845</v>
      </c>
      <c r="D2891" t="inlineStr">
        <is>
          <t>KRONOBERGS LÄN</t>
        </is>
      </c>
      <c r="E2891" t="inlineStr">
        <is>
          <t>LESSEBO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26878-2021</t>
        </is>
      </c>
      <c r="B2892" s="1" t="n">
        <v>44349</v>
      </c>
      <c r="C2892" s="1" t="n">
        <v>45845</v>
      </c>
      <c r="D2892" t="inlineStr">
        <is>
          <t>KRONOBERGS LÄN</t>
        </is>
      </c>
      <c r="E2892" t="inlineStr">
        <is>
          <t>MARKARYD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26889-2021</t>
        </is>
      </c>
      <c r="B2893" s="1" t="n">
        <v>44349</v>
      </c>
      <c r="C2893" s="1" t="n">
        <v>45845</v>
      </c>
      <c r="D2893" t="inlineStr">
        <is>
          <t>KRONOBERGS LÄN</t>
        </is>
      </c>
      <c r="E2893" t="inlineStr">
        <is>
          <t>LJUNGBY</t>
        </is>
      </c>
      <c r="F2893" t="inlineStr">
        <is>
          <t>Kyrkan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26924-2021</t>
        </is>
      </c>
      <c r="B2894" s="1" t="n">
        <v>44349</v>
      </c>
      <c r="C2894" s="1" t="n">
        <v>45845</v>
      </c>
      <c r="D2894" t="inlineStr">
        <is>
          <t>KRONOBERGS LÄN</t>
        </is>
      </c>
      <c r="E2894" t="inlineStr">
        <is>
          <t>ÄLMHULT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26913-2021</t>
        </is>
      </c>
      <c r="B2895" s="1" t="n">
        <v>44349</v>
      </c>
      <c r="C2895" s="1" t="n">
        <v>45845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27081-2021</t>
        </is>
      </c>
      <c r="B2896" s="1" t="n">
        <v>44350</v>
      </c>
      <c r="C2896" s="1" t="n">
        <v>45845</v>
      </c>
      <c r="D2896" t="inlineStr">
        <is>
          <t>KRONOBERGS LÄN</t>
        </is>
      </c>
      <c r="E2896" t="inlineStr">
        <is>
          <t>VÄXJÖ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27158-2021</t>
        </is>
      </c>
      <c r="B2897" s="1" t="n">
        <v>44350</v>
      </c>
      <c r="C2897" s="1" t="n">
        <v>45845</v>
      </c>
      <c r="D2897" t="inlineStr">
        <is>
          <t>KRONOBERGS LÄN</t>
        </is>
      </c>
      <c r="E2897" t="inlineStr">
        <is>
          <t>ÄLMHULT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27149-2021</t>
        </is>
      </c>
      <c r="B2898" s="1" t="n">
        <v>44350</v>
      </c>
      <c r="C2898" s="1" t="n">
        <v>45845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27342-2021</t>
        </is>
      </c>
      <c r="B2899" s="1" t="n">
        <v>44351</v>
      </c>
      <c r="C2899" s="1" t="n">
        <v>45845</v>
      </c>
      <c r="D2899" t="inlineStr">
        <is>
          <t>KRONOBERGS LÄN</t>
        </is>
      </c>
      <c r="E2899" t="inlineStr">
        <is>
          <t>ALVESTA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27322-2021</t>
        </is>
      </c>
      <c r="B2900" s="1" t="n">
        <v>44351</v>
      </c>
      <c r="C2900" s="1" t="n">
        <v>45845</v>
      </c>
      <c r="D2900" t="inlineStr">
        <is>
          <t>KRONOBERGS LÄN</t>
        </is>
      </c>
      <c r="E2900" t="inlineStr">
        <is>
          <t>TINGSRYD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27336-2021</t>
        </is>
      </c>
      <c r="B2901" s="1" t="n">
        <v>44351</v>
      </c>
      <c r="C2901" s="1" t="n">
        <v>45845</v>
      </c>
      <c r="D2901" t="inlineStr">
        <is>
          <t>KRONOBERGS LÄN</t>
        </is>
      </c>
      <c r="E2901" t="inlineStr">
        <is>
          <t>ALVESTA</t>
        </is>
      </c>
      <c r="G2901" t="n">
        <v>13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27404-2021</t>
        </is>
      </c>
      <c r="B2902" s="1" t="n">
        <v>44351</v>
      </c>
      <c r="C2902" s="1" t="n">
        <v>45845</v>
      </c>
      <c r="D2902" t="inlineStr">
        <is>
          <t>KRONOBERGS LÄN</t>
        </is>
      </c>
      <c r="E2902" t="inlineStr">
        <is>
          <t>ÄLMHULT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27548-2021</t>
        </is>
      </c>
      <c r="B2903" s="1" t="n">
        <v>44351</v>
      </c>
      <c r="C2903" s="1" t="n">
        <v>45845</v>
      </c>
      <c r="D2903" t="inlineStr">
        <is>
          <t>KRONOBERGS LÄN</t>
        </is>
      </c>
      <c r="E2903" t="inlineStr">
        <is>
          <t>VÄXJÖ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27491-2021</t>
        </is>
      </c>
      <c r="B2904" s="1" t="n">
        <v>44351</v>
      </c>
      <c r="C2904" s="1" t="n">
        <v>45845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27686-2021</t>
        </is>
      </c>
      <c r="B2905" s="1" t="n">
        <v>44354</v>
      </c>
      <c r="C2905" s="1" t="n">
        <v>45845</v>
      </c>
      <c r="D2905" t="inlineStr">
        <is>
          <t>KRONOBERGS LÄN</t>
        </is>
      </c>
      <c r="E2905" t="inlineStr">
        <is>
          <t>VÄXJÖ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27737-2021</t>
        </is>
      </c>
      <c r="B2906" s="1" t="n">
        <v>44354</v>
      </c>
      <c r="C2906" s="1" t="n">
        <v>45845</v>
      </c>
      <c r="D2906" t="inlineStr">
        <is>
          <t>KRONOBERGS LÄN</t>
        </is>
      </c>
      <c r="E2906" t="inlineStr">
        <is>
          <t>UPPVIDINGE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27758-2021</t>
        </is>
      </c>
      <c r="B2907" s="1" t="n">
        <v>44354</v>
      </c>
      <c r="C2907" s="1" t="n">
        <v>45845</v>
      </c>
      <c r="D2907" t="inlineStr">
        <is>
          <t>KRONOBERGS LÄN</t>
        </is>
      </c>
      <c r="E2907" t="inlineStr">
        <is>
          <t>ALVESTA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27714-2021</t>
        </is>
      </c>
      <c r="B2908" s="1" t="n">
        <v>44354</v>
      </c>
      <c r="C2908" s="1" t="n">
        <v>45845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27760-2021</t>
        </is>
      </c>
      <c r="B2909" s="1" t="n">
        <v>44354</v>
      </c>
      <c r="C2909" s="1" t="n">
        <v>45845</v>
      </c>
      <c r="D2909" t="inlineStr">
        <is>
          <t>KRONOBERGS LÄN</t>
        </is>
      </c>
      <c r="E2909" t="inlineStr">
        <is>
          <t>VÄXJÖ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27832-2021</t>
        </is>
      </c>
      <c r="B2910" s="1" t="n">
        <v>44354</v>
      </c>
      <c r="C2910" s="1" t="n">
        <v>45845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27883-2021</t>
        </is>
      </c>
      <c r="B2911" s="1" t="n">
        <v>44354</v>
      </c>
      <c r="C2911" s="1" t="n">
        <v>45845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27941-2021</t>
        </is>
      </c>
      <c r="B2912" s="1" t="n">
        <v>44354</v>
      </c>
      <c r="C2912" s="1" t="n">
        <v>45845</v>
      </c>
      <c r="D2912" t="inlineStr">
        <is>
          <t>KRONOBERGS LÄN</t>
        </is>
      </c>
      <c r="E2912" t="inlineStr">
        <is>
          <t>VÄXJÖ</t>
        </is>
      </c>
      <c r="G2912" t="n">
        <v>10.7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28092-2021</t>
        </is>
      </c>
      <c r="B2913" s="1" t="n">
        <v>44355</v>
      </c>
      <c r="C2913" s="1" t="n">
        <v>45845</v>
      </c>
      <c r="D2913" t="inlineStr">
        <is>
          <t>KRONOBERGS LÄN</t>
        </is>
      </c>
      <c r="E2913" t="inlineStr">
        <is>
          <t>TINGSRYD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28016-2021</t>
        </is>
      </c>
      <c r="B2914" s="1" t="n">
        <v>44355</v>
      </c>
      <c r="C2914" s="1" t="n">
        <v>45845</v>
      </c>
      <c r="D2914" t="inlineStr">
        <is>
          <t>KRONOBERGS LÄN</t>
        </is>
      </c>
      <c r="E2914" t="inlineStr">
        <is>
          <t>VÄXJÖ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28141-2021</t>
        </is>
      </c>
      <c r="B2915" s="1" t="n">
        <v>44355</v>
      </c>
      <c r="C2915" s="1" t="n">
        <v>45845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28179-2021</t>
        </is>
      </c>
      <c r="B2916" s="1" t="n">
        <v>44355</v>
      </c>
      <c r="C2916" s="1" t="n">
        <v>45845</v>
      </c>
      <c r="D2916" t="inlineStr">
        <is>
          <t>KRONOBERGS LÄN</t>
        </is>
      </c>
      <c r="E2916" t="inlineStr">
        <is>
          <t>VÄXJÖ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28387-2021</t>
        </is>
      </c>
      <c r="B2917" s="1" t="n">
        <v>44356</v>
      </c>
      <c r="C2917" s="1" t="n">
        <v>45845</v>
      </c>
      <c r="D2917" t="inlineStr">
        <is>
          <t>KRONOBERGS LÄN</t>
        </is>
      </c>
      <c r="E2917" t="inlineStr">
        <is>
          <t>TINGSRYD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28391-2021</t>
        </is>
      </c>
      <c r="B2918" s="1" t="n">
        <v>44356</v>
      </c>
      <c r="C2918" s="1" t="n">
        <v>45845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28645-2021</t>
        </is>
      </c>
      <c r="B2919" s="1" t="n">
        <v>44357</v>
      </c>
      <c r="C2919" s="1" t="n">
        <v>45845</v>
      </c>
      <c r="D2919" t="inlineStr">
        <is>
          <t>KRONOBERGS LÄN</t>
        </is>
      </c>
      <c r="E2919" t="inlineStr">
        <is>
          <t>LJUNGBY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28646-2021</t>
        </is>
      </c>
      <c r="B2920" s="1" t="n">
        <v>44357</v>
      </c>
      <c r="C2920" s="1" t="n">
        <v>45845</v>
      </c>
      <c r="D2920" t="inlineStr">
        <is>
          <t>KRONOBERGS LÄN</t>
        </is>
      </c>
      <c r="E2920" t="inlineStr">
        <is>
          <t>LJUNGBY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28644-2021</t>
        </is>
      </c>
      <c r="B2921" s="1" t="n">
        <v>44357</v>
      </c>
      <c r="C2921" s="1" t="n">
        <v>45845</v>
      </c>
      <c r="D2921" t="inlineStr">
        <is>
          <t>KRONOBERGS LÄN</t>
        </is>
      </c>
      <c r="E2921" t="inlineStr">
        <is>
          <t>LJUNGBY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28658-2021</t>
        </is>
      </c>
      <c r="B2922" s="1" t="n">
        <v>44357</v>
      </c>
      <c r="C2922" s="1" t="n">
        <v>45845</v>
      </c>
      <c r="D2922" t="inlineStr">
        <is>
          <t>KRONOBERGS LÄN</t>
        </is>
      </c>
      <c r="E2922" t="inlineStr">
        <is>
          <t>LJUNGBY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28832-2021</t>
        </is>
      </c>
      <c r="B2923" s="1" t="n">
        <v>44357</v>
      </c>
      <c r="C2923" s="1" t="n">
        <v>45845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29182-2021</t>
        </is>
      </c>
      <c r="B2924" s="1" t="n">
        <v>44358</v>
      </c>
      <c r="C2924" s="1" t="n">
        <v>45845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29183-2021</t>
        </is>
      </c>
      <c r="B2925" s="1" t="n">
        <v>44358</v>
      </c>
      <c r="C2925" s="1" t="n">
        <v>45845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29297-2021</t>
        </is>
      </c>
      <c r="B2926" s="1" t="n">
        <v>44361</v>
      </c>
      <c r="C2926" s="1" t="n">
        <v>45845</v>
      </c>
      <c r="D2926" t="inlineStr">
        <is>
          <t>KRONOBERGS LÄN</t>
        </is>
      </c>
      <c r="E2926" t="inlineStr">
        <is>
          <t>VÄXJÖ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29298-2021</t>
        </is>
      </c>
      <c r="B2927" s="1" t="n">
        <v>44361</v>
      </c>
      <c r="C2927" s="1" t="n">
        <v>45845</v>
      </c>
      <c r="D2927" t="inlineStr">
        <is>
          <t>KRONOBERGS LÄN</t>
        </is>
      </c>
      <c r="E2927" t="inlineStr">
        <is>
          <t>LJUNGBY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29419-2021</t>
        </is>
      </c>
      <c r="B2928" s="1" t="n">
        <v>44361</v>
      </c>
      <c r="C2928" s="1" t="n">
        <v>45845</v>
      </c>
      <c r="D2928" t="inlineStr">
        <is>
          <t>KRONOBERGS LÄN</t>
        </is>
      </c>
      <c r="E2928" t="inlineStr">
        <is>
          <t>LJUNGBY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29596-2021</t>
        </is>
      </c>
      <c r="B2929" s="1" t="n">
        <v>44362</v>
      </c>
      <c r="C2929" s="1" t="n">
        <v>45845</v>
      </c>
      <c r="D2929" t="inlineStr">
        <is>
          <t>KRONOBERGS LÄN</t>
        </is>
      </c>
      <c r="E2929" t="inlineStr">
        <is>
          <t>UPPVIDINGE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29837-2021</t>
        </is>
      </c>
      <c r="B2930" s="1" t="n">
        <v>44362</v>
      </c>
      <c r="C2930" s="1" t="n">
        <v>45845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29974-2021</t>
        </is>
      </c>
      <c r="B2931" s="1" t="n">
        <v>44363</v>
      </c>
      <c r="C2931" s="1" t="n">
        <v>45845</v>
      </c>
      <c r="D2931" t="inlineStr">
        <is>
          <t>KRONOBERGS LÄN</t>
        </is>
      </c>
      <c r="E2931" t="inlineStr">
        <is>
          <t>VÄXJÖ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29958-2021</t>
        </is>
      </c>
      <c r="B2932" s="1" t="n">
        <v>44363</v>
      </c>
      <c r="C2932" s="1" t="n">
        <v>45845</v>
      </c>
      <c r="D2932" t="inlineStr">
        <is>
          <t>KRONOBERGS LÄN</t>
        </is>
      </c>
      <c r="E2932" t="inlineStr">
        <is>
          <t>LJUNGBY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30214-2021</t>
        </is>
      </c>
      <c r="B2933" s="1" t="n">
        <v>44363</v>
      </c>
      <c r="C2933" s="1" t="n">
        <v>45845</v>
      </c>
      <c r="D2933" t="inlineStr">
        <is>
          <t>KRONOBERGS LÄN</t>
        </is>
      </c>
      <c r="E2933" t="inlineStr">
        <is>
          <t>ALVESTA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30451-2021</t>
        </is>
      </c>
      <c r="B2934" s="1" t="n">
        <v>44364</v>
      </c>
      <c r="C2934" s="1" t="n">
        <v>45845</v>
      </c>
      <c r="D2934" t="inlineStr">
        <is>
          <t>KRONOBERGS LÄN</t>
        </is>
      </c>
      <c r="E2934" t="inlineStr">
        <is>
          <t>TINGSRYD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30552-2021</t>
        </is>
      </c>
      <c r="B2935" s="1" t="n">
        <v>44364</v>
      </c>
      <c r="C2935" s="1" t="n">
        <v>45845</v>
      </c>
      <c r="D2935" t="inlineStr">
        <is>
          <t>KRONOBERGS LÄN</t>
        </is>
      </c>
      <c r="E2935" t="inlineStr">
        <is>
          <t>ALVESTA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30611-2021</t>
        </is>
      </c>
      <c r="B2936" s="1" t="n">
        <v>44364</v>
      </c>
      <c r="C2936" s="1" t="n">
        <v>45845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30667-2021</t>
        </is>
      </c>
      <c r="B2937" s="1" t="n">
        <v>44365</v>
      </c>
      <c r="C2937" s="1" t="n">
        <v>45845</v>
      </c>
      <c r="D2937" t="inlineStr">
        <is>
          <t>KRONOBERGS LÄN</t>
        </is>
      </c>
      <c r="E2937" t="inlineStr">
        <is>
          <t>TINGSRYD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30609-2021</t>
        </is>
      </c>
      <c r="B2938" s="1" t="n">
        <v>44365</v>
      </c>
      <c r="C2938" s="1" t="n">
        <v>45845</v>
      </c>
      <c r="D2938" t="inlineStr">
        <is>
          <t>KRONOBERGS LÄN</t>
        </is>
      </c>
      <c r="E2938" t="inlineStr">
        <is>
          <t>MARKARYD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30756-2021</t>
        </is>
      </c>
      <c r="B2939" s="1" t="n">
        <v>44365</v>
      </c>
      <c r="C2939" s="1" t="n">
        <v>45845</v>
      </c>
      <c r="D2939" t="inlineStr">
        <is>
          <t>KRONOBERGS LÄN</t>
        </is>
      </c>
      <c r="E2939" t="inlineStr">
        <is>
          <t>ALVESTA</t>
        </is>
      </c>
      <c r="G2939" t="n">
        <v>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30820-2021</t>
        </is>
      </c>
      <c r="B2940" s="1" t="n">
        <v>44365</v>
      </c>
      <c r="C2940" s="1" t="n">
        <v>45845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31012-2021</t>
        </is>
      </c>
      <c r="B2941" s="1" t="n">
        <v>44367</v>
      </c>
      <c r="C2941" s="1" t="n">
        <v>45845</v>
      </c>
      <c r="D2941" t="inlineStr">
        <is>
          <t>KRONOBERGS LÄN</t>
        </is>
      </c>
      <c r="E2941" t="inlineStr">
        <is>
          <t>VÄXJÖ</t>
        </is>
      </c>
      <c r="F2941" t="inlineStr">
        <is>
          <t>Övriga Aktiebolag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31425-2021</t>
        </is>
      </c>
      <c r="B2942" s="1" t="n">
        <v>44369</v>
      </c>
      <c r="C2942" s="1" t="n">
        <v>45845</v>
      </c>
      <c r="D2942" t="inlineStr">
        <is>
          <t>KRONOBERGS LÄN</t>
        </is>
      </c>
      <c r="E2942" t="inlineStr">
        <is>
          <t>LESSEBO</t>
        </is>
      </c>
      <c r="G2942" t="n">
        <v>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31461-2021</t>
        </is>
      </c>
      <c r="B2943" s="1" t="n">
        <v>44369</v>
      </c>
      <c r="C2943" s="1" t="n">
        <v>45845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31516-2021</t>
        </is>
      </c>
      <c r="B2944" s="1" t="n">
        <v>44369</v>
      </c>
      <c r="C2944" s="1" t="n">
        <v>45845</v>
      </c>
      <c r="D2944" t="inlineStr">
        <is>
          <t>KRONOBERGS LÄN</t>
        </is>
      </c>
      <c r="E2944" t="inlineStr">
        <is>
          <t>UPPVIDINGE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31582-2021</t>
        </is>
      </c>
      <c r="B2945" s="1" t="n">
        <v>44369</v>
      </c>
      <c r="C2945" s="1" t="n">
        <v>45845</v>
      </c>
      <c r="D2945" t="inlineStr">
        <is>
          <t>KRONOBERGS LÄN</t>
        </is>
      </c>
      <c r="E2945" t="inlineStr">
        <is>
          <t>ALVESTA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31628-2021</t>
        </is>
      </c>
      <c r="B2946" s="1" t="n">
        <v>44369</v>
      </c>
      <c r="C2946" s="1" t="n">
        <v>45845</v>
      </c>
      <c r="D2946" t="inlineStr">
        <is>
          <t>KRONOBERGS LÄN</t>
        </is>
      </c>
      <c r="E2946" t="inlineStr">
        <is>
          <t>TINGSRYD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31635-2021</t>
        </is>
      </c>
      <c r="B2947" s="1" t="n">
        <v>44369</v>
      </c>
      <c r="C2947" s="1" t="n">
        <v>45845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31736-2021</t>
        </is>
      </c>
      <c r="B2948" s="1" t="n">
        <v>44370</v>
      </c>
      <c r="C2948" s="1" t="n">
        <v>45845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31826-2021</t>
        </is>
      </c>
      <c r="B2949" s="1" t="n">
        <v>44370</v>
      </c>
      <c r="C2949" s="1" t="n">
        <v>45845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31791-2021</t>
        </is>
      </c>
      <c r="B2950" s="1" t="n">
        <v>44370</v>
      </c>
      <c r="C2950" s="1" t="n">
        <v>45845</v>
      </c>
      <c r="D2950" t="inlineStr">
        <is>
          <t>KRONOBERGS LÄN</t>
        </is>
      </c>
      <c r="E2950" t="inlineStr">
        <is>
          <t>TINGSRYD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31983-2021</t>
        </is>
      </c>
      <c r="B2951" s="1" t="n">
        <v>44370</v>
      </c>
      <c r="C2951" s="1" t="n">
        <v>45845</v>
      </c>
      <c r="D2951" t="inlineStr">
        <is>
          <t>KRONOBERGS LÄN</t>
        </is>
      </c>
      <c r="E2951" t="inlineStr">
        <is>
          <t>MARKARYD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32010-2021</t>
        </is>
      </c>
      <c r="B2952" s="1" t="n">
        <v>44370</v>
      </c>
      <c r="C2952" s="1" t="n">
        <v>45845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31992-2021</t>
        </is>
      </c>
      <c r="B2953" s="1" t="n">
        <v>44370</v>
      </c>
      <c r="C2953" s="1" t="n">
        <v>45845</v>
      </c>
      <c r="D2953" t="inlineStr">
        <is>
          <t>KRONOBERGS LÄN</t>
        </is>
      </c>
      <c r="E2953" t="inlineStr">
        <is>
          <t>MARKARYD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32549-2021</t>
        </is>
      </c>
      <c r="B2954" s="1" t="n">
        <v>44370</v>
      </c>
      <c r="C2954" s="1" t="n">
        <v>45845</v>
      </c>
      <c r="D2954" t="inlineStr">
        <is>
          <t>KRONOBERGS LÄN</t>
        </is>
      </c>
      <c r="E2954" t="inlineStr">
        <is>
          <t>VÄXJÖ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32291-2021</t>
        </is>
      </c>
      <c r="B2955" s="1" t="n">
        <v>44371</v>
      </c>
      <c r="C2955" s="1" t="n">
        <v>45845</v>
      </c>
      <c r="D2955" t="inlineStr">
        <is>
          <t>KRONOBERGS LÄN</t>
        </is>
      </c>
      <c r="E2955" t="inlineStr">
        <is>
          <t>LESSEBO</t>
        </is>
      </c>
      <c r="F2955" t="inlineStr">
        <is>
          <t>Sveaskog</t>
        </is>
      </c>
      <c r="G2955" t="n">
        <v>6.1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32347-2021</t>
        </is>
      </c>
      <c r="B2956" s="1" t="n">
        <v>44371</v>
      </c>
      <c r="C2956" s="1" t="n">
        <v>45845</v>
      </c>
      <c r="D2956" t="inlineStr">
        <is>
          <t>KRONOBERGS LÄN</t>
        </is>
      </c>
      <c r="E2956" t="inlineStr">
        <is>
          <t>LJUNGBY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32375-2021</t>
        </is>
      </c>
      <c r="B2957" s="1" t="n">
        <v>44371</v>
      </c>
      <c r="C2957" s="1" t="n">
        <v>45845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32376-2021</t>
        </is>
      </c>
      <c r="B2958" s="1" t="n">
        <v>44371</v>
      </c>
      <c r="C2958" s="1" t="n">
        <v>45845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32488-2021</t>
        </is>
      </c>
      <c r="B2959" s="1" t="n">
        <v>44371</v>
      </c>
      <c r="C2959" s="1" t="n">
        <v>45845</v>
      </c>
      <c r="D2959" t="inlineStr">
        <is>
          <t>KRONOBERGS LÄN</t>
        </is>
      </c>
      <c r="E2959" t="inlineStr">
        <is>
          <t>UPPVIDINGE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32667-2021</t>
        </is>
      </c>
      <c r="B2960" s="1" t="n">
        <v>44375</v>
      </c>
      <c r="C2960" s="1" t="n">
        <v>45845</v>
      </c>
      <c r="D2960" t="inlineStr">
        <is>
          <t>KRONOBERGS LÄN</t>
        </is>
      </c>
      <c r="E2960" t="inlineStr">
        <is>
          <t>LESSEBO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32692-2021</t>
        </is>
      </c>
      <c r="B2961" s="1" t="n">
        <v>44375</v>
      </c>
      <c r="C2961" s="1" t="n">
        <v>45845</v>
      </c>
      <c r="D2961" t="inlineStr">
        <is>
          <t>KRONOBERGS LÄN</t>
        </is>
      </c>
      <c r="E2961" t="inlineStr">
        <is>
          <t>UPPVIDINGE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32707-2021</t>
        </is>
      </c>
      <c r="B2962" s="1" t="n">
        <v>44375</v>
      </c>
      <c r="C2962" s="1" t="n">
        <v>45845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32734-2021</t>
        </is>
      </c>
      <c r="B2963" s="1" t="n">
        <v>44375</v>
      </c>
      <c r="C2963" s="1" t="n">
        <v>45845</v>
      </c>
      <c r="D2963" t="inlineStr">
        <is>
          <t>KRONOBERGS LÄN</t>
        </is>
      </c>
      <c r="E2963" t="inlineStr">
        <is>
          <t>UPPVIDINGE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32605-2021</t>
        </is>
      </c>
      <c r="B2964" s="1" t="n">
        <v>44375</v>
      </c>
      <c r="C2964" s="1" t="n">
        <v>45845</v>
      </c>
      <c r="D2964" t="inlineStr">
        <is>
          <t>KRONOBERGS LÄN</t>
        </is>
      </c>
      <c r="E2964" t="inlineStr">
        <is>
          <t>TINGSRYD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32711-2021</t>
        </is>
      </c>
      <c r="B2965" s="1" t="n">
        <v>44375</v>
      </c>
      <c r="C2965" s="1" t="n">
        <v>45845</v>
      </c>
      <c r="D2965" t="inlineStr">
        <is>
          <t>KRONOBERGS LÄN</t>
        </is>
      </c>
      <c r="E2965" t="inlineStr">
        <is>
          <t>UPPVIDINGE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32720-2021</t>
        </is>
      </c>
      <c r="B2966" s="1" t="n">
        <v>44375</v>
      </c>
      <c r="C2966" s="1" t="n">
        <v>45845</v>
      </c>
      <c r="D2966" t="inlineStr">
        <is>
          <t>KRONOBERGS LÄN</t>
        </is>
      </c>
      <c r="E2966" t="inlineStr">
        <is>
          <t>UPPVIDINGE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32726-2021</t>
        </is>
      </c>
      <c r="B2967" s="1" t="n">
        <v>44375</v>
      </c>
      <c r="C2967" s="1" t="n">
        <v>45845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32701-2021</t>
        </is>
      </c>
      <c r="B2968" s="1" t="n">
        <v>44375</v>
      </c>
      <c r="C2968" s="1" t="n">
        <v>45845</v>
      </c>
      <c r="D2968" t="inlineStr">
        <is>
          <t>KRONOBERGS LÄN</t>
        </is>
      </c>
      <c r="E2968" t="inlineStr">
        <is>
          <t>UPPVIDINGE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32736-2021</t>
        </is>
      </c>
      <c r="B2969" s="1" t="n">
        <v>44375</v>
      </c>
      <c r="C2969" s="1" t="n">
        <v>45845</v>
      </c>
      <c r="D2969" t="inlineStr">
        <is>
          <t>KRONOBERGS LÄN</t>
        </is>
      </c>
      <c r="E2969" t="inlineStr">
        <is>
          <t>UPPVIDINGE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32758-2021</t>
        </is>
      </c>
      <c r="B2970" s="1" t="n">
        <v>44375</v>
      </c>
      <c r="C2970" s="1" t="n">
        <v>45845</v>
      </c>
      <c r="D2970" t="inlineStr">
        <is>
          <t>KRONOBERGS LÄN</t>
        </is>
      </c>
      <c r="E2970" t="inlineStr">
        <is>
          <t>UPPVIDINGE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32764-2021</t>
        </is>
      </c>
      <c r="B2971" s="1" t="n">
        <v>44375</v>
      </c>
      <c r="C2971" s="1" t="n">
        <v>45845</v>
      </c>
      <c r="D2971" t="inlineStr">
        <is>
          <t>KRONOBERGS LÄN</t>
        </is>
      </c>
      <c r="E2971" t="inlineStr">
        <is>
          <t>UPPVIDINGE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32740-2021</t>
        </is>
      </c>
      <c r="B2972" s="1" t="n">
        <v>44375</v>
      </c>
      <c r="C2972" s="1" t="n">
        <v>45845</v>
      </c>
      <c r="D2972" t="inlineStr">
        <is>
          <t>KRONOBERGS LÄN</t>
        </is>
      </c>
      <c r="E2972" t="inlineStr">
        <is>
          <t>UPPVIDINGE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32755-2021</t>
        </is>
      </c>
      <c r="B2973" s="1" t="n">
        <v>44375</v>
      </c>
      <c r="C2973" s="1" t="n">
        <v>45845</v>
      </c>
      <c r="D2973" t="inlineStr">
        <is>
          <t>KRONOBERGS LÄN</t>
        </is>
      </c>
      <c r="E2973" t="inlineStr">
        <is>
          <t>UPPVIDINGE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33066-2021</t>
        </is>
      </c>
      <c r="B2974" s="1" t="n">
        <v>44376</v>
      </c>
      <c r="C2974" s="1" t="n">
        <v>45845</v>
      </c>
      <c r="D2974" t="inlineStr">
        <is>
          <t>KRONOBERGS LÄN</t>
        </is>
      </c>
      <c r="E2974" t="inlineStr">
        <is>
          <t>UPPVIDINGE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33094-2021</t>
        </is>
      </c>
      <c r="B2975" s="1" t="n">
        <v>44376</v>
      </c>
      <c r="C2975" s="1" t="n">
        <v>45845</v>
      </c>
      <c r="D2975" t="inlineStr">
        <is>
          <t>KRONOBERGS LÄN</t>
        </is>
      </c>
      <c r="E2975" t="inlineStr">
        <is>
          <t>TINGSRYD</t>
        </is>
      </c>
      <c r="F2975" t="inlineStr">
        <is>
          <t>Övriga Aktiebolag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33115-2021</t>
        </is>
      </c>
      <c r="B2976" s="1" t="n">
        <v>44376</v>
      </c>
      <c r="C2976" s="1" t="n">
        <v>45845</v>
      </c>
      <c r="D2976" t="inlineStr">
        <is>
          <t>KRONOBERGS LÄN</t>
        </is>
      </c>
      <c r="E2976" t="inlineStr">
        <is>
          <t>LJUNGBY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33141-2021</t>
        </is>
      </c>
      <c r="B2977" s="1" t="n">
        <v>44376</v>
      </c>
      <c r="C2977" s="1" t="n">
        <v>45845</v>
      </c>
      <c r="D2977" t="inlineStr">
        <is>
          <t>KRONOBERGS LÄN</t>
        </is>
      </c>
      <c r="E2977" t="inlineStr">
        <is>
          <t>TINGSRYD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33108-2021</t>
        </is>
      </c>
      <c r="B2978" s="1" t="n">
        <v>44376</v>
      </c>
      <c r="C2978" s="1" t="n">
        <v>45845</v>
      </c>
      <c r="D2978" t="inlineStr">
        <is>
          <t>KRONOBERGS LÄN</t>
        </is>
      </c>
      <c r="E2978" t="inlineStr">
        <is>
          <t>UPPVIDINGE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33142-2021</t>
        </is>
      </c>
      <c r="B2979" s="1" t="n">
        <v>44376</v>
      </c>
      <c r="C2979" s="1" t="n">
        <v>45845</v>
      </c>
      <c r="D2979" t="inlineStr">
        <is>
          <t>KRONOBERGS LÄN</t>
        </is>
      </c>
      <c r="E2979" t="inlineStr">
        <is>
          <t>VÄXJÖ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33135-2021</t>
        </is>
      </c>
      <c r="B2980" s="1" t="n">
        <v>44376</v>
      </c>
      <c r="C2980" s="1" t="n">
        <v>45845</v>
      </c>
      <c r="D2980" t="inlineStr">
        <is>
          <t>KRONOBERGS LÄN</t>
        </is>
      </c>
      <c r="E2980" t="inlineStr">
        <is>
          <t>TINGSRYD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33457-2021</t>
        </is>
      </c>
      <c r="B2981" s="1" t="n">
        <v>44377</v>
      </c>
      <c r="C2981" s="1" t="n">
        <v>45845</v>
      </c>
      <c r="D2981" t="inlineStr">
        <is>
          <t>KRONOBERGS LÄN</t>
        </is>
      </c>
      <c r="E2981" t="inlineStr">
        <is>
          <t>VÄXJÖ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33481-2021</t>
        </is>
      </c>
      <c r="B2982" s="1" t="n">
        <v>44377</v>
      </c>
      <c r="C2982" s="1" t="n">
        <v>45845</v>
      </c>
      <c r="D2982" t="inlineStr">
        <is>
          <t>KRONOBERGS LÄN</t>
        </is>
      </c>
      <c r="E2982" t="inlineStr">
        <is>
          <t>LJUNGBY</t>
        </is>
      </c>
      <c r="G2982" t="n">
        <v>5.4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33462-2021</t>
        </is>
      </c>
      <c r="B2983" s="1" t="n">
        <v>44377</v>
      </c>
      <c r="C2983" s="1" t="n">
        <v>45845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33472-2021</t>
        </is>
      </c>
      <c r="B2984" s="1" t="n">
        <v>44377</v>
      </c>
      <c r="C2984" s="1" t="n">
        <v>45845</v>
      </c>
      <c r="D2984" t="inlineStr">
        <is>
          <t>KRONOBERGS LÄN</t>
        </is>
      </c>
      <c r="E2984" t="inlineStr">
        <is>
          <t>LJUNGBY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33910-2021</t>
        </is>
      </c>
      <c r="B2985" s="1" t="n">
        <v>44378</v>
      </c>
      <c r="C2985" s="1" t="n">
        <v>45845</v>
      </c>
      <c r="D2985" t="inlineStr">
        <is>
          <t>KRONOBERGS LÄN</t>
        </is>
      </c>
      <c r="E2985" t="inlineStr">
        <is>
          <t>MARKARYD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33909-2021</t>
        </is>
      </c>
      <c r="B2986" s="1" t="n">
        <v>44378</v>
      </c>
      <c r="C2986" s="1" t="n">
        <v>45845</v>
      </c>
      <c r="D2986" t="inlineStr">
        <is>
          <t>KRONOBERGS LÄN</t>
        </is>
      </c>
      <c r="E2986" t="inlineStr">
        <is>
          <t>MARKARYD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34229-2021</t>
        </is>
      </c>
      <c r="B2987" s="1" t="n">
        <v>44379</v>
      </c>
      <c r="C2987" s="1" t="n">
        <v>45845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34214-2021</t>
        </is>
      </c>
      <c r="B2988" s="1" t="n">
        <v>44379</v>
      </c>
      <c r="C2988" s="1" t="n">
        <v>45845</v>
      </c>
      <c r="D2988" t="inlineStr">
        <is>
          <t>KRONOBERGS LÄN</t>
        </is>
      </c>
      <c r="E2988" t="inlineStr">
        <is>
          <t>VÄXJÖ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34230-2021</t>
        </is>
      </c>
      <c r="B2989" s="1" t="n">
        <v>44379</v>
      </c>
      <c r="C2989" s="1" t="n">
        <v>45845</v>
      </c>
      <c r="D2989" t="inlineStr">
        <is>
          <t>KRONOBERGS LÄN</t>
        </is>
      </c>
      <c r="E2989" t="inlineStr">
        <is>
          <t>VÄXJÖ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34434-2021</t>
        </is>
      </c>
      <c r="B2990" s="1" t="n">
        <v>44380</v>
      </c>
      <c r="C2990" s="1" t="n">
        <v>45845</v>
      </c>
      <c r="D2990" t="inlineStr">
        <is>
          <t>KRONOBERGS LÄN</t>
        </is>
      </c>
      <c r="E2990" t="inlineStr">
        <is>
          <t>LJUNGBY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34433-2021</t>
        </is>
      </c>
      <c r="B2991" s="1" t="n">
        <v>44380</v>
      </c>
      <c r="C2991" s="1" t="n">
        <v>45845</v>
      </c>
      <c r="D2991" t="inlineStr">
        <is>
          <t>KRONOBERGS LÄN</t>
        </is>
      </c>
      <c r="E2991" t="inlineStr">
        <is>
          <t>LJUNGBY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34478-2021</t>
        </is>
      </c>
      <c r="B2992" s="1" t="n">
        <v>44382</v>
      </c>
      <c r="C2992" s="1" t="n">
        <v>45845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34663-2021</t>
        </is>
      </c>
      <c r="B2993" s="1" t="n">
        <v>44381</v>
      </c>
      <c r="C2993" s="1" t="n">
        <v>45845</v>
      </c>
      <c r="D2993" t="inlineStr">
        <is>
          <t>KRONOBERGS LÄN</t>
        </is>
      </c>
      <c r="E2993" t="inlineStr">
        <is>
          <t>LJUNGBY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34829-2021</t>
        </is>
      </c>
      <c r="B2994" s="1" t="n">
        <v>44383</v>
      </c>
      <c r="C2994" s="1" t="n">
        <v>45845</v>
      </c>
      <c r="D2994" t="inlineStr">
        <is>
          <t>KRONOBERGS LÄN</t>
        </is>
      </c>
      <c r="E2994" t="inlineStr">
        <is>
          <t>ÄLMHULT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35011-2021</t>
        </is>
      </c>
      <c r="B2995" s="1" t="n">
        <v>44383</v>
      </c>
      <c r="C2995" s="1" t="n">
        <v>45845</v>
      </c>
      <c r="D2995" t="inlineStr">
        <is>
          <t>KRONOBERGS LÄN</t>
        </is>
      </c>
      <c r="E2995" t="inlineStr">
        <is>
          <t>ÄLMHULT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35171-2021</t>
        </is>
      </c>
      <c r="B2996" s="1" t="n">
        <v>44384</v>
      </c>
      <c r="C2996" s="1" t="n">
        <v>45845</v>
      </c>
      <c r="D2996" t="inlineStr">
        <is>
          <t>KRONOBERGS LÄN</t>
        </is>
      </c>
      <c r="E2996" t="inlineStr">
        <is>
          <t>LJUNGBY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35183-2021</t>
        </is>
      </c>
      <c r="B2997" s="1" t="n">
        <v>44384</v>
      </c>
      <c r="C2997" s="1" t="n">
        <v>45845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35315-2021</t>
        </is>
      </c>
      <c r="B2998" s="1" t="n">
        <v>44384</v>
      </c>
      <c r="C2998" s="1" t="n">
        <v>45845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35135-2021</t>
        </is>
      </c>
      <c r="B2999" s="1" t="n">
        <v>44384</v>
      </c>
      <c r="C2999" s="1" t="n">
        <v>45845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35179-2021</t>
        </is>
      </c>
      <c r="B3000" s="1" t="n">
        <v>44384</v>
      </c>
      <c r="C3000" s="1" t="n">
        <v>45845</v>
      </c>
      <c r="D3000" t="inlineStr">
        <is>
          <t>KRONOBERGS LÄN</t>
        </is>
      </c>
      <c r="E3000" t="inlineStr">
        <is>
          <t>VÄXJÖ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35155-2021</t>
        </is>
      </c>
      <c r="B3001" s="1" t="n">
        <v>44384</v>
      </c>
      <c r="C3001" s="1" t="n">
        <v>45845</v>
      </c>
      <c r="D3001" t="inlineStr">
        <is>
          <t>KRONOBERGS LÄN</t>
        </is>
      </c>
      <c r="E3001" t="inlineStr">
        <is>
          <t>ÄLMHULT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35184-2021</t>
        </is>
      </c>
      <c r="B3002" s="1" t="n">
        <v>44384</v>
      </c>
      <c r="C3002" s="1" t="n">
        <v>45845</v>
      </c>
      <c r="D3002" t="inlineStr">
        <is>
          <t>KRONOBERGS LÄN</t>
        </is>
      </c>
      <c r="E3002" t="inlineStr">
        <is>
          <t>VÄXJÖ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35131-2021</t>
        </is>
      </c>
      <c r="B3003" s="1" t="n">
        <v>44384</v>
      </c>
      <c r="C3003" s="1" t="n">
        <v>45845</v>
      </c>
      <c r="D3003" t="inlineStr">
        <is>
          <t>KRONOBERGS LÄN</t>
        </is>
      </c>
      <c r="E3003" t="inlineStr">
        <is>
          <t>LJUNGBY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35375-2021</t>
        </is>
      </c>
      <c r="B3004" s="1" t="n">
        <v>44385</v>
      </c>
      <c r="C3004" s="1" t="n">
        <v>45845</v>
      </c>
      <c r="D3004" t="inlineStr">
        <is>
          <t>KRONOBERGS LÄN</t>
        </is>
      </c>
      <c r="E3004" t="inlineStr">
        <is>
          <t>ALVESTA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35383-2021</t>
        </is>
      </c>
      <c r="B3005" s="1" t="n">
        <v>44385</v>
      </c>
      <c r="C3005" s="1" t="n">
        <v>45845</v>
      </c>
      <c r="D3005" t="inlineStr">
        <is>
          <t>KRONOBERGS LÄN</t>
        </is>
      </c>
      <c r="E3005" t="inlineStr">
        <is>
          <t>ÄLMHULT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35377-2021</t>
        </is>
      </c>
      <c r="B3006" s="1" t="n">
        <v>44385</v>
      </c>
      <c r="C3006" s="1" t="n">
        <v>45845</v>
      </c>
      <c r="D3006" t="inlineStr">
        <is>
          <t>KRONOBERGS LÄN</t>
        </is>
      </c>
      <c r="E3006" t="inlineStr">
        <is>
          <t>ALVESTA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35679-2021</t>
        </is>
      </c>
      <c r="B3007" s="1" t="n">
        <v>44386</v>
      </c>
      <c r="C3007" s="1" t="n">
        <v>45845</v>
      </c>
      <c r="D3007" t="inlineStr">
        <is>
          <t>KRONOBERGS LÄN</t>
        </is>
      </c>
      <c r="E3007" t="inlineStr">
        <is>
          <t>ALVESTA</t>
        </is>
      </c>
      <c r="G3007" t="n">
        <v>9.1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35702-2021</t>
        </is>
      </c>
      <c r="B3008" s="1" t="n">
        <v>44386</v>
      </c>
      <c r="C3008" s="1" t="n">
        <v>45845</v>
      </c>
      <c r="D3008" t="inlineStr">
        <is>
          <t>KRONOBERGS LÄN</t>
        </is>
      </c>
      <c r="E3008" t="inlineStr">
        <is>
          <t>ÄLMHULT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35778-2021</t>
        </is>
      </c>
      <c r="B3009" s="1" t="n">
        <v>44386</v>
      </c>
      <c r="C3009" s="1" t="n">
        <v>45845</v>
      </c>
      <c r="D3009" t="inlineStr">
        <is>
          <t>KRONOBERGS LÄN</t>
        </is>
      </c>
      <c r="E3009" t="inlineStr">
        <is>
          <t>UPPVIDINGE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35707-2021</t>
        </is>
      </c>
      <c r="B3010" s="1" t="n">
        <v>44386</v>
      </c>
      <c r="C3010" s="1" t="n">
        <v>45845</v>
      </c>
      <c r="D3010" t="inlineStr">
        <is>
          <t>KRONOBERGS LÄN</t>
        </is>
      </c>
      <c r="E3010" t="inlineStr">
        <is>
          <t>ÄLMHULT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35777-2021</t>
        </is>
      </c>
      <c r="B3011" s="1" t="n">
        <v>44386</v>
      </c>
      <c r="C3011" s="1" t="n">
        <v>45845</v>
      </c>
      <c r="D3011" t="inlineStr">
        <is>
          <t>KRONOBERGS LÄN</t>
        </is>
      </c>
      <c r="E3011" t="inlineStr">
        <is>
          <t>UPPVIDINGE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35807-2021</t>
        </is>
      </c>
      <c r="B3012" s="1" t="n">
        <v>44386</v>
      </c>
      <c r="C3012" s="1" t="n">
        <v>45845</v>
      </c>
      <c r="D3012" t="inlineStr">
        <is>
          <t>KRONOBERGS LÄN</t>
        </is>
      </c>
      <c r="E3012" t="inlineStr">
        <is>
          <t>VÄXJÖ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35819-2021</t>
        </is>
      </c>
      <c r="B3013" s="1" t="n">
        <v>44386</v>
      </c>
      <c r="C3013" s="1" t="n">
        <v>45845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35808-2021</t>
        </is>
      </c>
      <c r="B3014" s="1" t="n">
        <v>44386</v>
      </c>
      <c r="C3014" s="1" t="n">
        <v>45845</v>
      </c>
      <c r="D3014" t="inlineStr">
        <is>
          <t>KRONOBERGS LÄN</t>
        </is>
      </c>
      <c r="E3014" t="inlineStr">
        <is>
          <t>LJUNGBY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35838-2021</t>
        </is>
      </c>
      <c r="B3015" s="1" t="n">
        <v>44386</v>
      </c>
      <c r="C3015" s="1" t="n">
        <v>45845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35882-2021</t>
        </is>
      </c>
      <c r="B3016" s="1" t="n">
        <v>44387</v>
      </c>
      <c r="C3016" s="1" t="n">
        <v>45845</v>
      </c>
      <c r="D3016" t="inlineStr">
        <is>
          <t>KRONOBERGS LÄN</t>
        </is>
      </c>
      <c r="E3016" t="inlineStr">
        <is>
          <t>VÄXJÖ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35945-2021</t>
        </is>
      </c>
      <c r="B3017" s="1" t="n">
        <v>44388</v>
      </c>
      <c r="C3017" s="1" t="n">
        <v>45845</v>
      </c>
      <c r="D3017" t="inlineStr">
        <is>
          <t>KRONOBERGS LÄN</t>
        </is>
      </c>
      <c r="E3017" t="inlineStr">
        <is>
          <t>TINGSRYD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36089-2021</t>
        </is>
      </c>
      <c r="B3018" s="1" t="n">
        <v>44389</v>
      </c>
      <c r="C3018" s="1" t="n">
        <v>45845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36115-2021</t>
        </is>
      </c>
      <c r="B3019" s="1" t="n">
        <v>44389</v>
      </c>
      <c r="C3019" s="1" t="n">
        <v>45845</v>
      </c>
      <c r="D3019" t="inlineStr">
        <is>
          <t>KRONOBERGS LÄN</t>
        </is>
      </c>
      <c r="E3019" t="inlineStr">
        <is>
          <t>VÄXJÖ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36433-2021</t>
        </is>
      </c>
      <c r="B3020" s="1" t="n">
        <v>44390</v>
      </c>
      <c r="C3020" s="1" t="n">
        <v>45845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36376-2021</t>
        </is>
      </c>
      <c r="B3021" s="1" t="n">
        <v>44390</v>
      </c>
      <c r="C3021" s="1" t="n">
        <v>45845</v>
      </c>
      <c r="D3021" t="inlineStr">
        <is>
          <t>KRONOBERGS LÄN</t>
        </is>
      </c>
      <c r="E3021" t="inlineStr">
        <is>
          <t>TINGSRYD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36399-2021</t>
        </is>
      </c>
      <c r="B3022" s="1" t="n">
        <v>44390</v>
      </c>
      <c r="C3022" s="1" t="n">
        <v>45845</v>
      </c>
      <c r="D3022" t="inlineStr">
        <is>
          <t>KRONOBERGS LÄN</t>
        </is>
      </c>
      <c r="E3022" t="inlineStr">
        <is>
          <t>TINGSRYD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36513-2021</t>
        </is>
      </c>
      <c r="B3023" s="1" t="n">
        <v>44391</v>
      </c>
      <c r="C3023" s="1" t="n">
        <v>45845</v>
      </c>
      <c r="D3023" t="inlineStr">
        <is>
          <t>KRONOBERGS LÄN</t>
        </is>
      </c>
      <c r="E3023" t="inlineStr">
        <is>
          <t>TINGSRYD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36780-2021</t>
        </is>
      </c>
      <c r="B3024" s="1" t="n">
        <v>44392</v>
      </c>
      <c r="C3024" s="1" t="n">
        <v>45845</v>
      </c>
      <c r="D3024" t="inlineStr">
        <is>
          <t>KRONOBERGS LÄN</t>
        </is>
      </c>
      <c r="E3024" t="inlineStr">
        <is>
          <t>UPPVIDINGE</t>
        </is>
      </c>
      <c r="G3024" t="n">
        <v>8.4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36854-2021</t>
        </is>
      </c>
      <c r="B3025" s="1" t="n">
        <v>44393</v>
      </c>
      <c r="C3025" s="1" t="n">
        <v>45845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37111-2021</t>
        </is>
      </c>
      <c r="B3026" s="1" t="n">
        <v>44393</v>
      </c>
      <c r="C3026" s="1" t="n">
        <v>45845</v>
      </c>
      <c r="D3026" t="inlineStr">
        <is>
          <t>KRONOBERGS LÄN</t>
        </is>
      </c>
      <c r="E3026" t="inlineStr">
        <is>
          <t>VÄXJÖ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37113-2021</t>
        </is>
      </c>
      <c r="B3027" s="1" t="n">
        <v>44393</v>
      </c>
      <c r="C3027" s="1" t="n">
        <v>45845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37112-2021</t>
        </is>
      </c>
      <c r="B3028" s="1" t="n">
        <v>44393</v>
      </c>
      <c r="C3028" s="1" t="n">
        <v>45845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37324-2021</t>
        </is>
      </c>
      <c r="B3029" s="1" t="n">
        <v>44396</v>
      </c>
      <c r="C3029" s="1" t="n">
        <v>45845</v>
      </c>
      <c r="D3029" t="inlineStr">
        <is>
          <t>KRONOBERGS LÄN</t>
        </is>
      </c>
      <c r="E3029" t="inlineStr">
        <is>
          <t>VÄXJÖ</t>
        </is>
      </c>
      <c r="F3029" t="inlineStr">
        <is>
          <t>Kommuner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37251-2021</t>
        </is>
      </c>
      <c r="B3030" s="1" t="n">
        <v>44396</v>
      </c>
      <c r="C3030" s="1" t="n">
        <v>45845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37311-2021</t>
        </is>
      </c>
      <c r="B3031" s="1" t="n">
        <v>44397</v>
      </c>
      <c r="C3031" s="1" t="n">
        <v>45845</v>
      </c>
      <c r="D3031" t="inlineStr">
        <is>
          <t>KRONOBERGS LÄN</t>
        </is>
      </c>
      <c r="E3031" t="inlineStr">
        <is>
          <t>VÄXJÖ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37336-2021</t>
        </is>
      </c>
      <c r="B3032" s="1" t="n">
        <v>44397</v>
      </c>
      <c r="C3032" s="1" t="n">
        <v>45845</v>
      </c>
      <c r="D3032" t="inlineStr">
        <is>
          <t>KRONOBERGS LÄN</t>
        </is>
      </c>
      <c r="E3032" t="inlineStr">
        <is>
          <t>ÄLMHULT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37355-2021</t>
        </is>
      </c>
      <c r="B3033" s="1" t="n">
        <v>44397</v>
      </c>
      <c r="C3033" s="1" t="n">
        <v>45845</v>
      </c>
      <c r="D3033" t="inlineStr">
        <is>
          <t>KRONOBERGS LÄN</t>
        </is>
      </c>
      <c r="E3033" t="inlineStr">
        <is>
          <t>VÄXJÖ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37337-2021</t>
        </is>
      </c>
      <c r="B3034" s="1" t="n">
        <v>44397</v>
      </c>
      <c r="C3034" s="1" t="n">
        <v>45845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37599-2021</t>
        </is>
      </c>
      <c r="B3035" s="1" t="n">
        <v>44399</v>
      </c>
      <c r="C3035" s="1" t="n">
        <v>45845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37713-2021</t>
        </is>
      </c>
      <c r="B3036" s="1" t="n">
        <v>44400</v>
      </c>
      <c r="C3036" s="1" t="n">
        <v>45845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37773-2021</t>
        </is>
      </c>
      <c r="B3037" s="1" t="n">
        <v>44400</v>
      </c>
      <c r="C3037" s="1" t="n">
        <v>45845</v>
      </c>
      <c r="D3037" t="inlineStr">
        <is>
          <t>KRONOBERGS LÄN</t>
        </is>
      </c>
      <c r="E3037" t="inlineStr">
        <is>
          <t>ÄLMHULT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37682-2021</t>
        </is>
      </c>
      <c r="B3038" s="1" t="n">
        <v>44400</v>
      </c>
      <c r="C3038" s="1" t="n">
        <v>45845</v>
      </c>
      <c r="D3038" t="inlineStr">
        <is>
          <t>KRONOBERGS LÄN</t>
        </is>
      </c>
      <c r="E3038" t="inlineStr">
        <is>
          <t>UPPVIDINGE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37788-2021</t>
        </is>
      </c>
      <c r="B3039" s="1" t="n">
        <v>44401</v>
      </c>
      <c r="C3039" s="1" t="n">
        <v>45845</v>
      </c>
      <c r="D3039" t="inlineStr">
        <is>
          <t>KRONOBERGS LÄN</t>
        </is>
      </c>
      <c r="E3039" t="inlineStr">
        <is>
          <t>ALVESTA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37933-2021</t>
        </is>
      </c>
      <c r="B3040" s="1" t="n">
        <v>44403</v>
      </c>
      <c r="C3040" s="1" t="n">
        <v>45845</v>
      </c>
      <c r="D3040" t="inlineStr">
        <is>
          <t>KRONOBERGS LÄN</t>
        </is>
      </c>
      <c r="E3040" t="inlineStr">
        <is>
          <t>LESSEBO</t>
        </is>
      </c>
      <c r="G3040" t="n">
        <v>10.9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37840-2021</t>
        </is>
      </c>
      <c r="B3041" s="1" t="n">
        <v>44403</v>
      </c>
      <c r="C3041" s="1" t="n">
        <v>45845</v>
      </c>
      <c r="D3041" t="inlineStr">
        <is>
          <t>KRONOBERGS LÄN</t>
        </is>
      </c>
      <c r="E3041" t="inlineStr">
        <is>
          <t>ÄLMHULT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38047-2021</t>
        </is>
      </c>
      <c r="B3042" s="1" t="n">
        <v>44404</v>
      </c>
      <c r="C3042" s="1" t="n">
        <v>45845</v>
      </c>
      <c r="D3042" t="inlineStr">
        <is>
          <t>KRONOBERGS LÄN</t>
        </is>
      </c>
      <c r="E3042" t="inlineStr">
        <is>
          <t>ALVESTA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38053-2021</t>
        </is>
      </c>
      <c r="B3043" s="1" t="n">
        <v>44404</v>
      </c>
      <c r="C3043" s="1" t="n">
        <v>45845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38334-2021</t>
        </is>
      </c>
      <c r="B3044" s="1" t="n">
        <v>44406</v>
      </c>
      <c r="C3044" s="1" t="n">
        <v>45845</v>
      </c>
      <c r="D3044" t="inlineStr">
        <is>
          <t>KRONOBERGS LÄN</t>
        </is>
      </c>
      <c r="E3044" t="inlineStr">
        <is>
          <t>UPPVIDINGE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38344-2021</t>
        </is>
      </c>
      <c r="B3045" s="1" t="n">
        <v>44406</v>
      </c>
      <c r="C3045" s="1" t="n">
        <v>45845</v>
      </c>
      <c r="D3045" t="inlineStr">
        <is>
          <t>KRONOBERGS LÄN</t>
        </is>
      </c>
      <c r="E3045" t="inlineStr">
        <is>
          <t>VÄXJÖ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38570-2021</t>
        </is>
      </c>
      <c r="B3046" s="1" t="n">
        <v>44407</v>
      </c>
      <c r="C3046" s="1" t="n">
        <v>45845</v>
      </c>
      <c r="D3046" t="inlineStr">
        <is>
          <t>KRONOBERGS LÄN</t>
        </is>
      </c>
      <c r="E3046" t="inlineStr">
        <is>
          <t>TINGSRYD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38571-2021</t>
        </is>
      </c>
      <c r="B3047" s="1" t="n">
        <v>44407</v>
      </c>
      <c r="C3047" s="1" t="n">
        <v>45845</v>
      </c>
      <c r="D3047" t="inlineStr">
        <is>
          <t>KRONOBERGS LÄN</t>
        </is>
      </c>
      <c r="E3047" t="inlineStr">
        <is>
          <t>TINGSRYD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38608-2021</t>
        </is>
      </c>
      <c r="B3048" s="1" t="n">
        <v>44409</v>
      </c>
      <c r="C3048" s="1" t="n">
        <v>45845</v>
      </c>
      <c r="D3048" t="inlineStr">
        <is>
          <t>KRONOBERGS LÄN</t>
        </is>
      </c>
      <c r="E3048" t="inlineStr">
        <is>
          <t>MARKARYD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38609-2021</t>
        </is>
      </c>
      <c r="B3049" s="1" t="n">
        <v>44409</v>
      </c>
      <c r="C3049" s="1" t="n">
        <v>45845</v>
      </c>
      <c r="D3049" t="inlineStr">
        <is>
          <t>KRONOBERGS LÄN</t>
        </is>
      </c>
      <c r="E3049" t="inlineStr">
        <is>
          <t>MARKARYD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38872-2021</t>
        </is>
      </c>
      <c r="B3050" s="1" t="n">
        <v>44410</v>
      </c>
      <c r="C3050" s="1" t="n">
        <v>45845</v>
      </c>
      <c r="D3050" t="inlineStr">
        <is>
          <t>KRONOBERGS LÄN</t>
        </is>
      </c>
      <c r="E3050" t="inlineStr">
        <is>
          <t>LJUNGBY</t>
        </is>
      </c>
      <c r="G3050" t="n">
        <v>8.6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38777-2021</t>
        </is>
      </c>
      <c r="B3051" s="1" t="n">
        <v>44410</v>
      </c>
      <c r="C3051" s="1" t="n">
        <v>45845</v>
      </c>
      <c r="D3051" t="inlineStr">
        <is>
          <t>KRONOBERGS LÄN</t>
        </is>
      </c>
      <c r="E3051" t="inlineStr">
        <is>
          <t>UPPVIDINGE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39080-2021</t>
        </is>
      </c>
      <c r="B3052" s="1" t="n">
        <v>44412</v>
      </c>
      <c r="C3052" s="1" t="n">
        <v>45845</v>
      </c>
      <c r="D3052" t="inlineStr">
        <is>
          <t>KRONOBERGS LÄN</t>
        </is>
      </c>
      <c r="E3052" t="inlineStr">
        <is>
          <t>VÄXJÖ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39099-2021</t>
        </is>
      </c>
      <c r="B3053" s="1" t="n">
        <v>44412</v>
      </c>
      <c r="C3053" s="1" t="n">
        <v>45845</v>
      </c>
      <c r="D3053" t="inlineStr">
        <is>
          <t>KRONOBERGS LÄN</t>
        </is>
      </c>
      <c r="E3053" t="inlineStr">
        <is>
          <t>TINGSRYD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38993-2021</t>
        </is>
      </c>
      <c r="B3054" s="1" t="n">
        <v>44412</v>
      </c>
      <c r="C3054" s="1" t="n">
        <v>45845</v>
      </c>
      <c r="D3054" t="inlineStr">
        <is>
          <t>KRONOBERGS LÄN</t>
        </is>
      </c>
      <c r="E3054" t="inlineStr">
        <is>
          <t>ALVESTA</t>
        </is>
      </c>
      <c r="G3054" t="n">
        <v>7.9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38997-2021</t>
        </is>
      </c>
      <c r="B3055" s="1" t="n">
        <v>44412</v>
      </c>
      <c r="C3055" s="1" t="n">
        <v>45845</v>
      </c>
      <c r="D3055" t="inlineStr">
        <is>
          <t>KRONOBERGS LÄN</t>
        </is>
      </c>
      <c r="E3055" t="inlineStr">
        <is>
          <t>ALVESTA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39254-2021</t>
        </is>
      </c>
      <c r="B3056" s="1" t="n">
        <v>44413</v>
      </c>
      <c r="C3056" s="1" t="n">
        <v>45845</v>
      </c>
      <c r="D3056" t="inlineStr">
        <is>
          <t>KRONOBERGS LÄN</t>
        </is>
      </c>
      <c r="E3056" t="inlineStr">
        <is>
          <t>ÄLMHULT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39733-2021</t>
        </is>
      </c>
      <c r="B3057" s="1" t="n">
        <v>44414</v>
      </c>
      <c r="C3057" s="1" t="n">
        <v>45845</v>
      </c>
      <c r="D3057" t="inlineStr">
        <is>
          <t>KRONOBERGS LÄN</t>
        </is>
      </c>
      <c r="E3057" t="inlineStr">
        <is>
          <t>ÄLMHULT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39419-2021</t>
        </is>
      </c>
      <c r="B3058" s="1" t="n">
        <v>44414</v>
      </c>
      <c r="C3058" s="1" t="n">
        <v>45845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39474-2021</t>
        </is>
      </c>
      <c r="B3059" s="1" t="n">
        <v>44414</v>
      </c>
      <c r="C3059" s="1" t="n">
        <v>45845</v>
      </c>
      <c r="D3059" t="inlineStr">
        <is>
          <t>KRONOBERGS LÄN</t>
        </is>
      </c>
      <c r="E3059" t="inlineStr">
        <is>
          <t>ALVESTA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39550-2021</t>
        </is>
      </c>
      <c r="B3060" s="1" t="n">
        <v>44416</v>
      </c>
      <c r="C3060" s="1" t="n">
        <v>45845</v>
      </c>
      <c r="D3060" t="inlineStr">
        <is>
          <t>KRONOBERGS LÄN</t>
        </is>
      </c>
      <c r="E3060" t="inlineStr">
        <is>
          <t>VÄXJÖ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39576-2021</t>
        </is>
      </c>
      <c r="B3061" s="1" t="n">
        <v>44416</v>
      </c>
      <c r="C3061" s="1" t="n">
        <v>45845</v>
      </c>
      <c r="D3061" t="inlineStr">
        <is>
          <t>KRONOBERGS LÄN</t>
        </is>
      </c>
      <c r="E3061" t="inlineStr">
        <is>
          <t>TINGSRYD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39755-2021</t>
        </is>
      </c>
      <c r="B3062" s="1" t="n">
        <v>44417</v>
      </c>
      <c r="C3062" s="1" t="n">
        <v>45845</v>
      </c>
      <c r="D3062" t="inlineStr">
        <is>
          <t>KRONOBERGS LÄN</t>
        </is>
      </c>
      <c r="E3062" t="inlineStr">
        <is>
          <t>TINGSRYD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39686-2021</t>
        </is>
      </c>
      <c r="B3063" s="1" t="n">
        <v>44417</v>
      </c>
      <c r="C3063" s="1" t="n">
        <v>45845</v>
      </c>
      <c r="D3063" t="inlineStr">
        <is>
          <t>KRONOBERGS LÄN</t>
        </is>
      </c>
      <c r="E3063" t="inlineStr">
        <is>
          <t>TINGSRYD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39895-2021</t>
        </is>
      </c>
      <c r="B3064" s="1" t="n">
        <v>44417</v>
      </c>
      <c r="C3064" s="1" t="n">
        <v>45845</v>
      </c>
      <c r="D3064" t="inlineStr">
        <is>
          <t>KRONOBERGS LÄN</t>
        </is>
      </c>
      <c r="E3064" t="inlineStr">
        <is>
          <t>LJUNGBY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40039-2021</t>
        </is>
      </c>
      <c r="B3065" s="1" t="n">
        <v>44418</v>
      </c>
      <c r="C3065" s="1" t="n">
        <v>45845</v>
      </c>
      <c r="D3065" t="inlineStr">
        <is>
          <t>KRONOBERGS LÄN</t>
        </is>
      </c>
      <c r="E3065" t="inlineStr">
        <is>
          <t>LJUNGBY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40059-2021</t>
        </is>
      </c>
      <c r="B3066" s="1" t="n">
        <v>44418</v>
      </c>
      <c r="C3066" s="1" t="n">
        <v>45845</v>
      </c>
      <c r="D3066" t="inlineStr">
        <is>
          <t>KRONOBERGS LÄN</t>
        </is>
      </c>
      <c r="E3066" t="inlineStr">
        <is>
          <t>MARKARYD</t>
        </is>
      </c>
      <c r="F3066" t="inlineStr">
        <is>
          <t>Kommuner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40155-2021</t>
        </is>
      </c>
      <c r="B3067" s="1" t="n">
        <v>44418</v>
      </c>
      <c r="C3067" s="1" t="n">
        <v>45845</v>
      </c>
      <c r="D3067" t="inlineStr">
        <is>
          <t>KRONOBERGS LÄN</t>
        </is>
      </c>
      <c r="E3067" t="inlineStr">
        <is>
          <t>ALVESTA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40304-2021</t>
        </is>
      </c>
      <c r="B3068" s="1" t="n">
        <v>44419</v>
      </c>
      <c r="C3068" s="1" t="n">
        <v>45845</v>
      </c>
      <c r="D3068" t="inlineStr">
        <is>
          <t>KRONOBERGS LÄN</t>
        </is>
      </c>
      <c r="E3068" t="inlineStr">
        <is>
          <t>ALVESTA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40300-2021</t>
        </is>
      </c>
      <c r="B3069" s="1" t="n">
        <v>44419</v>
      </c>
      <c r="C3069" s="1" t="n">
        <v>45845</v>
      </c>
      <c r="D3069" t="inlineStr">
        <is>
          <t>KRONOBERGS LÄN</t>
        </is>
      </c>
      <c r="E3069" t="inlineStr">
        <is>
          <t>ALVESTA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40496-2021</t>
        </is>
      </c>
      <c r="B3070" s="1" t="n">
        <v>44420</v>
      </c>
      <c r="C3070" s="1" t="n">
        <v>45845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40487-2021</t>
        </is>
      </c>
      <c r="B3071" s="1" t="n">
        <v>44420</v>
      </c>
      <c r="C3071" s="1" t="n">
        <v>45845</v>
      </c>
      <c r="D3071" t="inlineStr">
        <is>
          <t>KRONOBERGS LÄN</t>
        </is>
      </c>
      <c r="E3071" t="inlineStr">
        <is>
          <t>UPPVIDINGE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40593-2021</t>
        </is>
      </c>
      <c r="B3072" s="1" t="n">
        <v>44420</v>
      </c>
      <c r="C3072" s="1" t="n">
        <v>45845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40494-2021</t>
        </is>
      </c>
      <c r="B3073" s="1" t="n">
        <v>44420</v>
      </c>
      <c r="C3073" s="1" t="n">
        <v>45845</v>
      </c>
      <c r="D3073" t="inlineStr">
        <is>
          <t>KRONOBERGS LÄN</t>
        </is>
      </c>
      <c r="E3073" t="inlineStr">
        <is>
          <t>VÄXJÖ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40580-2021</t>
        </is>
      </c>
      <c r="B3074" s="1" t="n">
        <v>44420</v>
      </c>
      <c r="C3074" s="1" t="n">
        <v>45845</v>
      </c>
      <c r="D3074" t="inlineStr">
        <is>
          <t>KRONOBERGS LÄN</t>
        </is>
      </c>
      <c r="E3074" t="inlineStr">
        <is>
          <t>ALVESTA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40620-2021</t>
        </is>
      </c>
      <c r="B3075" s="1" t="n">
        <v>44420</v>
      </c>
      <c r="C3075" s="1" t="n">
        <v>45845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40720-2021</t>
        </is>
      </c>
      <c r="B3076" s="1" t="n">
        <v>44420</v>
      </c>
      <c r="C3076" s="1" t="n">
        <v>45845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40923-2021</t>
        </is>
      </c>
      <c r="B3077" s="1" t="n">
        <v>44421</v>
      </c>
      <c r="C3077" s="1" t="n">
        <v>45845</v>
      </c>
      <c r="D3077" t="inlineStr">
        <is>
          <t>KRONOBERGS LÄN</t>
        </is>
      </c>
      <c r="E3077" t="inlineStr">
        <is>
          <t>LJUNGBY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40916-2021</t>
        </is>
      </c>
      <c r="B3078" s="1" t="n">
        <v>44421</v>
      </c>
      <c r="C3078" s="1" t="n">
        <v>45845</v>
      </c>
      <c r="D3078" t="inlineStr">
        <is>
          <t>KRONOBERGS LÄN</t>
        </is>
      </c>
      <c r="E3078" t="inlineStr">
        <is>
          <t>LJUNGBY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41282-2021</t>
        </is>
      </c>
      <c r="B3079" s="1" t="n">
        <v>44424</v>
      </c>
      <c r="C3079" s="1" t="n">
        <v>45845</v>
      </c>
      <c r="D3079" t="inlineStr">
        <is>
          <t>KRONOBERGS LÄN</t>
        </is>
      </c>
      <c r="E3079" t="inlineStr">
        <is>
          <t>ÄLMHULT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41314-2021</t>
        </is>
      </c>
      <c r="B3080" s="1" t="n">
        <v>44424</v>
      </c>
      <c r="C3080" s="1" t="n">
        <v>45845</v>
      </c>
      <c r="D3080" t="inlineStr">
        <is>
          <t>KRONOBERGS LÄN</t>
        </is>
      </c>
      <c r="E3080" t="inlineStr">
        <is>
          <t>UPPVIDINGE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41316-2021</t>
        </is>
      </c>
      <c r="B3081" s="1" t="n">
        <v>44424</v>
      </c>
      <c r="C3081" s="1" t="n">
        <v>45845</v>
      </c>
      <c r="D3081" t="inlineStr">
        <is>
          <t>KRONOBERGS LÄN</t>
        </is>
      </c>
      <c r="E3081" t="inlineStr">
        <is>
          <t>UPPVIDINGE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41175-2021</t>
        </is>
      </c>
      <c r="B3082" s="1" t="n">
        <v>44424</v>
      </c>
      <c r="C3082" s="1" t="n">
        <v>45845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41270-2021</t>
        </is>
      </c>
      <c r="B3083" s="1" t="n">
        <v>44424</v>
      </c>
      <c r="C3083" s="1" t="n">
        <v>45845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41305-2021</t>
        </is>
      </c>
      <c r="B3084" s="1" t="n">
        <v>44424</v>
      </c>
      <c r="C3084" s="1" t="n">
        <v>45845</v>
      </c>
      <c r="D3084" t="inlineStr">
        <is>
          <t>KRONOBERGS LÄN</t>
        </is>
      </c>
      <c r="E3084" t="inlineStr">
        <is>
          <t>VÄXJÖ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41354-2021</t>
        </is>
      </c>
      <c r="B3085" s="1" t="n">
        <v>44424</v>
      </c>
      <c r="C3085" s="1" t="n">
        <v>45845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41421-2021</t>
        </is>
      </c>
      <c r="B3086" s="1" t="n">
        <v>44424</v>
      </c>
      <c r="C3086" s="1" t="n">
        <v>45845</v>
      </c>
      <c r="D3086" t="inlineStr">
        <is>
          <t>KRONOBERGS LÄN</t>
        </is>
      </c>
      <c r="E3086" t="inlineStr">
        <is>
          <t>LJUNGBY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41458-2021</t>
        </is>
      </c>
      <c r="B3087" s="1" t="n">
        <v>44424</v>
      </c>
      <c r="C3087" s="1" t="n">
        <v>45845</v>
      </c>
      <c r="D3087" t="inlineStr">
        <is>
          <t>KRONOBERGS LÄN</t>
        </is>
      </c>
      <c r="E3087" t="inlineStr">
        <is>
          <t>VÄXJÖ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41399-2021</t>
        </is>
      </c>
      <c r="B3088" s="1" t="n">
        <v>44424</v>
      </c>
      <c r="C3088" s="1" t="n">
        <v>45845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41605-2021</t>
        </is>
      </c>
      <c r="B3089" s="1" t="n">
        <v>44425</v>
      </c>
      <c r="C3089" s="1" t="n">
        <v>45845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41626-2021</t>
        </is>
      </c>
      <c r="B3090" s="1" t="n">
        <v>44425</v>
      </c>
      <c r="C3090" s="1" t="n">
        <v>45845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41604-2021</t>
        </is>
      </c>
      <c r="B3091" s="1" t="n">
        <v>44425</v>
      </c>
      <c r="C3091" s="1" t="n">
        <v>45845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41611-2021</t>
        </is>
      </c>
      <c r="B3092" s="1" t="n">
        <v>44425</v>
      </c>
      <c r="C3092" s="1" t="n">
        <v>45845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41617-2021</t>
        </is>
      </c>
      <c r="B3093" s="1" t="n">
        <v>44425</v>
      </c>
      <c r="C3093" s="1" t="n">
        <v>45845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41624-2021</t>
        </is>
      </c>
      <c r="B3094" s="1" t="n">
        <v>44425</v>
      </c>
      <c r="C3094" s="1" t="n">
        <v>45845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41619-2021</t>
        </is>
      </c>
      <c r="B3095" s="1" t="n">
        <v>44425</v>
      </c>
      <c r="C3095" s="1" t="n">
        <v>45845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41746-2021</t>
        </is>
      </c>
      <c r="B3096" s="1" t="n">
        <v>44425</v>
      </c>
      <c r="C3096" s="1" t="n">
        <v>45845</v>
      </c>
      <c r="D3096" t="inlineStr">
        <is>
          <t>KRONOBERGS LÄN</t>
        </is>
      </c>
      <c r="E3096" t="inlineStr">
        <is>
          <t>TINGSRYD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41893-2021</t>
        </is>
      </c>
      <c r="B3097" s="1" t="n">
        <v>44426</v>
      </c>
      <c r="C3097" s="1" t="n">
        <v>45845</v>
      </c>
      <c r="D3097" t="inlineStr">
        <is>
          <t>KRONOBERGS LÄN</t>
        </is>
      </c>
      <c r="E3097" t="inlineStr">
        <is>
          <t>LJUNGBY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41983-2021</t>
        </is>
      </c>
      <c r="B3098" s="1" t="n">
        <v>44426</v>
      </c>
      <c r="C3098" s="1" t="n">
        <v>45845</v>
      </c>
      <c r="D3098" t="inlineStr">
        <is>
          <t>KRONOBERGS LÄN</t>
        </is>
      </c>
      <c r="E3098" t="inlineStr">
        <is>
          <t>TINGSRYD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42037-2021</t>
        </is>
      </c>
      <c r="B3099" s="1" t="n">
        <v>44426</v>
      </c>
      <c r="C3099" s="1" t="n">
        <v>45845</v>
      </c>
      <c r="D3099" t="inlineStr">
        <is>
          <t>KRONOBERGS LÄN</t>
        </is>
      </c>
      <c r="E3099" t="inlineStr">
        <is>
          <t>VÄXJÖ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42005-2021</t>
        </is>
      </c>
      <c r="B3100" s="1" t="n">
        <v>44426</v>
      </c>
      <c r="C3100" s="1" t="n">
        <v>45845</v>
      </c>
      <c r="D3100" t="inlineStr">
        <is>
          <t>KRONOBERGS LÄN</t>
        </is>
      </c>
      <c r="E3100" t="inlineStr">
        <is>
          <t>VÄXJÖ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42191-2021</t>
        </is>
      </c>
      <c r="B3101" s="1" t="n">
        <v>44426</v>
      </c>
      <c r="C3101" s="1" t="n">
        <v>45845</v>
      </c>
      <c r="D3101" t="inlineStr">
        <is>
          <t>KRONOBERGS LÄN</t>
        </is>
      </c>
      <c r="E3101" t="inlineStr">
        <is>
          <t>VÄXJÖ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42304-2021</t>
        </is>
      </c>
      <c r="B3102" s="1" t="n">
        <v>44426</v>
      </c>
      <c r="C3102" s="1" t="n">
        <v>45845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42182-2021</t>
        </is>
      </c>
      <c r="B3103" s="1" t="n">
        <v>44426</v>
      </c>
      <c r="C3103" s="1" t="n">
        <v>45845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42270-2021</t>
        </is>
      </c>
      <c r="B3104" s="1" t="n">
        <v>44427</v>
      </c>
      <c r="C3104" s="1" t="n">
        <v>45845</v>
      </c>
      <c r="D3104" t="inlineStr">
        <is>
          <t>KRONOBERGS LÄN</t>
        </is>
      </c>
      <c r="E3104" t="inlineStr">
        <is>
          <t>ÄLMHULT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42274-2021</t>
        </is>
      </c>
      <c r="B3105" s="1" t="n">
        <v>44427</v>
      </c>
      <c r="C3105" s="1" t="n">
        <v>45845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42273-2021</t>
        </is>
      </c>
      <c r="B3106" s="1" t="n">
        <v>44427</v>
      </c>
      <c r="C3106" s="1" t="n">
        <v>45845</v>
      </c>
      <c r="D3106" t="inlineStr">
        <is>
          <t>KRONOBERGS LÄN</t>
        </is>
      </c>
      <c r="E3106" t="inlineStr">
        <is>
          <t>ÄLMHULT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42318-2021</t>
        </is>
      </c>
      <c r="B3107" s="1" t="n">
        <v>44427</v>
      </c>
      <c r="C3107" s="1" t="n">
        <v>45845</v>
      </c>
      <c r="D3107" t="inlineStr">
        <is>
          <t>KRONOBERGS LÄN</t>
        </is>
      </c>
      <c r="E3107" t="inlineStr">
        <is>
          <t>TINGSRYD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42268-2021</t>
        </is>
      </c>
      <c r="B3108" s="1" t="n">
        <v>44427</v>
      </c>
      <c r="C3108" s="1" t="n">
        <v>45845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42383-2021</t>
        </is>
      </c>
      <c r="B3109" s="1" t="n">
        <v>44427</v>
      </c>
      <c r="C3109" s="1" t="n">
        <v>45845</v>
      </c>
      <c r="D3109" t="inlineStr">
        <is>
          <t>KRONOBERGS LÄN</t>
        </is>
      </c>
      <c r="E3109" t="inlineStr">
        <is>
          <t>LJUNGBY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42414-2021</t>
        </is>
      </c>
      <c r="B3110" s="1" t="n">
        <v>44427</v>
      </c>
      <c r="C3110" s="1" t="n">
        <v>45845</v>
      </c>
      <c r="D3110" t="inlineStr">
        <is>
          <t>KRONOBERGS LÄN</t>
        </is>
      </c>
      <c r="E3110" t="inlineStr">
        <is>
          <t>TINGSRYD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45845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42468-2021</t>
        </is>
      </c>
      <c r="B3112" s="1" t="n">
        <v>44427</v>
      </c>
      <c r="C3112" s="1" t="n">
        <v>45845</v>
      </c>
      <c r="D3112" t="inlineStr">
        <is>
          <t>KRONOBERGS LÄN</t>
        </is>
      </c>
      <c r="E3112" t="inlineStr">
        <is>
          <t>VÄXJÖ</t>
        </is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42483-2021</t>
        </is>
      </c>
      <c r="B3113" s="1" t="n">
        <v>44427</v>
      </c>
      <c r="C3113" s="1" t="n">
        <v>45845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42651-2021</t>
        </is>
      </c>
      <c r="B3114" s="1" t="n">
        <v>44428</v>
      </c>
      <c r="C3114" s="1" t="n">
        <v>45845</v>
      </c>
      <c r="D3114" t="inlineStr">
        <is>
          <t>KRONOBERGS LÄN</t>
        </is>
      </c>
      <c r="E3114" t="inlineStr">
        <is>
          <t>VÄXJÖ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42654-2021</t>
        </is>
      </c>
      <c r="B3115" s="1" t="n">
        <v>44428</v>
      </c>
      <c r="C3115" s="1" t="n">
        <v>45845</v>
      </c>
      <c r="D3115" t="inlineStr">
        <is>
          <t>KRONOBERGS LÄN</t>
        </is>
      </c>
      <c r="E3115" t="inlineStr">
        <is>
          <t>TINGSRYD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42685-2021</t>
        </is>
      </c>
      <c r="B3116" s="1" t="n">
        <v>44428</v>
      </c>
      <c r="C3116" s="1" t="n">
        <v>45845</v>
      </c>
      <c r="D3116" t="inlineStr">
        <is>
          <t>KRONOBERGS LÄN</t>
        </is>
      </c>
      <c r="E3116" t="inlineStr">
        <is>
          <t>VÄXJÖ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42789-2021</t>
        </is>
      </c>
      <c r="B3117" s="1" t="n">
        <v>44428</v>
      </c>
      <c r="C3117" s="1" t="n">
        <v>45845</v>
      </c>
      <c r="D3117" t="inlineStr">
        <is>
          <t>KRONOBERGS LÄN</t>
        </is>
      </c>
      <c r="E3117" t="inlineStr">
        <is>
          <t>ÄLMHULT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42752-2021</t>
        </is>
      </c>
      <c r="B3118" s="1" t="n">
        <v>44428</v>
      </c>
      <c r="C3118" s="1" t="n">
        <v>45845</v>
      </c>
      <c r="D3118" t="inlineStr">
        <is>
          <t>KRONOBERGS LÄN</t>
        </is>
      </c>
      <c r="E3118" t="inlineStr">
        <is>
          <t>TINGSRYD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42865-2021</t>
        </is>
      </c>
      <c r="B3119" s="1" t="n">
        <v>44431</v>
      </c>
      <c r="C3119" s="1" t="n">
        <v>45845</v>
      </c>
      <c r="D3119" t="inlineStr">
        <is>
          <t>KRONOBERGS LÄN</t>
        </is>
      </c>
      <c r="E3119" t="inlineStr">
        <is>
          <t>UPPVIDINGE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42823-2021</t>
        </is>
      </c>
      <c r="B3120" s="1" t="n">
        <v>44430</v>
      </c>
      <c r="C3120" s="1" t="n">
        <v>45845</v>
      </c>
      <c r="D3120" t="inlineStr">
        <is>
          <t>KRONOBERGS LÄN</t>
        </is>
      </c>
      <c r="E3120" t="inlineStr">
        <is>
          <t>UPPVIDINGE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42995-2021</t>
        </is>
      </c>
      <c r="B3121" s="1" t="n">
        <v>44431</v>
      </c>
      <c r="C3121" s="1" t="n">
        <v>45845</v>
      </c>
      <c r="D3121" t="inlineStr">
        <is>
          <t>KRONOBERGS LÄN</t>
        </is>
      </c>
      <c r="E3121" t="inlineStr">
        <is>
          <t>ÄLMHULT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42911-2021</t>
        </is>
      </c>
      <c r="B3122" s="1" t="n">
        <v>44431</v>
      </c>
      <c r="C3122" s="1" t="n">
        <v>45845</v>
      </c>
      <c r="D3122" t="inlineStr">
        <is>
          <t>KRONOBERGS LÄN</t>
        </is>
      </c>
      <c r="E3122" t="inlineStr">
        <is>
          <t>ALVESTA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42968-2021</t>
        </is>
      </c>
      <c r="B3123" s="1" t="n">
        <v>44431</v>
      </c>
      <c r="C3123" s="1" t="n">
        <v>45845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43141-2021</t>
        </is>
      </c>
      <c r="B3124" s="1" t="n">
        <v>44431</v>
      </c>
      <c r="C3124" s="1" t="n">
        <v>45845</v>
      </c>
      <c r="D3124" t="inlineStr">
        <is>
          <t>KRONOBERGS LÄN</t>
        </is>
      </c>
      <c r="E3124" t="inlineStr">
        <is>
          <t>LJUNGBY</t>
        </is>
      </c>
      <c r="F3124" t="inlineStr">
        <is>
          <t>Bergvik skog väst AB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43255-2021</t>
        </is>
      </c>
      <c r="B3125" s="1" t="n">
        <v>44432</v>
      </c>
      <c r="C3125" s="1" t="n">
        <v>45845</v>
      </c>
      <c r="D3125" t="inlineStr">
        <is>
          <t>KRONOBERGS LÄN</t>
        </is>
      </c>
      <c r="E3125" t="inlineStr">
        <is>
          <t>LESSEBO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43395-2021</t>
        </is>
      </c>
      <c r="B3126" s="1" t="n">
        <v>44432</v>
      </c>
      <c r="C3126" s="1" t="n">
        <v>45845</v>
      </c>
      <c r="D3126" t="inlineStr">
        <is>
          <t>KRONOBERGS LÄN</t>
        </is>
      </c>
      <c r="E3126" t="inlineStr">
        <is>
          <t>VÄXJÖ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43629-2021</t>
        </is>
      </c>
      <c r="B3127" s="1" t="n">
        <v>44433</v>
      </c>
      <c r="C3127" s="1" t="n">
        <v>45845</v>
      </c>
      <c r="D3127" t="inlineStr">
        <is>
          <t>KRONOBERGS LÄN</t>
        </is>
      </c>
      <c r="E3127" t="inlineStr">
        <is>
          <t>VÄXJÖ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43565-2021</t>
        </is>
      </c>
      <c r="B3128" s="1" t="n">
        <v>44433</v>
      </c>
      <c r="C3128" s="1" t="n">
        <v>45845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43617-2021</t>
        </is>
      </c>
      <c r="B3129" s="1" t="n">
        <v>44433</v>
      </c>
      <c r="C3129" s="1" t="n">
        <v>45845</v>
      </c>
      <c r="D3129" t="inlineStr">
        <is>
          <t>KRONOBERGS LÄN</t>
        </is>
      </c>
      <c r="E3129" t="inlineStr">
        <is>
          <t>ÄLMHULT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43881-2021</t>
        </is>
      </c>
      <c r="B3130" s="1" t="n">
        <v>44434</v>
      </c>
      <c r="C3130" s="1" t="n">
        <v>45845</v>
      </c>
      <c r="D3130" t="inlineStr">
        <is>
          <t>KRONOBERGS LÄN</t>
        </is>
      </c>
      <c r="E3130" t="inlineStr">
        <is>
          <t>ÄLMHULT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43933-2021</t>
        </is>
      </c>
      <c r="B3131" s="1" t="n">
        <v>44434</v>
      </c>
      <c r="C3131" s="1" t="n">
        <v>45845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43876-2021</t>
        </is>
      </c>
      <c r="B3132" s="1" t="n">
        <v>44434</v>
      </c>
      <c r="C3132" s="1" t="n">
        <v>45845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43932-2021</t>
        </is>
      </c>
      <c r="B3133" s="1" t="n">
        <v>44434</v>
      </c>
      <c r="C3133" s="1" t="n">
        <v>45845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43910-2021</t>
        </is>
      </c>
      <c r="B3134" s="1" t="n">
        <v>44434</v>
      </c>
      <c r="C3134" s="1" t="n">
        <v>45845</v>
      </c>
      <c r="D3134" t="inlineStr">
        <is>
          <t>KRONOBERGS LÄN</t>
        </is>
      </c>
      <c r="E3134" t="inlineStr">
        <is>
          <t>VÄXJÖ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43929-2021</t>
        </is>
      </c>
      <c r="B3135" s="1" t="n">
        <v>44434</v>
      </c>
      <c r="C3135" s="1" t="n">
        <v>45845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43899-2021</t>
        </is>
      </c>
      <c r="B3136" s="1" t="n">
        <v>44434</v>
      </c>
      <c r="C3136" s="1" t="n">
        <v>45845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43984-2021</t>
        </is>
      </c>
      <c r="B3137" s="1" t="n">
        <v>44434</v>
      </c>
      <c r="C3137" s="1" t="n">
        <v>45845</v>
      </c>
      <c r="D3137" t="inlineStr">
        <is>
          <t>KRONOBERGS LÄN</t>
        </is>
      </c>
      <c r="E3137" t="inlineStr">
        <is>
          <t>VÄXJÖ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44105-2021</t>
        </is>
      </c>
      <c r="B3138" s="1" t="n">
        <v>44434</v>
      </c>
      <c r="C3138" s="1" t="n">
        <v>45845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44154-2021</t>
        </is>
      </c>
      <c r="B3139" s="1" t="n">
        <v>44434</v>
      </c>
      <c r="C3139" s="1" t="n">
        <v>45845</v>
      </c>
      <c r="D3139" t="inlineStr">
        <is>
          <t>KRONOBERGS LÄN</t>
        </is>
      </c>
      <c r="E3139" t="inlineStr">
        <is>
          <t>MARKARYD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44222-2021</t>
        </is>
      </c>
      <c r="B3140" s="1" t="n">
        <v>44434</v>
      </c>
      <c r="C3140" s="1" t="n">
        <v>45845</v>
      </c>
      <c r="D3140" t="inlineStr">
        <is>
          <t>KRONOBERGS LÄN</t>
        </is>
      </c>
      <c r="E3140" t="inlineStr">
        <is>
          <t>ALVESTA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44093-2021</t>
        </is>
      </c>
      <c r="B3141" s="1" t="n">
        <v>44434</v>
      </c>
      <c r="C3141" s="1" t="n">
        <v>45845</v>
      </c>
      <c r="D3141" t="inlineStr">
        <is>
          <t>KRONOBERGS LÄN</t>
        </is>
      </c>
      <c r="E3141" t="inlineStr">
        <is>
          <t>ALVESTA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44121-2021</t>
        </is>
      </c>
      <c r="B3142" s="1" t="n">
        <v>44434</v>
      </c>
      <c r="C3142" s="1" t="n">
        <v>45845</v>
      </c>
      <c r="D3142" t="inlineStr">
        <is>
          <t>KRONOBERGS LÄN</t>
        </is>
      </c>
      <c r="E3142" t="inlineStr">
        <is>
          <t>UPPVIDINGE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44345-2021</t>
        </is>
      </c>
      <c r="B3143" s="1" t="n">
        <v>44435</v>
      </c>
      <c r="C3143" s="1" t="n">
        <v>45845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44487-2021</t>
        </is>
      </c>
      <c r="B3144" s="1" t="n">
        <v>44435</v>
      </c>
      <c r="C3144" s="1" t="n">
        <v>45845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44492-2021</t>
        </is>
      </c>
      <c r="B3145" s="1" t="n">
        <v>44435</v>
      </c>
      <c r="C3145" s="1" t="n">
        <v>45845</v>
      </c>
      <c r="D3145" t="inlineStr">
        <is>
          <t>KRONOBERGS LÄN</t>
        </is>
      </c>
      <c r="E3145" t="inlineStr">
        <is>
          <t>TINGSRYD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44831-2021</t>
        </is>
      </c>
      <c r="B3146" s="1" t="n">
        <v>44438</v>
      </c>
      <c r="C3146" s="1" t="n">
        <v>45845</v>
      </c>
      <c r="D3146" t="inlineStr">
        <is>
          <t>KRONOBERGS LÄN</t>
        </is>
      </c>
      <c r="E3146" t="inlineStr">
        <is>
          <t>ALVESTA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44855-2021</t>
        </is>
      </c>
      <c r="B3147" s="1" t="n">
        <v>44438</v>
      </c>
      <c r="C3147" s="1" t="n">
        <v>45845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44691-2021</t>
        </is>
      </c>
      <c r="B3148" s="1" t="n">
        <v>44438</v>
      </c>
      <c r="C3148" s="1" t="n">
        <v>45845</v>
      </c>
      <c r="D3148" t="inlineStr">
        <is>
          <t>KRONOBERGS LÄN</t>
        </is>
      </c>
      <c r="E3148" t="inlineStr">
        <is>
          <t>VÄXJÖ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44819-2021</t>
        </is>
      </c>
      <c r="B3149" s="1" t="n">
        <v>44438</v>
      </c>
      <c r="C3149" s="1" t="n">
        <v>45845</v>
      </c>
      <c r="D3149" t="inlineStr">
        <is>
          <t>KRONOBERGS LÄN</t>
        </is>
      </c>
      <c r="E3149" t="inlineStr">
        <is>
          <t>VÄXJÖ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44837-2021</t>
        </is>
      </c>
      <c r="B3150" s="1" t="n">
        <v>44438</v>
      </c>
      <c r="C3150" s="1" t="n">
        <v>45845</v>
      </c>
      <c r="D3150" t="inlineStr">
        <is>
          <t>KRONOBERGS LÄN</t>
        </is>
      </c>
      <c r="E3150" t="inlineStr">
        <is>
          <t>ÄLMHULT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44732-2021</t>
        </is>
      </c>
      <c r="B3151" s="1" t="n">
        <v>44438</v>
      </c>
      <c r="C3151" s="1" t="n">
        <v>45845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44757-2021</t>
        </is>
      </c>
      <c r="B3152" s="1" t="n">
        <v>44438</v>
      </c>
      <c r="C3152" s="1" t="n">
        <v>45845</v>
      </c>
      <c r="D3152" t="inlineStr">
        <is>
          <t>KRONOBERGS LÄN</t>
        </is>
      </c>
      <c r="E3152" t="inlineStr">
        <is>
          <t>VÄXJÖ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44772-2021</t>
        </is>
      </c>
      <c r="B3153" s="1" t="n">
        <v>44438</v>
      </c>
      <c r="C3153" s="1" t="n">
        <v>45845</v>
      </c>
      <c r="D3153" t="inlineStr">
        <is>
          <t>KRONOBERGS LÄN</t>
        </is>
      </c>
      <c r="E3153" t="inlineStr">
        <is>
          <t>VÄXJÖ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44901-2021</t>
        </is>
      </c>
      <c r="B3154" s="1" t="n">
        <v>44438</v>
      </c>
      <c r="C3154" s="1" t="n">
        <v>45845</v>
      </c>
      <c r="D3154" t="inlineStr">
        <is>
          <t>KRONOBERGS LÄN</t>
        </is>
      </c>
      <c r="E3154" t="inlineStr">
        <is>
          <t>ALVESTA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44991-2021</t>
        </is>
      </c>
      <c r="B3155" s="1" t="n">
        <v>44438</v>
      </c>
      <c r="C3155" s="1" t="n">
        <v>45845</v>
      </c>
      <c r="D3155" t="inlineStr">
        <is>
          <t>KRONOBERGS LÄN</t>
        </is>
      </c>
      <c r="E3155" t="inlineStr">
        <is>
          <t>ÄLMHULT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45087-2021</t>
        </is>
      </c>
      <c r="B3156" s="1" t="n">
        <v>44438</v>
      </c>
      <c r="C3156" s="1" t="n">
        <v>45845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45081-2021</t>
        </is>
      </c>
      <c r="B3157" s="1" t="n">
        <v>44438</v>
      </c>
      <c r="C3157" s="1" t="n">
        <v>45845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45054-2021</t>
        </is>
      </c>
      <c r="B3158" s="1" t="n">
        <v>44439</v>
      </c>
      <c r="C3158" s="1" t="n">
        <v>45845</v>
      </c>
      <c r="D3158" t="inlineStr">
        <is>
          <t>KRONOBERGS LÄN</t>
        </is>
      </c>
      <c r="E3158" t="inlineStr">
        <is>
          <t>VÄXJÖ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45748-2021</t>
        </is>
      </c>
      <c r="B3159" s="1" t="n">
        <v>44441</v>
      </c>
      <c r="C3159" s="1" t="n">
        <v>45845</v>
      </c>
      <c r="D3159" t="inlineStr">
        <is>
          <t>KRONOBERGS LÄN</t>
        </is>
      </c>
      <c r="E3159" t="inlineStr">
        <is>
          <t>LJUNGBY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45672-2021</t>
        </is>
      </c>
      <c r="B3160" s="1" t="n">
        <v>44441</v>
      </c>
      <c r="C3160" s="1" t="n">
        <v>45845</v>
      </c>
      <c r="D3160" t="inlineStr">
        <is>
          <t>KRONOBERGS LÄN</t>
        </is>
      </c>
      <c r="E3160" t="inlineStr">
        <is>
          <t>LJUNGBY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45754-2021</t>
        </is>
      </c>
      <c r="B3161" s="1" t="n">
        <v>44441</v>
      </c>
      <c r="C3161" s="1" t="n">
        <v>45845</v>
      </c>
      <c r="D3161" t="inlineStr">
        <is>
          <t>KRONOBERGS LÄN</t>
        </is>
      </c>
      <c r="E3161" t="inlineStr">
        <is>
          <t>ALVESTA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45763-2021</t>
        </is>
      </c>
      <c r="B3162" s="1" t="n">
        <v>44441</v>
      </c>
      <c r="C3162" s="1" t="n">
        <v>45845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45658-2021</t>
        </is>
      </c>
      <c r="B3163" s="1" t="n">
        <v>44441</v>
      </c>
      <c r="C3163" s="1" t="n">
        <v>45845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45760-2021</t>
        </is>
      </c>
      <c r="B3164" s="1" t="n">
        <v>44441</v>
      </c>
      <c r="C3164" s="1" t="n">
        <v>45845</v>
      </c>
      <c r="D3164" t="inlineStr">
        <is>
          <t>KRONOBERGS LÄN</t>
        </is>
      </c>
      <c r="E3164" t="inlineStr">
        <is>
          <t>LJUNGBY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45753-2021</t>
        </is>
      </c>
      <c r="B3165" s="1" t="n">
        <v>44441</v>
      </c>
      <c r="C3165" s="1" t="n">
        <v>45845</v>
      </c>
      <c r="D3165" t="inlineStr">
        <is>
          <t>KRONOBERGS LÄN</t>
        </is>
      </c>
      <c r="E3165" t="inlineStr">
        <is>
          <t>LJUNGBY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46078-2021</t>
        </is>
      </c>
      <c r="B3166" s="1" t="n">
        <v>44441</v>
      </c>
      <c r="C3166" s="1" t="n">
        <v>45845</v>
      </c>
      <c r="D3166" t="inlineStr">
        <is>
          <t>KRONOBERGS LÄN</t>
        </is>
      </c>
      <c r="E3166" t="inlineStr">
        <is>
          <t>TINGSRYD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46254-2021</t>
        </is>
      </c>
      <c r="B3167" s="1" t="n">
        <v>44442</v>
      </c>
      <c r="C3167" s="1" t="n">
        <v>45845</v>
      </c>
      <c r="D3167" t="inlineStr">
        <is>
          <t>KRONOBERGS LÄN</t>
        </is>
      </c>
      <c r="E3167" t="inlineStr">
        <is>
          <t>VÄXJÖ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46246-2021</t>
        </is>
      </c>
      <c r="B3168" s="1" t="n">
        <v>44442</v>
      </c>
      <c r="C3168" s="1" t="n">
        <v>45845</v>
      </c>
      <c r="D3168" t="inlineStr">
        <is>
          <t>KRONOBERGS LÄN</t>
        </is>
      </c>
      <c r="E3168" t="inlineStr">
        <is>
          <t>VÄXJÖ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46348-2021</t>
        </is>
      </c>
      <c r="B3169" s="1" t="n">
        <v>44442</v>
      </c>
      <c r="C3169" s="1" t="n">
        <v>45845</v>
      </c>
      <c r="D3169" t="inlineStr">
        <is>
          <t>KRONOBERGS LÄN</t>
        </is>
      </c>
      <c r="E3169" t="inlineStr">
        <is>
          <t>ALVESTA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46353-2021</t>
        </is>
      </c>
      <c r="B3170" s="1" t="n">
        <v>44442</v>
      </c>
      <c r="C3170" s="1" t="n">
        <v>45845</v>
      </c>
      <c r="D3170" t="inlineStr">
        <is>
          <t>KRONOBERGS LÄN</t>
        </is>
      </c>
      <c r="E3170" t="inlineStr">
        <is>
          <t>ALVESTA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46344-2021</t>
        </is>
      </c>
      <c r="B3171" s="1" t="n">
        <v>44442</v>
      </c>
      <c r="C3171" s="1" t="n">
        <v>45845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46354-2021</t>
        </is>
      </c>
      <c r="B3172" s="1" t="n">
        <v>44442</v>
      </c>
      <c r="C3172" s="1" t="n">
        <v>45845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46357-2021</t>
        </is>
      </c>
      <c r="B3173" s="1" t="n">
        <v>44442</v>
      </c>
      <c r="C3173" s="1" t="n">
        <v>45845</v>
      </c>
      <c r="D3173" t="inlineStr">
        <is>
          <t>KRONOBERGS LÄN</t>
        </is>
      </c>
      <c r="E3173" t="inlineStr">
        <is>
          <t>ALVESTA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46473-2021</t>
        </is>
      </c>
      <c r="B3174" s="1" t="n">
        <v>44442</v>
      </c>
      <c r="C3174" s="1" t="n">
        <v>45845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46451-2021</t>
        </is>
      </c>
      <c r="B3175" s="1" t="n">
        <v>44445</v>
      </c>
      <c r="C3175" s="1" t="n">
        <v>45845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46518-2021</t>
        </is>
      </c>
      <c r="B3176" s="1" t="n">
        <v>44445</v>
      </c>
      <c r="C3176" s="1" t="n">
        <v>45845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46552-2021</t>
        </is>
      </c>
      <c r="B3177" s="1" t="n">
        <v>44445</v>
      </c>
      <c r="C3177" s="1" t="n">
        <v>45845</v>
      </c>
      <c r="D3177" t="inlineStr">
        <is>
          <t>KRONOBERGS LÄN</t>
        </is>
      </c>
      <c r="E3177" t="inlineStr">
        <is>
          <t>ÄLMHULT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46448-2021</t>
        </is>
      </c>
      <c r="B3178" s="1" t="n">
        <v>44445</v>
      </c>
      <c r="C3178" s="1" t="n">
        <v>45845</v>
      </c>
      <c r="D3178" t="inlineStr">
        <is>
          <t>KRONOBERGS LÄN</t>
        </is>
      </c>
      <c r="E3178" t="inlineStr">
        <is>
          <t>ALVESTA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46519-2021</t>
        </is>
      </c>
      <c r="B3179" s="1" t="n">
        <v>44445</v>
      </c>
      <c r="C3179" s="1" t="n">
        <v>45845</v>
      </c>
      <c r="D3179" t="inlineStr">
        <is>
          <t>KRONOBERGS LÄN</t>
        </is>
      </c>
      <c r="E3179" t="inlineStr">
        <is>
          <t>TINGSRYD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46446-2021</t>
        </is>
      </c>
      <c r="B3180" s="1" t="n">
        <v>44445</v>
      </c>
      <c r="C3180" s="1" t="n">
        <v>45845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46725-2021</t>
        </is>
      </c>
      <c r="B3181" s="1" t="n">
        <v>44445</v>
      </c>
      <c r="C3181" s="1" t="n">
        <v>45845</v>
      </c>
      <c r="D3181" t="inlineStr">
        <is>
          <t>KRONOBERGS LÄN</t>
        </is>
      </c>
      <c r="E3181" t="inlineStr">
        <is>
          <t>TINGSRYD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46817-2021</t>
        </is>
      </c>
      <c r="B3182" s="1" t="n">
        <v>44445</v>
      </c>
      <c r="C3182" s="1" t="n">
        <v>45845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Kyrkan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46783-2021</t>
        </is>
      </c>
      <c r="B3183" s="1" t="n">
        <v>44446</v>
      </c>
      <c r="C3183" s="1" t="n">
        <v>45845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46813-2021</t>
        </is>
      </c>
      <c r="B3184" s="1" t="n">
        <v>44445</v>
      </c>
      <c r="C3184" s="1" t="n">
        <v>45845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46816-2021</t>
        </is>
      </c>
      <c r="B3185" s="1" t="n">
        <v>44446</v>
      </c>
      <c r="C3185" s="1" t="n">
        <v>45845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46927-2021</t>
        </is>
      </c>
      <c r="B3186" s="1" t="n">
        <v>44446</v>
      </c>
      <c r="C3186" s="1" t="n">
        <v>45845</v>
      </c>
      <c r="D3186" t="inlineStr">
        <is>
          <t>KRONOBERGS LÄN</t>
        </is>
      </c>
      <c r="E3186" t="inlineStr">
        <is>
          <t>TINGSRYD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46909-2021</t>
        </is>
      </c>
      <c r="B3187" s="1" t="n">
        <v>44446</v>
      </c>
      <c r="C3187" s="1" t="n">
        <v>45845</v>
      </c>
      <c r="D3187" t="inlineStr">
        <is>
          <t>KRONOBERGS LÄN</t>
        </is>
      </c>
      <c r="E3187" t="inlineStr">
        <is>
          <t>LESSEBO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46842-2021</t>
        </is>
      </c>
      <c r="B3188" s="1" t="n">
        <v>44446</v>
      </c>
      <c r="C3188" s="1" t="n">
        <v>45845</v>
      </c>
      <c r="D3188" t="inlineStr">
        <is>
          <t>KRONOBERGS LÄN</t>
        </is>
      </c>
      <c r="E3188" t="inlineStr">
        <is>
          <t>VÄXJÖ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46856-2021</t>
        </is>
      </c>
      <c r="B3189" s="1" t="n">
        <v>44446</v>
      </c>
      <c r="C3189" s="1" t="n">
        <v>45845</v>
      </c>
      <c r="D3189" t="inlineStr">
        <is>
          <t>KRONOBERGS LÄN</t>
        </is>
      </c>
      <c r="E3189" t="inlineStr">
        <is>
          <t>LJUNGBY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46902-2021</t>
        </is>
      </c>
      <c r="B3190" s="1" t="n">
        <v>44446</v>
      </c>
      <c r="C3190" s="1" t="n">
        <v>45845</v>
      </c>
      <c r="D3190" t="inlineStr">
        <is>
          <t>KRONOBERGS LÄN</t>
        </is>
      </c>
      <c r="E3190" t="inlineStr">
        <is>
          <t>LJUNGBY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46992-2021</t>
        </is>
      </c>
      <c r="B3191" s="1" t="n">
        <v>44446</v>
      </c>
      <c r="C3191" s="1" t="n">
        <v>45845</v>
      </c>
      <c r="D3191" t="inlineStr">
        <is>
          <t>KRONOBERGS LÄN</t>
        </is>
      </c>
      <c r="E3191" t="inlineStr">
        <is>
          <t>TINGSRYD</t>
        </is>
      </c>
      <c r="G3191" t="n">
        <v>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47176-2021</t>
        </is>
      </c>
      <c r="B3192" s="1" t="n">
        <v>44446</v>
      </c>
      <c r="C3192" s="1" t="n">
        <v>45845</v>
      </c>
      <c r="D3192" t="inlineStr">
        <is>
          <t>KRONOBERGS LÄN</t>
        </is>
      </c>
      <c r="E3192" t="inlineStr">
        <is>
          <t>UPPVIDINGE</t>
        </is>
      </c>
      <c r="G3192" t="n">
        <v>5.4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47020-2021</t>
        </is>
      </c>
      <c r="B3193" s="1" t="n">
        <v>44446</v>
      </c>
      <c r="C3193" s="1" t="n">
        <v>45845</v>
      </c>
      <c r="D3193" t="inlineStr">
        <is>
          <t>KRONOBERGS LÄN</t>
        </is>
      </c>
      <c r="E3193" t="inlineStr">
        <is>
          <t>MARKARYD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47177-2021</t>
        </is>
      </c>
      <c r="B3194" s="1" t="n">
        <v>44446</v>
      </c>
      <c r="C3194" s="1" t="n">
        <v>45845</v>
      </c>
      <c r="D3194" t="inlineStr">
        <is>
          <t>KRONOBERGS LÄN</t>
        </is>
      </c>
      <c r="E3194" t="inlineStr">
        <is>
          <t>UPPVIDINGE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47117-2021</t>
        </is>
      </c>
      <c r="B3195" s="1" t="n">
        <v>44446</v>
      </c>
      <c r="C3195" s="1" t="n">
        <v>45845</v>
      </c>
      <c r="D3195" t="inlineStr">
        <is>
          <t>KRONOBERGS LÄN</t>
        </is>
      </c>
      <c r="E3195" t="inlineStr">
        <is>
          <t>ÄLMHULT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47399-2021</t>
        </is>
      </c>
      <c r="B3196" s="1" t="n">
        <v>44447</v>
      </c>
      <c r="C3196" s="1" t="n">
        <v>45845</v>
      </c>
      <c r="D3196" t="inlineStr">
        <is>
          <t>KRONOBERGS LÄN</t>
        </is>
      </c>
      <c r="E3196" t="inlineStr">
        <is>
          <t>TINGSRYD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47414-2021</t>
        </is>
      </c>
      <c r="B3197" s="1" t="n">
        <v>44447</v>
      </c>
      <c r="C3197" s="1" t="n">
        <v>45845</v>
      </c>
      <c r="D3197" t="inlineStr">
        <is>
          <t>KRONOBERGS LÄN</t>
        </is>
      </c>
      <c r="E3197" t="inlineStr">
        <is>
          <t>ÄLMHULT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47383-2021</t>
        </is>
      </c>
      <c r="B3198" s="1" t="n">
        <v>44447</v>
      </c>
      <c r="C3198" s="1" t="n">
        <v>45845</v>
      </c>
      <c r="D3198" t="inlineStr">
        <is>
          <t>KRONOBERGS LÄN</t>
        </is>
      </c>
      <c r="E3198" t="inlineStr">
        <is>
          <t>ALVESTA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47491-2021</t>
        </is>
      </c>
      <c r="B3199" s="1" t="n">
        <v>44447</v>
      </c>
      <c r="C3199" s="1" t="n">
        <v>45845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47580-2021</t>
        </is>
      </c>
      <c r="B3200" s="1" t="n">
        <v>44447</v>
      </c>
      <c r="C3200" s="1" t="n">
        <v>45845</v>
      </c>
      <c r="D3200" t="inlineStr">
        <is>
          <t>KRONOBERGS LÄN</t>
        </is>
      </c>
      <c r="E3200" t="inlineStr">
        <is>
          <t>UPPVIDINGE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47686-2021</t>
        </is>
      </c>
      <c r="B3201" s="1" t="n">
        <v>44448</v>
      </c>
      <c r="C3201" s="1" t="n">
        <v>45845</v>
      </c>
      <c r="D3201" t="inlineStr">
        <is>
          <t>KRONOBERGS LÄN</t>
        </is>
      </c>
      <c r="E3201" t="inlineStr">
        <is>
          <t>LJUNGBY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47706-2021</t>
        </is>
      </c>
      <c r="B3202" s="1" t="n">
        <v>44448</v>
      </c>
      <c r="C3202" s="1" t="n">
        <v>45845</v>
      </c>
      <c r="D3202" t="inlineStr">
        <is>
          <t>KRONOBERGS LÄN</t>
        </is>
      </c>
      <c r="E3202" t="inlineStr">
        <is>
          <t>LJUNGBY</t>
        </is>
      </c>
      <c r="F3202" t="inlineStr">
        <is>
          <t>Kyrkan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47676-2021</t>
        </is>
      </c>
      <c r="B3203" s="1" t="n">
        <v>44448</v>
      </c>
      <c r="C3203" s="1" t="n">
        <v>45845</v>
      </c>
      <c r="D3203" t="inlineStr">
        <is>
          <t>KRONOBERGS LÄN</t>
        </is>
      </c>
      <c r="E3203" t="inlineStr">
        <is>
          <t>LJUNGBY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47807-2021</t>
        </is>
      </c>
      <c r="B3204" s="1" t="n">
        <v>44448</v>
      </c>
      <c r="C3204" s="1" t="n">
        <v>45845</v>
      </c>
      <c r="D3204" t="inlineStr">
        <is>
          <t>KRONOBERGS LÄN</t>
        </is>
      </c>
      <c r="E3204" t="inlineStr">
        <is>
          <t>TINGSRYD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47815-2021</t>
        </is>
      </c>
      <c r="B3205" s="1" t="n">
        <v>44448</v>
      </c>
      <c r="C3205" s="1" t="n">
        <v>45845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47738-2021</t>
        </is>
      </c>
      <c r="B3206" s="1" t="n">
        <v>44448</v>
      </c>
      <c r="C3206" s="1" t="n">
        <v>45845</v>
      </c>
      <c r="D3206" t="inlineStr">
        <is>
          <t>KRONOBERGS LÄN</t>
        </is>
      </c>
      <c r="E3206" t="inlineStr">
        <is>
          <t>TINGSRYD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47812-2021</t>
        </is>
      </c>
      <c r="B3207" s="1" t="n">
        <v>44448</v>
      </c>
      <c r="C3207" s="1" t="n">
        <v>45845</v>
      </c>
      <c r="D3207" t="inlineStr">
        <is>
          <t>KRONOBERGS LÄN</t>
        </is>
      </c>
      <c r="E3207" t="inlineStr">
        <is>
          <t>TINGSRYD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47817-2021</t>
        </is>
      </c>
      <c r="B3208" s="1" t="n">
        <v>44448</v>
      </c>
      <c r="C3208" s="1" t="n">
        <v>45845</v>
      </c>
      <c r="D3208" t="inlineStr">
        <is>
          <t>KRONOBERGS LÄN</t>
        </is>
      </c>
      <c r="E3208" t="inlineStr">
        <is>
          <t>ÄLMHULT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47861-2021</t>
        </is>
      </c>
      <c r="B3209" s="1" t="n">
        <v>44448</v>
      </c>
      <c r="C3209" s="1" t="n">
        <v>45845</v>
      </c>
      <c r="D3209" t="inlineStr">
        <is>
          <t>KRONOBERGS LÄN</t>
        </is>
      </c>
      <c r="E3209" t="inlineStr">
        <is>
          <t>ÄLMHULT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47977-2021</t>
        </is>
      </c>
      <c r="B3210" s="1" t="n">
        <v>44448</v>
      </c>
      <c r="C3210" s="1" t="n">
        <v>45845</v>
      </c>
      <c r="D3210" t="inlineStr">
        <is>
          <t>KRONOBERGS LÄN</t>
        </is>
      </c>
      <c r="E3210" t="inlineStr">
        <is>
          <t>TINGSRYD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47856-2021</t>
        </is>
      </c>
      <c r="B3211" s="1" t="n">
        <v>44448</v>
      </c>
      <c r="C3211" s="1" t="n">
        <v>45845</v>
      </c>
      <c r="D3211" t="inlineStr">
        <is>
          <t>KRONOBERGS LÄN</t>
        </is>
      </c>
      <c r="E3211" t="inlineStr">
        <is>
          <t>ÄLMHULT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47890-2021</t>
        </is>
      </c>
      <c r="B3212" s="1" t="n">
        <v>44448</v>
      </c>
      <c r="C3212" s="1" t="n">
        <v>45845</v>
      </c>
      <c r="D3212" t="inlineStr">
        <is>
          <t>KRONOBERGS LÄN</t>
        </is>
      </c>
      <c r="E3212" t="inlineStr">
        <is>
          <t>ALVESTA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48116-2021</t>
        </is>
      </c>
      <c r="B3213" s="1" t="n">
        <v>44449</v>
      </c>
      <c r="C3213" s="1" t="n">
        <v>45845</v>
      </c>
      <c r="D3213" t="inlineStr">
        <is>
          <t>KRONOBERGS LÄN</t>
        </is>
      </c>
      <c r="E3213" t="inlineStr">
        <is>
          <t>LESSEBO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48118-2021</t>
        </is>
      </c>
      <c r="B3214" s="1" t="n">
        <v>44449</v>
      </c>
      <c r="C3214" s="1" t="n">
        <v>45845</v>
      </c>
      <c r="D3214" t="inlineStr">
        <is>
          <t>KRONOBERGS LÄN</t>
        </is>
      </c>
      <c r="E3214" t="inlineStr">
        <is>
          <t>LESSEBO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48145-2021</t>
        </is>
      </c>
      <c r="B3215" s="1" t="n">
        <v>44449</v>
      </c>
      <c r="C3215" s="1" t="n">
        <v>45845</v>
      </c>
      <c r="D3215" t="inlineStr">
        <is>
          <t>KRONOBERGS LÄN</t>
        </is>
      </c>
      <c r="E3215" t="inlineStr">
        <is>
          <t>ÄLMHULT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48214-2021</t>
        </is>
      </c>
      <c r="B3216" s="1" t="n">
        <v>44449</v>
      </c>
      <c r="C3216" s="1" t="n">
        <v>45845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48472-2021</t>
        </is>
      </c>
      <c r="B3217" s="1" t="n">
        <v>44452</v>
      </c>
      <c r="C3217" s="1" t="n">
        <v>45845</v>
      </c>
      <c r="D3217" t="inlineStr">
        <is>
          <t>KRONOBERGS LÄN</t>
        </is>
      </c>
      <c r="E3217" t="inlineStr">
        <is>
          <t>VÄXJÖ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48475-2021</t>
        </is>
      </c>
      <c r="B3218" s="1" t="n">
        <v>44452</v>
      </c>
      <c r="C3218" s="1" t="n">
        <v>45845</v>
      </c>
      <c r="D3218" t="inlineStr">
        <is>
          <t>KRONOBERGS LÄN</t>
        </is>
      </c>
      <c r="E3218" t="inlineStr">
        <is>
          <t>VÄXJÖ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48709-2021</t>
        </is>
      </c>
      <c r="B3219" s="1" t="n">
        <v>44452</v>
      </c>
      <c r="C3219" s="1" t="n">
        <v>45845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48722-2021</t>
        </is>
      </c>
      <c r="B3220" s="1" t="n">
        <v>44452</v>
      </c>
      <c r="C3220" s="1" t="n">
        <v>45845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48687-2021</t>
        </is>
      </c>
      <c r="B3221" s="1" t="n">
        <v>44452</v>
      </c>
      <c r="C3221" s="1" t="n">
        <v>45845</v>
      </c>
      <c r="D3221" t="inlineStr">
        <is>
          <t>KRONOBERGS LÄN</t>
        </is>
      </c>
      <c r="E3221" t="inlineStr">
        <is>
          <t>TINGSRYD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48698-2021</t>
        </is>
      </c>
      <c r="B3222" s="1" t="n">
        <v>44452</v>
      </c>
      <c r="C3222" s="1" t="n">
        <v>45845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48639-2021</t>
        </is>
      </c>
      <c r="B3223" s="1" t="n">
        <v>44452</v>
      </c>
      <c r="C3223" s="1" t="n">
        <v>45845</v>
      </c>
      <c r="D3223" t="inlineStr">
        <is>
          <t>KRONOBERGS LÄN</t>
        </is>
      </c>
      <c r="E3223" t="inlineStr">
        <is>
          <t>TINGSRYD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48692-2021</t>
        </is>
      </c>
      <c r="B3224" s="1" t="n">
        <v>44452</v>
      </c>
      <c r="C3224" s="1" t="n">
        <v>45845</v>
      </c>
      <c r="D3224" t="inlineStr">
        <is>
          <t>KRONOBERGS LÄN</t>
        </is>
      </c>
      <c r="E3224" t="inlineStr">
        <is>
          <t>TINGSRYD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49033-2021</t>
        </is>
      </c>
      <c r="B3225" s="1" t="n">
        <v>44453</v>
      </c>
      <c r="C3225" s="1" t="n">
        <v>45845</v>
      </c>
      <c r="D3225" t="inlineStr">
        <is>
          <t>KRONOBERGS LÄN</t>
        </is>
      </c>
      <c r="E3225" t="inlineStr">
        <is>
          <t>TINGSRYD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49084-2021</t>
        </is>
      </c>
      <c r="B3226" s="1" t="n">
        <v>44453</v>
      </c>
      <c r="C3226" s="1" t="n">
        <v>45845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49250-2021</t>
        </is>
      </c>
      <c r="B3227" s="1" t="n">
        <v>44454</v>
      </c>
      <c r="C3227" s="1" t="n">
        <v>45845</v>
      </c>
      <c r="D3227" t="inlineStr">
        <is>
          <t>KRONOBERGS LÄN</t>
        </is>
      </c>
      <c r="E3227" t="inlineStr">
        <is>
          <t>TINGSRYD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49237-2021</t>
        </is>
      </c>
      <c r="B3228" s="1" t="n">
        <v>44454</v>
      </c>
      <c r="C3228" s="1" t="n">
        <v>45845</v>
      </c>
      <c r="D3228" t="inlineStr">
        <is>
          <t>KRONOBERGS LÄN</t>
        </is>
      </c>
      <c r="E3228" t="inlineStr">
        <is>
          <t>LJUNGBY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49239-2021</t>
        </is>
      </c>
      <c r="B3229" s="1" t="n">
        <v>44454</v>
      </c>
      <c r="C3229" s="1" t="n">
        <v>45845</v>
      </c>
      <c r="D3229" t="inlineStr">
        <is>
          <t>KRONOBERGS LÄN</t>
        </is>
      </c>
      <c r="E3229" t="inlineStr">
        <is>
          <t>MARKARYD</t>
        </is>
      </c>
      <c r="F3229" t="inlineStr">
        <is>
          <t>Kommuner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49424-2021</t>
        </is>
      </c>
      <c r="B3230" s="1" t="n">
        <v>44454</v>
      </c>
      <c r="C3230" s="1" t="n">
        <v>45845</v>
      </c>
      <c r="D3230" t="inlineStr">
        <is>
          <t>KRONOBERGS LÄN</t>
        </is>
      </c>
      <c r="E3230" t="inlineStr">
        <is>
          <t>ALVESTA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49463-2021</t>
        </is>
      </c>
      <c r="B3231" s="1" t="n">
        <v>44454</v>
      </c>
      <c r="C3231" s="1" t="n">
        <v>45845</v>
      </c>
      <c r="D3231" t="inlineStr">
        <is>
          <t>KRONOBERGS LÄN</t>
        </is>
      </c>
      <c r="E3231" t="inlineStr">
        <is>
          <t>ALVESTA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49400-2021</t>
        </is>
      </c>
      <c r="B3232" s="1" t="n">
        <v>44454</v>
      </c>
      <c r="C3232" s="1" t="n">
        <v>45845</v>
      </c>
      <c r="D3232" t="inlineStr">
        <is>
          <t>KRONOBERGS LÄN</t>
        </is>
      </c>
      <c r="E3232" t="inlineStr">
        <is>
          <t>ALVESTA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49430-2021</t>
        </is>
      </c>
      <c r="B3233" s="1" t="n">
        <v>44454</v>
      </c>
      <c r="C3233" s="1" t="n">
        <v>45845</v>
      </c>
      <c r="D3233" t="inlineStr">
        <is>
          <t>KRONOBERGS LÄN</t>
        </is>
      </c>
      <c r="E3233" t="inlineStr">
        <is>
          <t>ALVESTA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49683-2021</t>
        </is>
      </c>
      <c r="B3234" s="1" t="n">
        <v>44455</v>
      </c>
      <c r="C3234" s="1" t="n">
        <v>45845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49542-2021</t>
        </is>
      </c>
      <c r="B3235" s="1" t="n">
        <v>44455</v>
      </c>
      <c r="C3235" s="1" t="n">
        <v>45845</v>
      </c>
      <c r="D3235" t="inlineStr">
        <is>
          <t>KRONOBERGS LÄN</t>
        </is>
      </c>
      <c r="E3235" t="inlineStr">
        <is>
          <t>ALVESTA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49530-2021</t>
        </is>
      </c>
      <c r="B3236" s="1" t="n">
        <v>44455</v>
      </c>
      <c r="C3236" s="1" t="n">
        <v>45845</v>
      </c>
      <c r="D3236" t="inlineStr">
        <is>
          <t>KRONOBERGS LÄN</t>
        </is>
      </c>
      <c r="E3236" t="inlineStr">
        <is>
          <t>ALVESTA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49556-2021</t>
        </is>
      </c>
      <c r="B3237" s="1" t="n">
        <v>44455</v>
      </c>
      <c r="C3237" s="1" t="n">
        <v>45845</v>
      </c>
      <c r="D3237" t="inlineStr">
        <is>
          <t>KRONOBERGS LÄN</t>
        </is>
      </c>
      <c r="E3237" t="inlineStr">
        <is>
          <t>ALVESTA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50033-2021</t>
        </is>
      </c>
      <c r="B3238" s="1" t="n">
        <v>44456</v>
      </c>
      <c r="C3238" s="1" t="n">
        <v>45845</v>
      </c>
      <c r="D3238" t="inlineStr">
        <is>
          <t>KRONOBERGS LÄN</t>
        </is>
      </c>
      <c r="E3238" t="inlineStr">
        <is>
          <t>UPPVIDINGE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50006-2021</t>
        </is>
      </c>
      <c r="B3239" s="1" t="n">
        <v>44456</v>
      </c>
      <c r="C3239" s="1" t="n">
        <v>45845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50141-2021</t>
        </is>
      </c>
      <c r="B3240" s="1" t="n">
        <v>44456</v>
      </c>
      <c r="C3240" s="1" t="n">
        <v>45845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50143-2021</t>
        </is>
      </c>
      <c r="B3241" s="1" t="n">
        <v>44456</v>
      </c>
      <c r="C3241" s="1" t="n">
        <v>45845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50230-2021</t>
        </is>
      </c>
      <c r="B3242" s="1" t="n">
        <v>44457</v>
      </c>
      <c r="C3242" s="1" t="n">
        <v>45845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50231-2021</t>
        </is>
      </c>
      <c r="B3243" s="1" t="n">
        <v>44457</v>
      </c>
      <c r="C3243" s="1" t="n">
        <v>45845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50240-2021</t>
        </is>
      </c>
      <c r="B3244" s="1" t="n">
        <v>44458</v>
      </c>
      <c r="C3244" s="1" t="n">
        <v>45845</v>
      </c>
      <c r="D3244" t="inlineStr">
        <is>
          <t>KRONOBERGS LÄN</t>
        </is>
      </c>
      <c r="E3244" t="inlineStr">
        <is>
          <t>VÄXJÖ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50270-2021</t>
        </is>
      </c>
      <c r="B3245" s="1" t="n">
        <v>44459</v>
      </c>
      <c r="C3245" s="1" t="n">
        <v>45845</v>
      </c>
      <c r="D3245" t="inlineStr">
        <is>
          <t>KRONOBERGS LÄN</t>
        </is>
      </c>
      <c r="E3245" t="inlineStr">
        <is>
          <t>LJUNGBY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50271-2021</t>
        </is>
      </c>
      <c r="B3246" s="1" t="n">
        <v>44459</v>
      </c>
      <c r="C3246" s="1" t="n">
        <v>45845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50484-2021</t>
        </is>
      </c>
      <c r="B3247" s="1" t="n">
        <v>44459</v>
      </c>
      <c r="C3247" s="1" t="n">
        <v>45845</v>
      </c>
      <c r="D3247" t="inlineStr">
        <is>
          <t>KRONOBERGS LÄN</t>
        </is>
      </c>
      <c r="E3247" t="inlineStr">
        <is>
          <t>UPPVIDINGE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50307-2021</t>
        </is>
      </c>
      <c r="B3248" s="1" t="n">
        <v>44459</v>
      </c>
      <c r="C3248" s="1" t="n">
        <v>45845</v>
      </c>
      <c r="D3248" t="inlineStr">
        <is>
          <t>KRONOBERGS LÄN</t>
        </is>
      </c>
      <c r="E3248" t="inlineStr">
        <is>
          <t>UPPVIDINGE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50335-2021</t>
        </is>
      </c>
      <c r="B3249" s="1" t="n">
        <v>44459</v>
      </c>
      <c r="C3249" s="1" t="n">
        <v>45845</v>
      </c>
      <c r="D3249" t="inlineStr">
        <is>
          <t>KRONOBERGS LÄN</t>
        </is>
      </c>
      <c r="E3249" t="inlineStr">
        <is>
          <t>TINGSRYD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50587-2021</t>
        </is>
      </c>
      <c r="B3250" s="1" t="n">
        <v>44459</v>
      </c>
      <c r="C3250" s="1" t="n">
        <v>45845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50607-2021</t>
        </is>
      </c>
      <c r="B3251" s="1" t="n">
        <v>44459</v>
      </c>
      <c r="C3251" s="1" t="n">
        <v>45845</v>
      </c>
      <c r="D3251" t="inlineStr">
        <is>
          <t>KRONOBERGS LÄN</t>
        </is>
      </c>
      <c r="E3251" t="inlineStr">
        <is>
          <t>TINGSRYD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50487-2021</t>
        </is>
      </c>
      <c r="B3252" s="1" t="n">
        <v>44459</v>
      </c>
      <c r="C3252" s="1" t="n">
        <v>45845</v>
      </c>
      <c r="D3252" t="inlineStr">
        <is>
          <t>KRONOBERGS LÄN</t>
        </is>
      </c>
      <c r="E3252" t="inlineStr">
        <is>
          <t>UPPVIDINGE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50715-2021</t>
        </is>
      </c>
      <c r="B3253" s="1" t="n">
        <v>44460</v>
      </c>
      <c r="C3253" s="1" t="n">
        <v>45845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50734-2021</t>
        </is>
      </c>
      <c r="B3254" s="1" t="n">
        <v>44460</v>
      </c>
      <c r="C3254" s="1" t="n">
        <v>45845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50855-2021</t>
        </is>
      </c>
      <c r="B3255" s="1" t="n">
        <v>44460</v>
      </c>
      <c r="C3255" s="1" t="n">
        <v>45845</v>
      </c>
      <c r="D3255" t="inlineStr">
        <is>
          <t>KRONOBERGS LÄN</t>
        </is>
      </c>
      <c r="E3255" t="inlineStr">
        <is>
          <t>TINGSRYD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51006-2021</t>
        </is>
      </c>
      <c r="B3256" s="1" t="n">
        <v>44460</v>
      </c>
      <c r="C3256" s="1" t="n">
        <v>45845</v>
      </c>
      <c r="D3256" t="inlineStr">
        <is>
          <t>KRONOBERGS LÄN</t>
        </is>
      </c>
      <c r="E3256" t="inlineStr">
        <is>
          <t>LESSEBO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50931-2021</t>
        </is>
      </c>
      <c r="B3257" s="1" t="n">
        <v>44460</v>
      </c>
      <c r="C3257" s="1" t="n">
        <v>45845</v>
      </c>
      <c r="D3257" t="inlineStr">
        <is>
          <t>KRONOBERGS LÄN</t>
        </is>
      </c>
      <c r="E3257" t="inlineStr">
        <is>
          <t>LJUNGBY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50989-2021</t>
        </is>
      </c>
      <c r="B3258" s="1" t="n">
        <v>44460</v>
      </c>
      <c r="C3258" s="1" t="n">
        <v>45845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51004-2021</t>
        </is>
      </c>
      <c r="B3259" s="1" t="n">
        <v>44460</v>
      </c>
      <c r="C3259" s="1" t="n">
        <v>45845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50994-2021</t>
        </is>
      </c>
      <c r="B3260" s="1" t="n">
        <v>44460</v>
      </c>
      <c r="C3260" s="1" t="n">
        <v>45845</v>
      </c>
      <c r="D3260" t="inlineStr">
        <is>
          <t>KRONOBERGS LÄN</t>
        </is>
      </c>
      <c r="E3260" t="inlineStr">
        <is>
          <t>TINGSRYD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51009-2021</t>
        </is>
      </c>
      <c r="B3261" s="1" t="n">
        <v>44460</v>
      </c>
      <c r="C3261" s="1" t="n">
        <v>45845</v>
      </c>
      <c r="D3261" t="inlineStr">
        <is>
          <t>KRONOBERGS LÄN</t>
        </is>
      </c>
      <c r="E3261" t="inlineStr">
        <is>
          <t>LJUNGBY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51990-2021</t>
        </is>
      </c>
      <c r="B3262" s="1" t="n">
        <v>44460</v>
      </c>
      <c r="C3262" s="1" t="n">
        <v>45845</v>
      </c>
      <c r="D3262" t="inlineStr">
        <is>
          <t>KRONOBERGS LÄN</t>
        </is>
      </c>
      <c r="E3262" t="inlineStr">
        <is>
          <t>MARKARYD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51130-2021</t>
        </is>
      </c>
      <c r="B3263" s="1" t="n">
        <v>44460</v>
      </c>
      <c r="C3263" s="1" t="n">
        <v>45845</v>
      </c>
      <c r="D3263" t="inlineStr">
        <is>
          <t>KRONOBERGS LÄN</t>
        </is>
      </c>
      <c r="E3263" t="inlineStr">
        <is>
          <t>ÄLMHULT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51294-2021</t>
        </is>
      </c>
      <c r="B3264" s="1" t="n">
        <v>44461</v>
      </c>
      <c r="C3264" s="1" t="n">
        <v>45845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51341-2021</t>
        </is>
      </c>
      <c r="B3265" s="1" t="n">
        <v>44461</v>
      </c>
      <c r="C3265" s="1" t="n">
        <v>45845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45845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51310-2021</t>
        </is>
      </c>
      <c r="B3267" s="1" t="n">
        <v>44461</v>
      </c>
      <c r="C3267" s="1" t="n">
        <v>45845</v>
      </c>
      <c r="D3267" t="inlineStr">
        <is>
          <t>KRONOBERGS LÄN</t>
        </is>
      </c>
      <c r="E3267" t="inlineStr">
        <is>
          <t>ALVESTA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51065-2021</t>
        </is>
      </c>
      <c r="B3268" s="1" t="n">
        <v>44461</v>
      </c>
      <c r="C3268" s="1" t="n">
        <v>45845</v>
      </c>
      <c r="D3268" t="inlineStr">
        <is>
          <t>KRONOBERGS LÄN</t>
        </is>
      </c>
      <c r="E3268" t="inlineStr">
        <is>
          <t>MARKARYD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51276-2021</t>
        </is>
      </c>
      <c r="B3269" s="1" t="n">
        <v>44461</v>
      </c>
      <c r="C3269" s="1" t="n">
        <v>45845</v>
      </c>
      <c r="D3269" t="inlineStr">
        <is>
          <t>KRONOBERGS LÄN</t>
        </is>
      </c>
      <c r="E3269" t="inlineStr">
        <is>
          <t>LJUNGBY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51063-2021</t>
        </is>
      </c>
      <c r="B3270" s="1" t="n">
        <v>44461</v>
      </c>
      <c r="C3270" s="1" t="n">
        <v>45845</v>
      </c>
      <c r="D3270" t="inlineStr">
        <is>
          <t>KRONOBERGS LÄN</t>
        </is>
      </c>
      <c r="E3270" t="inlineStr">
        <is>
          <t>ALVESTA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51347-2021</t>
        </is>
      </c>
      <c r="B3271" s="1" t="n">
        <v>44461</v>
      </c>
      <c r="C3271" s="1" t="n">
        <v>45845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51384-2021</t>
        </is>
      </c>
      <c r="B3272" s="1" t="n">
        <v>44461</v>
      </c>
      <c r="C3272" s="1" t="n">
        <v>45845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51060-2021</t>
        </is>
      </c>
      <c r="B3273" s="1" t="n">
        <v>44461</v>
      </c>
      <c r="C3273" s="1" t="n">
        <v>45845</v>
      </c>
      <c r="D3273" t="inlineStr">
        <is>
          <t>KRONOBERGS LÄN</t>
        </is>
      </c>
      <c r="E3273" t="inlineStr">
        <is>
          <t>MARKARYD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51387-2021</t>
        </is>
      </c>
      <c r="B3274" s="1" t="n">
        <v>44461</v>
      </c>
      <c r="C3274" s="1" t="n">
        <v>45845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51385-2021</t>
        </is>
      </c>
      <c r="B3275" s="1" t="n">
        <v>44461</v>
      </c>
      <c r="C3275" s="1" t="n">
        <v>45845</v>
      </c>
      <c r="D3275" t="inlineStr">
        <is>
          <t>KRONOBERGS LÄN</t>
        </is>
      </c>
      <c r="E3275" t="inlineStr">
        <is>
          <t>VÄXJÖ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51652-2021</t>
        </is>
      </c>
      <c r="B3276" s="1" t="n">
        <v>44462</v>
      </c>
      <c r="C3276" s="1" t="n">
        <v>45845</v>
      </c>
      <c r="D3276" t="inlineStr">
        <is>
          <t>KRONOBERGS LÄN</t>
        </is>
      </c>
      <c r="E3276" t="inlineStr">
        <is>
          <t>TINGSRYD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51521-2021</t>
        </is>
      </c>
      <c r="B3277" s="1" t="n">
        <v>44462</v>
      </c>
      <c r="C3277" s="1" t="n">
        <v>45845</v>
      </c>
      <c r="D3277" t="inlineStr">
        <is>
          <t>KRONOBERGS LÄN</t>
        </is>
      </c>
      <c r="E3277" t="inlineStr">
        <is>
          <t>ALVESTA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51899-2021</t>
        </is>
      </c>
      <c r="B3278" s="1" t="n">
        <v>44462</v>
      </c>
      <c r="C3278" s="1" t="n">
        <v>45845</v>
      </c>
      <c r="D3278" t="inlineStr">
        <is>
          <t>KRONOBERGS LÄN</t>
        </is>
      </c>
      <c r="E3278" t="inlineStr">
        <is>
          <t>ÄLMHULT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52036-2021</t>
        </is>
      </c>
      <c r="B3279" s="1" t="n">
        <v>44463</v>
      </c>
      <c r="C3279" s="1" t="n">
        <v>45845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52024-2021</t>
        </is>
      </c>
      <c r="B3280" s="1" t="n">
        <v>44463</v>
      </c>
      <c r="C3280" s="1" t="n">
        <v>45845</v>
      </c>
      <c r="D3280" t="inlineStr">
        <is>
          <t>KRONOBERGS LÄN</t>
        </is>
      </c>
      <c r="E3280" t="inlineStr">
        <is>
          <t>TINGSRYD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52038-2021</t>
        </is>
      </c>
      <c r="B3281" s="1" t="n">
        <v>44463</v>
      </c>
      <c r="C3281" s="1" t="n">
        <v>45845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52077-2021</t>
        </is>
      </c>
      <c r="B3282" s="1" t="n">
        <v>44463</v>
      </c>
      <c r="C3282" s="1" t="n">
        <v>45845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52040-2021</t>
        </is>
      </c>
      <c r="B3283" s="1" t="n">
        <v>44463</v>
      </c>
      <c r="C3283" s="1" t="n">
        <v>45845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52239-2021</t>
        </is>
      </c>
      <c r="B3284" s="1" t="n">
        <v>44463</v>
      </c>
      <c r="C3284" s="1" t="n">
        <v>45845</v>
      </c>
      <c r="D3284" t="inlineStr">
        <is>
          <t>KRONOBERGS LÄN</t>
        </is>
      </c>
      <c r="E3284" t="inlineStr">
        <is>
          <t>MARKARYD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52297-2021</t>
        </is>
      </c>
      <c r="B3285" s="1" t="n">
        <v>44463</v>
      </c>
      <c r="C3285" s="1" t="n">
        <v>45845</v>
      </c>
      <c r="D3285" t="inlineStr">
        <is>
          <t>KRONOBERGS LÄN</t>
        </is>
      </c>
      <c r="E3285" t="inlineStr">
        <is>
          <t>ÄLMHULT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52375-2021</t>
        </is>
      </c>
      <c r="B3286" s="1" t="n">
        <v>44465</v>
      </c>
      <c r="C3286" s="1" t="n">
        <v>45845</v>
      </c>
      <c r="D3286" t="inlineStr">
        <is>
          <t>KRONOBERGS LÄN</t>
        </is>
      </c>
      <c r="E3286" t="inlineStr">
        <is>
          <t>LJUNGBY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52509-2021</t>
        </is>
      </c>
      <c r="B3287" s="1" t="n">
        <v>44466</v>
      </c>
      <c r="C3287" s="1" t="n">
        <v>45845</v>
      </c>
      <c r="D3287" t="inlineStr">
        <is>
          <t>KRONOBERGS LÄN</t>
        </is>
      </c>
      <c r="E3287" t="inlineStr">
        <is>
          <t>UPPVIDINGE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52610-2021</t>
        </is>
      </c>
      <c r="B3288" s="1" t="n">
        <v>44466</v>
      </c>
      <c r="C3288" s="1" t="n">
        <v>45845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52539-2021</t>
        </is>
      </c>
      <c r="B3289" s="1" t="n">
        <v>44466</v>
      </c>
      <c r="C3289" s="1" t="n">
        <v>45845</v>
      </c>
      <c r="D3289" t="inlineStr">
        <is>
          <t>KRONOBERGS LÄN</t>
        </is>
      </c>
      <c r="E3289" t="inlineStr">
        <is>
          <t>LJUNGBY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52604-2021</t>
        </is>
      </c>
      <c r="B3290" s="1" t="n">
        <v>44466</v>
      </c>
      <c r="C3290" s="1" t="n">
        <v>45845</v>
      </c>
      <c r="D3290" t="inlineStr">
        <is>
          <t>KRONOBERGS LÄN</t>
        </is>
      </c>
      <c r="E3290" t="inlineStr">
        <is>
          <t>VÄXJÖ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52611-2021</t>
        </is>
      </c>
      <c r="B3291" s="1" t="n">
        <v>44466</v>
      </c>
      <c r="C3291" s="1" t="n">
        <v>45845</v>
      </c>
      <c r="D3291" t="inlineStr">
        <is>
          <t>KRONOBERGS LÄN</t>
        </is>
      </c>
      <c r="E3291" t="inlineStr">
        <is>
          <t>TINGSRYD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52657-2021</t>
        </is>
      </c>
      <c r="B3292" s="1" t="n">
        <v>44466</v>
      </c>
      <c r="C3292" s="1" t="n">
        <v>45845</v>
      </c>
      <c r="D3292" t="inlineStr">
        <is>
          <t>KRONOBERGS LÄN</t>
        </is>
      </c>
      <c r="E3292" t="inlineStr">
        <is>
          <t>MARKARYD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52739-2021</t>
        </is>
      </c>
      <c r="B3293" s="1" t="n">
        <v>44467</v>
      </c>
      <c r="C3293" s="1" t="n">
        <v>45845</v>
      </c>
      <c r="D3293" t="inlineStr">
        <is>
          <t>KRONOBERGS LÄN</t>
        </is>
      </c>
      <c r="E3293" t="inlineStr">
        <is>
          <t>MARKARYD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52737-2021</t>
        </is>
      </c>
      <c r="B3294" s="1" t="n">
        <v>44467</v>
      </c>
      <c r="C3294" s="1" t="n">
        <v>45845</v>
      </c>
      <c r="D3294" t="inlineStr">
        <is>
          <t>KRONOBERGS LÄN</t>
        </is>
      </c>
      <c r="E3294" t="inlineStr">
        <is>
          <t>MARKARYD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52962-2021</t>
        </is>
      </c>
      <c r="B3295" s="1" t="n">
        <v>44467</v>
      </c>
      <c r="C3295" s="1" t="n">
        <v>45845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53165-2021</t>
        </is>
      </c>
      <c r="B3296" s="1" t="n">
        <v>44467</v>
      </c>
      <c r="C3296" s="1" t="n">
        <v>45845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53041-2021</t>
        </is>
      </c>
      <c r="B3297" s="1" t="n">
        <v>44467</v>
      </c>
      <c r="C3297" s="1" t="n">
        <v>45845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53097-2021</t>
        </is>
      </c>
      <c r="B3298" s="1" t="n">
        <v>44467</v>
      </c>
      <c r="C3298" s="1" t="n">
        <v>45845</v>
      </c>
      <c r="D3298" t="inlineStr">
        <is>
          <t>KRONOBERGS LÄN</t>
        </is>
      </c>
      <c r="E3298" t="inlineStr">
        <is>
          <t>ÄLMHULT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53176-2021</t>
        </is>
      </c>
      <c r="B3299" s="1" t="n">
        <v>44467</v>
      </c>
      <c r="C3299" s="1" t="n">
        <v>45845</v>
      </c>
      <c r="D3299" t="inlineStr">
        <is>
          <t>KRONOBERGS LÄN</t>
        </is>
      </c>
      <c r="E3299" t="inlineStr">
        <is>
          <t>TINGSRYD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53028-2021</t>
        </is>
      </c>
      <c r="B3300" s="1" t="n">
        <v>44467</v>
      </c>
      <c r="C3300" s="1" t="n">
        <v>45845</v>
      </c>
      <c r="D3300" t="inlineStr">
        <is>
          <t>KRONOBERGS LÄN</t>
        </is>
      </c>
      <c r="E3300" t="inlineStr">
        <is>
          <t>ALVESTA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53309-2021</t>
        </is>
      </c>
      <c r="B3301" s="1" t="n">
        <v>44468</v>
      </c>
      <c r="C3301" s="1" t="n">
        <v>45845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53389-2021</t>
        </is>
      </c>
      <c r="B3302" s="1" t="n">
        <v>44468</v>
      </c>
      <c r="C3302" s="1" t="n">
        <v>45845</v>
      </c>
      <c r="D3302" t="inlineStr">
        <is>
          <t>KRONOBERGS LÄN</t>
        </is>
      </c>
      <c r="E3302" t="inlineStr">
        <is>
          <t>VÄXJÖ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53135-2021</t>
        </is>
      </c>
      <c r="B3303" s="1" t="n">
        <v>44468</v>
      </c>
      <c r="C3303" s="1" t="n">
        <v>45845</v>
      </c>
      <c r="D3303" t="inlineStr">
        <is>
          <t>KRONOBERGS LÄN</t>
        </is>
      </c>
      <c r="E3303" t="inlineStr">
        <is>
          <t>VÄXJÖ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53317-2021</t>
        </is>
      </c>
      <c r="B3304" s="1" t="n">
        <v>44468</v>
      </c>
      <c r="C3304" s="1" t="n">
        <v>45845</v>
      </c>
      <c r="D3304" t="inlineStr">
        <is>
          <t>KRONOBERGS LÄN</t>
        </is>
      </c>
      <c r="E3304" t="inlineStr">
        <is>
          <t>TINGSRYD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53282-2021</t>
        </is>
      </c>
      <c r="B3305" s="1" t="n">
        <v>44468</v>
      </c>
      <c r="C3305" s="1" t="n">
        <v>45845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53341-2021</t>
        </is>
      </c>
      <c r="B3306" s="1" t="n">
        <v>44468</v>
      </c>
      <c r="C3306" s="1" t="n">
        <v>45845</v>
      </c>
      <c r="D3306" t="inlineStr">
        <is>
          <t>KRONOBERGS LÄN</t>
        </is>
      </c>
      <c r="E3306" t="inlineStr">
        <is>
          <t>LESSEBO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53434-2021</t>
        </is>
      </c>
      <c r="B3307" s="1" t="n">
        <v>44468</v>
      </c>
      <c r="C3307" s="1" t="n">
        <v>45845</v>
      </c>
      <c r="D3307" t="inlineStr">
        <is>
          <t>KRONOBERGS LÄN</t>
        </is>
      </c>
      <c r="E3307" t="inlineStr">
        <is>
          <t>UPPVIDINGE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53489-2021</t>
        </is>
      </c>
      <c r="B3308" s="1" t="n">
        <v>44468</v>
      </c>
      <c r="C3308" s="1" t="n">
        <v>45845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53483-2021</t>
        </is>
      </c>
      <c r="B3309" s="1" t="n">
        <v>44468</v>
      </c>
      <c r="C3309" s="1" t="n">
        <v>45845</v>
      </c>
      <c r="D3309" t="inlineStr">
        <is>
          <t>KRONOBERGS LÄN</t>
        </is>
      </c>
      <c r="E3309" t="inlineStr">
        <is>
          <t>ÄLMHULT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53445-2021</t>
        </is>
      </c>
      <c r="B3310" s="1" t="n">
        <v>44468</v>
      </c>
      <c r="C3310" s="1" t="n">
        <v>45845</v>
      </c>
      <c r="D3310" t="inlineStr">
        <is>
          <t>KRONOBERGS LÄN</t>
        </is>
      </c>
      <c r="E3310" t="inlineStr">
        <is>
          <t>UPPVIDINGE</t>
        </is>
      </c>
      <c r="G3310" t="n">
        <v>5.9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53946-2021</t>
        </is>
      </c>
      <c r="B3311" s="1" t="n">
        <v>44469</v>
      </c>
      <c r="C3311" s="1" t="n">
        <v>45845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53937-2021</t>
        </is>
      </c>
      <c r="B3312" s="1" t="n">
        <v>44469</v>
      </c>
      <c r="C3312" s="1" t="n">
        <v>45845</v>
      </c>
      <c r="D3312" t="inlineStr">
        <is>
          <t>KRONOBERGS LÄN</t>
        </is>
      </c>
      <c r="E3312" t="inlineStr">
        <is>
          <t>ALVESTA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53948-2021</t>
        </is>
      </c>
      <c r="B3313" s="1" t="n">
        <v>44469</v>
      </c>
      <c r="C3313" s="1" t="n">
        <v>45845</v>
      </c>
      <c r="D3313" t="inlineStr">
        <is>
          <t>KRONOBERGS LÄN</t>
        </is>
      </c>
      <c r="E3313" t="inlineStr">
        <is>
          <t>LJUNGBY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54210-2021</t>
        </is>
      </c>
      <c r="B3314" s="1" t="n">
        <v>44470</v>
      </c>
      <c r="C3314" s="1" t="n">
        <v>45845</v>
      </c>
      <c r="D3314" t="inlineStr">
        <is>
          <t>KRONOBERGS LÄN</t>
        </is>
      </c>
      <c r="E3314" t="inlineStr">
        <is>
          <t>VÄXJÖ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54147-2021</t>
        </is>
      </c>
      <c r="B3315" s="1" t="n">
        <v>44470</v>
      </c>
      <c r="C3315" s="1" t="n">
        <v>45845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54233-2021</t>
        </is>
      </c>
      <c r="B3316" s="1" t="n">
        <v>44470</v>
      </c>
      <c r="C3316" s="1" t="n">
        <v>45845</v>
      </c>
      <c r="D3316" t="inlineStr">
        <is>
          <t>KRONOBERGS LÄN</t>
        </is>
      </c>
      <c r="E3316" t="inlineStr">
        <is>
          <t>TINGSRYD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54236-2021</t>
        </is>
      </c>
      <c r="B3317" s="1" t="n">
        <v>44470</v>
      </c>
      <c r="C3317" s="1" t="n">
        <v>45845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54266-2021</t>
        </is>
      </c>
      <c r="B3318" s="1" t="n">
        <v>44470</v>
      </c>
      <c r="C3318" s="1" t="n">
        <v>45845</v>
      </c>
      <c r="D3318" t="inlineStr">
        <is>
          <t>KRONOBERGS LÄN</t>
        </is>
      </c>
      <c r="E3318" t="inlineStr">
        <is>
          <t>MARKARYD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54355-2021</t>
        </is>
      </c>
      <c r="B3319" s="1" t="n">
        <v>44470</v>
      </c>
      <c r="C3319" s="1" t="n">
        <v>45845</v>
      </c>
      <c r="D3319" t="inlineStr">
        <is>
          <t>KRONOBERGS LÄN</t>
        </is>
      </c>
      <c r="E3319" t="inlineStr">
        <is>
          <t>UPPVIDINGE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54229-2021</t>
        </is>
      </c>
      <c r="B3320" s="1" t="n">
        <v>44470</v>
      </c>
      <c r="C3320" s="1" t="n">
        <v>45845</v>
      </c>
      <c r="D3320" t="inlineStr">
        <is>
          <t>KRONOBERGS LÄN</t>
        </is>
      </c>
      <c r="E3320" t="inlineStr">
        <is>
          <t>TINGSRYD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54390-2021</t>
        </is>
      </c>
      <c r="B3321" s="1" t="n">
        <v>44473</v>
      </c>
      <c r="C3321" s="1" t="n">
        <v>45845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54389-2021</t>
        </is>
      </c>
      <c r="B3322" s="1" t="n">
        <v>44473</v>
      </c>
      <c r="C3322" s="1" t="n">
        <v>45845</v>
      </c>
      <c r="D3322" t="inlineStr">
        <is>
          <t>KRONOBERGS LÄN</t>
        </is>
      </c>
      <c r="E3322" t="inlineStr">
        <is>
          <t>VÄXJÖ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54466-2021</t>
        </is>
      </c>
      <c r="B3323" s="1" t="n">
        <v>44473</v>
      </c>
      <c r="C3323" s="1" t="n">
        <v>45845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54673-2021</t>
        </is>
      </c>
      <c r="B3324" s="1" t="n">
        <v>44473</v>
      </c>
      <c r="C3324" s="1" t="n">
        <v>45845</v>
      </c>
      <c r="D3324" t="inlineStr">
        <is>
          <t>KRONOBERGS LÄN</t>
        </is>
      </c>
      <c r="E3324" t="inlineStr">
        <is>
          <t>VÄXJÖ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54722-2021</t>
        </is>
      </c>
      <c r="B3325" s="1" t="n">
        <v>44473</v>
      </c>
      <c r="C3325" s="1" t="n">
        <v>45845</v>
      </c>
      <c r="D3325" t="inlineStr">
        <is>
          <t>KRONOBERGS LÄN</t>
        </is>
      </c>
      <c r="E3325" t="inlineStr">
        <is>
          <t>ÄLMHULT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54734-2021</t>
        </is>
      </c>
      <c r="B3326" s="1" t="n">
        <v>44473</v>
      </c>
      <c r="C3326" s="1" t="n">
        <v>45845</v>
      </c>
      <c r="D3326" t="inlineStr">
        <is>
          <t>KRONOBERGS LÄN</t>
        </is>
      </c>
      <c r="E3326" t="inlineStr">
        <is>
          <t>ÄLMHULT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54969-2021</t>
        </is>
      </c>
      <c r="B3327" s="1" t="n">
        <v>44474</v>
      </c>
      <c r="C3327" s="1" t="n">
        <v>45845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55064-2021</t>
        </is>
      </c>
      <c r="B3328" s="1" t="n">
        <v>44474</v>
      </c>
      <c r="C3328" s="1" t="n">
        <v>45845</v>
      </c>
      <c r="D3328" t="inlineStr">
        <is>
          <t>KRONOBERGS LÄN</t>
        </is>
      </c>
      <c r="E3328" t="inlineStr">
        <is>
          <t>MARKARYD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55107-2021</t>
        </is>
      </c>
      <c r="B3329" s="1" t="n">
        <v>44474</v>
      </c>
      <c r="C3329" s="1" t="n">
        <v>45845</v>
      </c>
      <c r="D3329" t="inlineStr">
        <is>
          <t>KRONOBERGS LÄN</t>
        </is>
      </c>
      <c r="E3329" t="inlineStr">
        <is>
          <t>MARKARYD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54970-2021</t>
        </is>
      </c>
      <c r="B3330" s="1" t="n">
        <v>44474</v>
      </c>
      <c r="C3330" s="1" t="n">
        <v>45845</v>
      </c>
      <c r="D3330" t="inlineStr">
        <is>
          <t>KRONOBERGS LÄN</t>
        </is>
      </c>
      <c r="E3330" t="inlineStr">
        <is>
          <t>ÄLMHULT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54972-2021</t>
        </is>
      </c>
      <c r="B3331" s="1" t="n">
        <v>44474</v>
      </c>
      <c r="C3331" s="1" t="n">
        <v>45845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54852-2021</t>
        </is>
      </c>
      <c r="B3332" s="1" t="n">
        <v>44474</v>
      </c>
      <c r="C3332" s="1" t="n">
        <v>45845</v>
      </c>
      <c r="D3332" t="inlineStr">
        <is>
          <t>KRONOBERGS LÄN</t>
        </is>
      </c>
      <c r="E3332" t="inlineStr">
        <is>
          <t>VÄXJÖ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54873-2021</t>
        </is>
      </c>
      <c r="B3333" s="1" t="n">
        <v>44474</v>
      </c>
      <c r="C3333" s="1" t="n">
        <v>45845</v>
      </c>
      <c r="D3333" t="inlineStr">
        <is>
          <t>KRONOBERGS LÄN</t>
        </is>
      </c>
      <c r="E3333" t="inlineStr">
        <is>
          <t>ÄLMHULT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54891-2021</t>
        </is>
      </c>
      <c r="B3334" s="1" t="n">
        <v>44474</v>
      </c>
      <c r="C3334" s="1" t="n">
        <v>45845</v>
      </c>
      <c r="D3334" t="inlineStr">
        <is>
          <t>KRONOBERGS LÄN</t>
        </is>
      </c>
      <c r="E3334" t="inlineStr">
        <is>
          <t>LJUNGBY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55144-2021</t>
        </is>
      </c>
      <c r="B3335" s="1" t="n">
        <v>44474</v>
      </c>
      <c r="C3335" s="1" t="n">
        <v>45845</v>
      </c>
      <c r="D3335" t="inlineStr">
        <is>
          <t>KRONOBERGS LÄN</t>
        </is>
      </c>
      <c r="E3335" t="inlineStr">
        <is>
          <t>LESSEBO</t>
        </is>
      </c>
      <c r="G3335" t="n">
        <v>7.2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54874-2021</t>
        </is>
      </c>
      <c r="B3336" s="1" t="n">
        <v>44474</v>
      </c>
      <c r="C3336" s="1" t="n">
        <v>45845</v>
      </c>
      <c r="D3336" t="inlineStr">
        <is>
          <t>KRONOBERGS LÄN</t>
        </is>
      </c>
      <c r="E3336" t="inlineStr">
        <is>
          <t>VÄXJÖ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54906-2021</t>
        </is>
      </c>
      <c r="B3337" s="1" t="n">
        <v>44474</v>
      </c>
      <c r="C3337" s="1" t="n">
        <v>45845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54917-2021</t>
        </is>
      </c>
      <c r="B3338" s="1" t="n">
        <v>44474</v>
      </c>
      <c r="C3338" s="1" t="n">
        <v>45845</v>
      </c>
      <c r="D3338" t="inlineStr">
        <is>
          <t>KRONOBERGS LÄN</t>
        </is>
      </c>
      <c r="E3338" t="inlineStr">
        <is>
          <t>TINGSRYD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55174-2021</t>
        </is>
      </c>
      <c r="B3339" s="1" t="n">
        <v>44474</v>
      </c>
      <c r="C3339" s="1" t="n">
        <v>45845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55170-2021</t>
        </is>
      </c>
      <c r="B3340" s="1" t="n">
        <v>44474</v>
      </c>
      <c r="C3340" s="1" t="n">
        <v>45845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55353-2021</t>
        </is>
      </c>
      <c r="B3341" s="1" t="n">
        <v>44475</v>
      </c>
      <c r="C3341" s="1" t="n">
        <v>45845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55545-2021</t>
        </is>
      </c>
      <c r="B3342" s="1" t="n">
        <v>44475</v>
      </c>
      <c r="C3342" s="1" t="n">
        <v>45845</v>
      </c>
      <c r="D3342" t="inlineStr">
        <is>
          <t>KRONOBERGS LÄN</t>
        </is>
      </c>
      <c r="E3342" t="inlineStr">
        <is>
          <t>UPPVIDINGE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55629-2021</t>
        </is>
      </c>
      <c r="B3343" s="1" t="n">
        <v>44476</v>
      </c>
      <c r="C3343" s="1" t="n">
        <v>45845</v>
      </c>
      <c r="D3343" t="inlineStr">
        <is>
          <t>KRONOBERGS LÄN</t>
        </is>
      </c>
      <c r="E3343" t="inlineStr">
        <is>
          <t>ÄLMHULT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55806-2021</t>
        </is>
      </c>
      <c r="B3344" s="1" t="n">
        <v>44476</v>
      </c>
      <c r="C3344" s="1" t="n">
        <v>45845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55622-2021</t>
        </is>
      </c>
      <c r="B3345" s="1" t="n">
        <v>44476</v>
      </c>
      <c r="C3345" s="1" t="n">
        <v>45845</v>
      </c>
      <c r="D3345" t="inlineStr">
        <is>
          <t>KRONOBERGS LÄN</t>
        </is>
      </c>
      <c r="E3345" t="inlineStr">
        <is>
          <t>VÄXJÖ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55680-2021</t>
        </is>
      </c>
      <c r="B3346" s="1" t="n">
        <v>44476</v>
      </c>
      <c r="C3346" s="1" t="n">
        <v>45845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55830-2021</t>
        </is>
      </c>
      <c r="B3347" s="1" t="n">
        <v>44476</v>
      </c>
      <c r="C3347" s="1" t="n">
        <v>45845</v>
      </c>
      <c r="D3347" t="inlineStr">
        <is>
          <t>KRONOBERGS LÄN</t>
        </is>
      </c>
      <c r="E3347" t="inlineStr">
        <is>
          <t>UPPVIDINGE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55916-2021</t>
        </is>
      </c>
      <c r="B3348" s="1" t="n">
        <v>44476</v>
      </c>
      <c r="C3348" s="1" t="n">
        <v>45845</v>
      </c>
      <c r="D3348" t="inlineStr">
        <is>
          <t>KRONOBERGS LÄN</t>
        </is>
      </c>
      <c r="E3348" t="inlineStr">
        <is>
          <t>LJUNGBY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55828-2021</t>
        </is>
      </c>
      <c r="B3349" s="1" t="n">
        <v>44476</v>
      </c>
      <c r="C3349" s="1" t="n">
        <v>45845</v>
      </c>
      <c r="D3349" t="inlineStr">
        <is>
          <t>KRONOBERGS LÄN</t>
        </is>
      </c>
      <c r="E3349" t="inlineStr">
        <is>
          <t>UPPVIDINGE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56112-2021</t>
        </is>
      </c>
      <c r="B3350" s="1" t="n">
        <v>44477</v>
      </c>
      <c r="C3350" s="1" t="n">
        <v>45845</v>
      </c>
      <c r="D3350" t="inlineStr">
        <is>
          <t>KRONOBERGS LÄN</t>
        </is>
      </c>
      <c r="E3350" t="inlineStr">
        <is>
          <t>ALVESTA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56145-2021</t>
        </is>
      </c>
      <c r="B3351" s="1" t="n">
        <v>44477</v>
      </c>
      <c r="C3351" s="1" t="n">
        <v>45845</v>
      </c>
      <c r="D3351" t="inlineStr">
        <is>
          <t>KRONOBERGS LÄN</t>
        </is>
      </c>
      <c r="E3351" t="inlineStr">
        <is>
          <t>ÄLMHULT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56106-2021</t>
        </is>
      </c>
      <c r="B3352" s="1" t="n">
        <v>44477</v>
      </c>
      <c r="C3352" s="1" t="n">
        <v>45845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56121-2021</t>
        </is>
      </c>
      <c r="B3353" s="1" t="n">
        <v>44477</v>
      </c>
      <c r="C3353" s="1" t="n">
        <v>45845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56109-2021</t>
        </is>
      </c>
      <c r="B3354" s="1" t="n">
        <v>44477</v>
      </c>
      <c r="C3354" s="1" t="n">
        <v>45845</v>
      </c>
      <c r="D3354" t="inlineStr">
        <is>
          <t>KRONOBERGS LÄN</t>
        </is>
      </c>
      <c r="E3354" t="inlineStr">
        <is>
          <t>ÄLMHULT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56544-2021</t>
        </is>
      </c>
      <c r="B3355" s="1" t="n">
        <v>44480</v>
      </c>
      <c r="C3355" s="1" t="n">
        <v>45845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56552-2021</t>
        </is>
      </c>
      <c r="B3356" s="1" t="n">
        <v>44480</v>
      </c>
      <c r="C3356" s="1" t="n">
        <v>45845</v>
      </c>
      <c r="D3356" t="inlineStr">
        <is>
          <t>KRONOBERGS LÄN</t>
        </is>
      </c>
      <c r="E3356" t="inlineStr">
        <is>
          <t>ALVESTA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56860-2021</t>
        </is>
      </c>
      <c r="B3357" s="1" t="n">
        <v>44481</v>
      </c>
      <c r="C3357" s="1" t="n">
        <v>45845</v>
      </c>
      <c r="D3357" t="inlineStr">
        <is>
          <t>KRONOBERGS LÄN</t>
        </is>
      </c>
      <c r="E3357" t="inlineStr">
        <is>
          <t>TINGSRYD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56859-2021</t>
        </is>
      </c>
      <c r="B3358" s="1" t="n">
        <v>44481</v>
      </c>
      <c r="C3358" s="1" t="n">
        <v>45845</v>
      </c>
      <c r="D3358" t="inlineStr">
        <is>
          <t>KRONOBERGS LÄN</t>
        </is>
      </c>
      <c r="E3358" t="inlineStr">
        <is>
          <t>TINGSRYD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56938-2021</t>
        </is>
      </c>
      <c r="B3359" s="1" t="n">
        <v>44482</v>
      </c>
      <c r="C3359" s="1" t="n">
        <v>45845</v>
      </c>
      <c r="D3359" t="inlineStr">
        <is>
          <t>KRONOBERGS LÄN</t>
        </is>
      </c>
      <c r="E3359" t="inlineStr">
        <is>
          <t>ÄLMHULT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57105-2021</t>
        </is>
      </c>
      <c r="B3360" s="1" t="n">
        <v>44482</v>
      </c>
      <c r="C3360" s="1" t="n">
        <v>45845</v>
      </c>
      <c r="D3360" t="inlineStr">
        <is>
          <t>KRONOBERGS LÄN</t>
        </is>
      </c>
      <c r="E3360" t="inlineStr">
        <is>
          <t>LJUNGBY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57118-2021</t>
        </is>
      </c>
      <c r="B3361" s="1" t="n">
        <v>44482</v>
      </c>
      <c r="C3361" s="1" t="n">
        <v>45845</v>
      </c>
      <c r="D3361" t="inlineStr">
        <is>
          <t>KRONOBERGS LÄN</t>
        </is>
      </c>
      <c r="E3361" t="inlineStr">
        <is>
          <t>ÄLMHULT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57276-2021</t>
        </is>
      </c>
      <c r="B3362" s="1" t="n">
        <v>44483</v>
      </c>
      <c r="C3362" s="1" t="n">
        <v>45845</v>
      </c>
      <c r="D3362" t="inlineStr">
        <is>
          <t>KRONOBERGS LÄN</t>
        </is>
      </c>
      <c r="E3362" t="inlineStr">
        <is>
          <t>VÄXJÖ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57402-2021</t>
        </is>
      </c>
      <c r="B3363" s="1" t="n">
        <v>44483</v>
      </c>
      <c r="C3363" s="1" t="n">
        <v>45845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57272-2021</t>
        </is>
      </c>
      <c r="B3364" s="1" t="n">
        <v>44483</v>
      </c>
      <c r="C3364" s="1" t="n">
        <v>45845</v>
      </c>
      <c r="D3364" t="inlineStr">
        <is>
          <t>KRONOBERGS LÄN</t>
        </is>
      </c>
      <c r="E3364" t="inlineStr">
        <is>
          <t>VÄXJÖ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57471-2021</t>
        </is>
      </c>
      <c r="B3365" s="1" t="n">
        <v>44483</v>
      </c>
      <c r="C3365" s="1" t="n">
        <v>45845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57430-2021</t>
        </is>
      </c>
      <c r="B3366" s="1" t="n">
        <v>44483</v>
      </c>
      <c r="C3366" s="1" t="n">
        <v>45845</v>
      </c>
      <c r="D3366" t="inlineStr">
        <is>
          <t>KRONOBERGS LÄN</t>
        </is>
      </c>
      <c r="E3366" t="inlineStr">
        <is>
          <t>TINGSRYD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57470-2021</t>
        </is>
      </c>
      <c r="B3367" s="1" t="n">
        <v>44483</v>
      </c>
      <c r="C3367" s="1" t="n">
        <v>45845</v>
      </c>
      <c r="D3367" t="inlineStr">
        <is>
          <t>KRONOBERGS LÄN</t>
        </is>
      </c>
      <c r="E3367" t="inlineStr">
        <is>
          <t>UPPVIDINGE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58010-2021</t>
        </is>
      </c>
      <c r="B3368" s="1" t="n">
        <v>44487</v>
      </c>
      <c r="C3368" s="1" t="n">
        <v>45845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58060-2021</t>
        </is>
      </c>
      <c r="B3369" s="1" t="n">
        <v>44487</v>
      </c>
      <c r="C3369" s="1" t="n">
        <v>45845</v>
      </c>
      <c r="D3369" t="inlineStr">
        <is>
          <t>KRONOBERGS LÄN</t>
        </is>
      </c>
      <c r="E3369" t="inlineStr">
        <is>
          <t>VÄXJÖ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57987-2021</t>
        </is>
      </c>
      <c r="B3370" s="1" t="n">
        <v>44487</v>
      </c>
      <c r="C3370" s="1" t="n">
        <v>45845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57989-2021</t>
        </is>
      </c>
      <c r="B3371" s="1" t="n">
        <v>44487</v>
      </c>
      <c r="C3371" s="1" t="n">
        <v>45845</v>
      </c>
      <c r="D3371" t="inlineStr">
        <is>
          <t>KRONOBERGS LÄN</t>
        </is>
      </c>
      <c r="E3371" t="inlineStr">
        <is>
          <t>ALVESTA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58042-2021</t>
        </is>
      </c>
      <c r="B3372" s="1" t="n">
        <v>44487</v>
      </c>
      <c r="C3372" s="1" t="n">
        <v>45845</v>
      </c>
      <c r="D3372" t="inlineStr">
        <is>
          <t>KRONOBERGS LÄN</t>
        </is>
      </c>
      <c r="E3372" t="inlineStr">
        <is>
          <t>TINGSRYD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58098-2021</t>
        </is>
      </c>
      <c r="B3373" s="1" t="n">
        <v>44487</v>
      </c>
      <c r="C3373" s="1" t="n">
        <v>45845</v>
      </c>
      <c r="D3373" t="inlineStr">
        <is>
          <t>KRONOBERGS LÄN</t>
        </is>
      </c>
      <c r="E3373" t="inlineStr">
        <is>
          <t>ÄLMHULT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58109-2021</t>
        </is>
      </c>
      <c r="B3374" s="1" t="n">
        <v>44487</v>
      </c>
      <c r="C3374" s="1" t="n">
        <v>45845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58333-2021</t>
        </is>
      </c>
      <c r="B3375" s="1" t="n">
        <v>44488</v>
      </c>
      <c r="C3375" s="1" t="n">
        <v>45845</v>
      </c>
      <c r="D3375" t="inlineStr">
        <is>
          <t>KRONOBERGS LÄN</t>
        </is>
      </c>
      <c r="E3375" t="inlineStr">
        <is>
          <t>ALVESTA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58641-2021</t>
        </is>
      </c>
      <c r="B3376" s="1" t="n">
        <v>44489</v>
      </c>
      <c r="C3376" s="1" t="n">
        <v>45845</v>
      </c>
      <c r="D3376" t="inlineStr">
        <is>
          <t>KRONOBERGS LÄN</t>
        </is>
      </c>
      <c r="E3376" t="inlineStr">
        <is>
          <t>TINGSRYD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58827-2021</t>
        </is>
      </c>
      <c r="B3377" s="1" t="n">
        <v>44489</v>
      </c>
      <c r="C3377" s="1" t="n">
        <v>45845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58646-2021</t>
        </is>
      </c>
      <c r="B3378" s="1" t="n">
        <v>44489</v>
      </c>
      <c r="C3378" s="1" t="n">
        <v>45845</v>
      </c>
      <c r="D3378" t="inlineStr">
        <is>
          <t>KRONOBERGS LÄN</t>
        </is>
      </c>
      <c r="E3378" t="inlineStr">
        <is>
          <t>TINGSRYD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58903-2021</t>
        </is>
      </c>
      <c r="B3379" s="1" t="n">
        <v>44489</v>
      </c>
      <c r="C3379" s="1" t="n">
        <v>45845</v>
      </c>
      <c r="D3379" t="inlineStr">
        <is>
          <t>KRONOBERGS LÄN</t>
        </is>
      </c>
      <c r="E3379" t="inlineStr">
        <is>
          <t>VÄXJÖ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58916-2021</t>
        </is>
      </c>
      <c r="B3380" s="1" t="n">
        <v>44489</v>
      </c>
      <c r="C3380" s="1" t="n">
        <v>45845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58781-2021</t>
        </is>
      </c>
      <c r="B3381" s="1" t="n">
        <v>44489</v>
      </c>
      <c r="C3381" s="1" t="n">
        <v>45845</v>
      </c>
      <c r="D3381" t="inlineStr">
        <is>
          <t>KRONOBERGS LÄN</t>
        </is>
      </c>
      <c r="E3381" t="inlineStr">
        <is>
          <t>TINGSRYD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58824-2021</t>
        </is>
      </c>
      <c r="B3382" s="1" t="n">
        <v>44489</v>
      </c>
      <c r="C3382" s="1" t="n">
        <v>45845</v>
      </c>
      <c r="D3382" t="inlineStr">
        <is>
          <t>KRONOBERGS LÄN</t>
        </is>
      </c>
      <c r="E3382" t="inlineStr">
        <is>
          <t>VÄXJÖ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58993-2021</t>
        </is>
      </c>
      <c r="B3383" s="1" t="n">
        <v>44490</v>
      </c>
      <c r="C3383" s="1" t="n">
        <v>45845</v>
      </c>
      <c r="D3383" t="inlineStr">
        <is>
          <t>KRONOBERGS LÄN</t>
        </is>
      </c>
      <c r="E3383" t="inlineStr">
        <is>
          <t>VÄXJÖ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59052-2021</t>
        </is>
      </c>
      <c r="B3384" s="1" t="n">
        <v>44490</v>
      </c>
      <c r="C3384" s="1" t="n">
        <v>45845</v>
      </c>
      <c r="D3384" t="inlineStr">
        <is>
          <t>KRONOBERGS LÄN</t>
        </is>
      </c>
      <c r="E3384" t="inlineStr">
        <is>
          <t>ALVESTA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59093-2021</t>
        </is>
      </c>
      <c r="B3385" s="1" t="n">
        <v>44490</v>
      </c>
      <c r="C3385" s="1" t="n">
        <v>45845</v>
      </c>
      <c r="D3385" t="inlineStr">
        <is>
          <t>KRONOBERGS LÄN</t>
        </is>
      </c>
      <c r="E3385" t="inlineStr">
        <is>
          <t>TINGSRYD</t>
        </is>
      </c>
      <c r="F3385" t="inlineStr">
        <is>
          <t>Sveaskog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59237-2021</t>
        </is>
      </c>
      <c r="B3386" s="1" t="n">
        <v>44490</v>
      </c>
      <c r="C3386" s="1" t="n">
        <v>45845</v>
      </c>
      <c r="D3386" t="inlineStr">
        <is>
          <t>KRONOBERGS LÄN</t>
        </is>
      </c>
      <c r="E3386" t="inlineStr">
        <is>
          <t>VÄXJÖ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59220-2021</t>
        </is>
      </c>
      <c r="B3387" s="1" t="n">
        <v>44490</v>
      </c>
      <c r="C3387" s="1" t="n">
        <v>45845</v>
      </c>
      <c r="D3387" t="inlineStr">
        <is>
          <t>KRONOBERGS LÄN</t>
        </is>
      </c>
      <c r="E3387" t="inlineStr">
        <is>
          <t>ALVESTA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59233-2021</t>
        </is>
      </c>
      <c r="B3388" s="1" t="n">
        <v>44490</v>
      </c>
      <c r="C3388" s="1" t="n">
        <v>45845</v>
      </c>
      <c r="D3388" t="inlineStr">
        <is>
          <t>KRONOBERGS LÄN</t>
        </is>
      </c>
      <c r="E3388" t="inlineStr">
        <is>
          <t>ALVESTA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59281-2021</t>
        </is>
      </c>
      <c r="B3389" s="1" t="n">
        <v>44490</v>
      </c>
      <c r="C3389" s="1" t="n">
        <v>45845</v>
      </c>
      <c r="D3389" t="inlineStr">
        <is>
          <t>KRONOBERGS LÄN</t>
        </is>
      </c>
      <c r="E3389" t="inlineStr">
        <is>
          <t>UPPVIDINGE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59408-2021</t>
        </is>
      </c>
      <c r="B3390" s="1" t="n">
        <v>44491</v>
      </c>
      <c r="C3390" s="1" t="n">
        <v>45845</v>
      </c>
      <c r="D3390" t="inlineStr">
        <is>
          <t>KRONOBERGS LÄN</t>
        </is>
      </c>
      <c r="E3390" t="inlineStr">
        <is>
          <t>LESSEBO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59490-2021</t>
        </is>
      </c>
      <c r="B3391" s="1" t="n">
        <v>44491</v>
      </c>
      <c r="C3391" s="1" t="n">
        <v>45845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59529-2021</t>
        </is>
      </c>
      <c r="B3392" s="1" t="n">
        <v>44491</v>
      </c>
      <c r="C3392" s="1" t="n">
        <v>45845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59602-2021</t>
        </is>
      </c>
      <c r="B3393" s="1" t="n">
        <v>44491</v>
      </c>
      <c r="C3393" s="1" t="n">
        <v>45845</v>
      </c>
      <c r="D3393" t="inlineStr">
        <is>
          <t>KRONOBERGS LÄN</t>
        </is>
      </c>
      <c r="E3393" t="inlineStr">
        <is>
          <t>TINGSRYD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59724-2021</t>
        </is>
      </c>
      <c r="B3394" s="1" t="n">
        <v>44494</v>
      </c>
      <c r="C3394" s="1" t="n">
        <v>45845</v>
      </c>
      <c r="D3394" t="inlineStr">
        <is>
          <t>KRONOBERGS LÄN</t>
        </is>
      </c>
      <c r="E3394" t="inlineStr">
        <is>
          <t>TINGSRYD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59721-2021</t>
        </is>
      </c>
      <c r="B3395" s="1" t="n">
        <v>44494</v>
      </c>
      <c r="C3395" s="1" t="n">
        <v>45845</v>
      </c>
      <c r="D3395" t="inlineStr">
        <is>
          <t>KRONOBERGS LÄN</t>
        </is>
      </c>
      <c r="E3395" t="inlineStr">
        <is>
          <t>TINGSRYD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59719-2021</t>
        </is>
      </c>
      <c r="B3396" s="1" t="n">
        <v>44494</v>
      </c>
      <c r="C3396" s="1" t="n">
        <v>45845</v>
      </c>
      <c r="D3396" t="inlineStr">
        <is>
          <t>KRONOBERGS LÄN</t>
        </is>
      </c>
      <c r="E3396" t="inlineStr">
        <is>
          <t>TINGSRYD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59667-2021</t>
        </is>
      </c>
      <c r="B3397" s="1" t="n">
        <v>44494</v>
      </c>
      <c r="C3397" s="1" t="n">
        <v>45845</v>
      </c>
      <c r="D3397" t="inlineStr">
        <is>
          <t>KRONOBERGS LÄN</t>
        </is>
      </c>
      <c r="E3397" t="inlineStr">
        <is>
          <t>VÄXJÖ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59730-2021</t>
        </is>
      </c>
      <c r="B3398" s="1" t="n">
        <v>44494</v>
      </c>
      <c r="C3398" s="1" t="n">
        <v>45845</v>
      </c>
      <c r="D3398" t="inlineStr">
        <is>
          <t>KRONOBERGS LÄN</t>
        </is>
      </c>
      <c r="E3398" t="inlineStr">
        <is>
          <t>TINGSRYD</t>
        </is>
      </c>
      <c r="G3398" t="n">
        <v>5.6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59873-2021</t>
        </is>
      </c>
      <c r="B3399" s="1" t="n">
        <v>44494</v>
      </c>
      <c r="C3399" s="1" t="n">
        <v>45845</v>
      </c>
      <c r="D3399" t="inlineStr">
        <is>
          <t>KRONOBERGS LÄN</t>
        </is>
      </c>
      <c r="E3399" t="inlineStr">
        <is>
          <t>VÄXJÖ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60202-2021</t>
        </is>
      </c>
      <c r="B3400" s="1" t="n">
        <v>44495</v>
      </c>
      <c r="C3400" s="1" t="n">
        <v>45845</v>
      </c>
      <c r="D3400" t="inlineStr">
        <is>
          <t>KRONOBERGS LÄN</t>
        </is>
      </c>
      <c r="E3400" t="inlineStr">
        <is>
          <t>ALVESTA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60264-2021</t>
        </is>
      </c>
      <c r="B3401" s="1" t="n">
        <v>44495</v>
      </c>
      <c r="C3401" s="1" t="n">
        <v>45845</v>
      </c>
      <c r="D3401" t="inlineStr">
        <is>
          <t>KRONOBERGS LÄN</t>
        </is>
      </c>
      <c r="E3401" t="inlineStr">
        <is>
          <t>LJUNGBY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60155-2021</t>
        </is>
      </c>
      <c r="B3402" s="1" t="n">
        <v>44495</v>
      </c>
      <c r="C3402" s="1" t="n">
        <v>45845</v>
      </c>
      <c r="D3402" t="inlineStr">
        <is>
          <t>KRONOBERGS LÄN</t>
        </is>
      </c>
      <c r="E3402" t="inlineStr">
        <is>
          <t>LJUNGBY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60165-2021</t>
        </is>
      </c>
      <c r="B3403" s="1" t="n">
        <v>44495</v>
      </c>
      <c r="C3403" s="1" t="n">
        <v>45845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60214-2021</t>
        </is>
      </c>
      <c r="B3404" s="1" t="n">
        <v>44495</v>
      </c>
      <c r="C3404" s="1" t="n">
        <v>45845</v>
      </c>
      <c r="D3404" t="inlineStr">
        <is>
          <t>KRONOBERGS LÄN</t>
        </is>
      </c>
      <c r="E3404" t="inlineStr">
        <is>
          <t>TINGSRYD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60276-2021</t>
        </is>
      </c>
      <c r="B3405" s="1" t="n">
        <v>44495</v>
      </c>
      <c r="C3405" s="1" t="n">
        <v>45845</v>
      </c>
      <c r="D3405" t="inlineStr">
        <is>
          <t>KRONOBERGS LÄN</t>
        </is>
      </c>
      <c r="E3405" t="inlineStr">
        <is>
          <t>LJUNGBY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60237-2021</t>
        </is>
      </c>
      <c r="B3406" s="1" t="n">
        <v>44495</v>
      </c>
      <c r="C3406" s="1" t="n">
        <v>45845</v>
      </c>
      <c r="D3406" t="inlineStr">
        <is>
          <t>KRONOBERGS LÄN</t>
        </is>
      </c>
      <c r="E3406" t="inlineStr">
        <is>
          <t>MARKARYD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60233-2021</t>
        </is>
      </c>
      <c r="B3407" s="1" t="n">
        <v>44495</v>
      </c>
      <c r="C3407" s="1" t="n">
        <v>45845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60273-2021</t>
        </is>
      </c>
      <c r="B3408" s="1" t="n">
        <v>44495</v>
      </c>
      <c r="C3408" s="1" t="n">
        <v>45845</v>
      </c>
      <c r="D3408" t="inlineStr">
        <is>
          <t>KRONOBERGS LÄN</t>
        </is>
      </c>
      <c r="E3408" t="inlineStr">
        <is>
          <t>LJUNGBY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60613-2021</t>
        </is>
      </c>
      <c r="B3409" s="1" t="n">
        <v>44495</v>
      </c>
      <c r="C3409" s="1" t="n">
        <v>45845</v>
      </c>
      <c r="D3409" t="inlineStr">
        <is>
          <t>KRONOBERGS LÄN</t>
        </is>
      </c>
      <c r="E3409" t="inlineStr">
        <is>
          <t>ALVESTA</t>
        </is>
      </c>
      <c r="F3409" t="inlineStr">
        <is>
          <t>Kyrkan</t>
        </is>
      </c>
      <c r="G3409" t="n">
        <v>7.4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60350-2021</t>
        </is>
      </c>
      <c r="B3410" s="1" t="n">
        <v>44496</v>
      </c>
      <c r="C3410" s="1" t="n">
        <v>45845</v>
      </c>
      <c r="D3410" t="inlineStr">
        <is>
          <t>KRONOBERGS LÄN</t>
        </is>
      </c>
      <c r="E3410" t="inlineStr">
        <is>
          <t>VÄXJÖ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60370-2021</t>
        </is>
      </c>
      <c r="B3411" s="1" t="n">
        <v>44496</v>
      </c>
      <c r="C3411" s="1" t="n">
        <v>45845</v>
      </c>
      <c r="D3411" t="inlineStr">
        <is>
          <t>KRONOBERGS LÄN</t>
        </is>
      </c>
      <c r="E3411" t="inlineStr">
        <is>
          <t>UPPVIDINGE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60592-2021</t>
        </is>
      </c>
      <c r="B3412" s="1" t="n">
        <v>44496</v>
      </c>
      <c r="C3412" s="1" t="n">
        <v>45845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60609-2021</t>
        </is>
      </c>
      <c r="B3413" s="1" t="n">
        <v>44496</v>
      </c>
      <c r="C3413" s="1" t="n">
        <v>45845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60621-2021</t>
        </is>
      </c>
      <c r="B3414" s="1" t="n">
        <v>44496</v>
      </c>
      <c r="C3414" s="1" t="n">
        <v>45845</v>
      </c>
      <c r="D3414" t="inlineStr">
        <is>
          <t>KRONOBERGS LÄN</t>
        </is>
      </c>
      <c r="E3414" t="inlineStr">
        <is>
          <t>ÄLMHULT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60349-2021</t>
        </is>
      </c>
      <c r="B3415" s="1" t="n">
        <v>44496</v>
      </c>
      <c r="C3415" s="1" t="n">
        <v>45845</v>
      </c>
      <c r="D3415" t="inlineStr">
        <is>
          <t>KRONOBERGS LÄN</t>
        </is>
      </c>
      <c r="E3415" t="inlineStr">
        <is>
          <t>VÄXJÖ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60485-2021</t>
        </is>
      </c>
      <c r="B3416" s="1" t="n">
        <v>44496</v>
      </c>
      <c r="C3416" s="1" t="n">
        <v>45845</v>
      </c>
      <c r="D3416" t="inlineStr">
        <is>
          <t>KRONOBERGS LÄN</t>
        </is>
      </c>
      <c r="E3416" t="inlineStr">
        <is>
          <t>ALVESTA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60690-2021</t>
        </is>
      </c>
      <c r="B3417" s="1" t="n">
        <v>44496</v>
      </c>
      <c r="C3417" s="1" t="n">
        <v>45845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60699-2021</t>
        </is>
      </c>
      <c r="B3418" s="1" t="n">
        <v>44496</v>
      </c>
      <c r="C3418" s="1" t="n">
        <v>45845</v>
      </c>
      <c r="D3418" t="inlineStr">
        <is>
          <t>KRONOBERGS LÄN</t>
        </is>
      </c>
      <c r="E3418" t="inlineStr">
        <is>
          <t>ÄLMHULT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61491-2021</t>
        </is>
      </c>
      <c r="B3419" s="1" t="n">
        <v>44497</v>
      </c>
      <c r="C3419" s="1" t="n">
        <v>45845</v>
      </c>
      <c r="D3419" t="inlineStr">
        <is>
          <t>KRONOBERGS LÄN</t>
        </is>
      </c>
      <c r="E3419" t="inlineStr">
        <is>
          <t>UPPVIDINGE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60870-2021</t>
        </is>
      </c>
      <c r="B3420" s="1" t="n">
        <v>44497</v>
      </c>
      <c r="C3420" s="1" t="n">
        <v>45845</v>
      </c>
      <c r="D3420" t="inlineStr">
        <is>
          <t>KRONOBERGS LÄN</t>
        </is>
      </c>
      <c r="E3420" t="inlineStr">
        <is>
          <t>ALVESTA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60890-2021</t>
        </is>
      </c>
      <c r="B3421" s="1" t="n">
        <v>44497</v>
      </c>
      <c r="C3421" s="1" t="n">
        <v>45845</v>
      </c>
      <c r="D3421" t="inlineStr">
        <is>
          <t>KRONOBERGS LÄN</t>
        </is>
      </c>
      <c r="E3421" t="inlineStr">
        <is>
          <t>LJUNGBY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61098-2021</t>
        </is>
      </c>
      <c r="B3422" s="1" t="n">
        <v>44498</v>
      </c>
      <c r="C3422" s="1" t="n">
        <v>45845</v>
      </c>
      <c r="D3422" t="inlineStr">
        <is>
          <t>KRONOBERGS LÄN</t>
        </is>
      </c>
      <c r="E3422" t="inlineStr">
        <is>
          <t>LJUNGBY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61215-2021</t>
        </is>
      </c>
      <c r="B3423" s="1" t="n">
        <v>44498</v>
      </c>
      <c r="C3423" s="1" t="n">
        <v>45845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61173-2021</t>
        </is>
      </c>
      <c r="B3424" s="1" t="n">
        <v>44498</v>
      </c>
      <c r="C3424" s="1" t="n">
        <v>45845</v>
      </c>
      <c r="D3424" t="inlineStr">
        <is>
          <t>KRONOBERGS LÄN</t>
        </is>
      </c>
      <c r="E3424" t="inlineStr">
        <is>
          <t>MARKARYD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61084-2021</t>
        </is>
      </c>
      <c r="B3425" s="1" t="n">
        <v>44498</v>
      </c>
      <c r="C3425" s="1" t="n">
        <v>45845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61274-2021</t>
        </is>
      </c>
      <c r="B3426" s="1" t="n">
        <v>44498</v>
      </c>
      <c r="C3426" s="1" t="n">
        <v>45845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61339-2021</t>
        </is>
      </c>
      <c r="B3427" s="1" t="n">
        <v>44498</v>
      </c>
      <c r="C3427" s="1" t="n">
        <v>45845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61347-2021</t>
        </is>
      </c>
      <c r="B3428" s="1" t="n">
        <v>44498</v>
      </c>
      <c r="C3428" s="1" t="n">
        <v>45845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61585-2021</t>
        </is>
      </c>
      <c r="B3429" s="1" t="n">
        <v>44501</v>
      </c>
      <c r="C3429" s="1" t="n">
        <v>45845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60357-2021</t>
        </is>
      </c>
      <c r="B3430" s="1" t="n">
        <v>44501</v>
      </c>
      <c r="C3430" s="1" t="n">
        <v>45845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61964-2021</t>
        </is>
      </c>
      <c r="B3431" s="1" t="n">
        <v>44502</v>
      </c>
      <c r="C3431" s="1" t="n">
        <v>45845</v>
      </c>
      <c r="D3431" t="inlineStr">
        <is>
          <t>KRONOBERGS LÄN</t>
        </is>
      </c>
      <c r="E3431" t="inlineStr">
        <is>
          <t>VÄXJÖ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61906-2021</t>
        </is>
      </c>
      <c r="B3432" s="1" t="n">
        <v>44502</v>
      </c>
      <c r="C3432" s="1" t="n">
        <v>45845</v>
      </c>
      <c r="D3432" t="inlineStr">
        <is>
          <t>KRONOBERGS LÄN</t>
        </is>
      </c>
      <c r="E3432" t="inlineStr">
        <is>
          <t>LJUNGBY</t>
        </is>
      </c>
      <c r="G3432" t="n">
        <v>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62136-2021</t>
        </is>
      </c>
      <c r="B3433" s="1" t="n">
        <v>44502</v>
      </c>
      <c r="C3433" s="1" t="n">
        <v>45845</v>
      </c>
      <c r="D3433" t="inlineStr">
        <is>
          <t>KRONOBERGS LÄN</t>
        </is>
      </c>
      <c r="E3433" t="inlineStr">
        <is>
          <t>ALVESTA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62163-2021</t>
        </is>
      </c>
      <c r="B3434" s="1" t="n">
        <v>44502</v>
      </c>
      <c r="C3434" s="1" t="n">
        <v>45845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62164-2021</t>
        </is>
      </c>
      <c r="B3435" s="1" t="n">
        <v>44502</v>
      </c>
      <c r="C3435" s="1" t="n">
        <v>45845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62160-2021</t>
        </is>
      </c>
      <c r="B3436" s="1" t="n">
        <v>44502</v>
      </c>
      <c r="C3436" s="1" t="n">
        <v>45845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62159-2021</t>
        </is>
      </c>
      <c r="B3437" s="1" t="n">
        <v>44502</v>
      </c>
      <c r="C3437" s="1" t="n">
        <v>45845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62241-2021</t>
        </is>
      </c>
      <c r="B3438" s="1" t="n">
        <v>44503</v>
      </c>
      <c r="C3438" s="1" t="n">
        <v>45845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62403-2021</t>
        </is>
      </c>
      <c r="B3439" s="1" t="n">
        <v>44503</v>
      </c>
      <c r="C3439" s="1" t="n">
        <v>45845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62244-2021</t>
        </is>
      </c>
      <c r="B3440" s="1" t="n">
        <v>44503</v>
      </c>
      <c r="C3440" s="1" t="n">
        <v>45845</v>
      </c>
      <c r="D3440" t="inlineStr">
        <is>
          <t>KRONOBERGS LÄN</t>
        </is>
      </c>
      <c r="E3440" t="inlineStr">
        <is>
          <t>ÄLMHULT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62624-2021</t>
        </is>
      </c>
      <c r="B3441" s="1" t="n">
        <v>44503</v>
      </c>
      <c r="C3441" s="1" t="n">
        <v>45845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62479-2021</t>
        </is>
      </c>
      <c r="B3442" s="1" t="n">
        <v>44503</v>
      </c>
      <c r="C3442" s="1" t="n">
        <v>45845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62514-2021</t>
        </is>
      </c>
      <c r="B3443" s="1" t="n">
        <v>44503</v>
      </c>
      <c r="C3443" s="1" t="n">
        <v>45845</v>
      </c>
      <c r="D3443" t="inlineStr">
        <is>
          <t>KRONOBERGS LÄN</t>
        </is>
      </c>
      <c r="E3443" t="inlineStr">
        <is>
          <t>UPPVIDINGE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62629-2021</t>
        </is>
      </c>
      <c r="B3444" s="1" t="n">
        <v>44503</v>
      </c>
      <c r="C3444" s="1" t="n">
        <v>45845</v>
      </c>
      <c r="D3444" t="inlineStr">
        <is>
          <t>KRONOBERGS LÄN</t>
        </is>
      </c>
      <c r="E3444" t="inlineStr">
        <is>
          <t>ÄLMHULT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62695-2021</t>
        </is>
      </c>
      <c r="B3445" s="1" t="n">
        <v>44504</v>
      </c>
      <c r="C3445" s="1" t="n">
        <v>45845</v>
      </c>
      <c r="D3445" t="inlineStr">
        <is>
          <t>KRONOBERGS LÄN</t>
        </is>
      </c>
      <c r="E3445" t="inlineStr">
        <is>
          <t>ALVESTA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62704-2021</t>
        </is>
      </c>
      <c r="B3446" s="1" t="n">
        <v>44504</v>
      </c>
      <c r="C3446" s="1" t="n">
        <v>45845</v>
      </c>
      <c r="D3446" t="inlineStr">
        <is>
          <t>KRONOBERGS LÄN</t>
        </is>
      </c>
      <c r="E3446" t="inlineStr">
        <is>
          <t>ALVESTA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62684-2021</t>
        </is>
      </c>
      <c r="B3447" s="1" t="n">
        <v>44504</v>
      </c>
      <c r="C3447" s="1" t="n">
        <v>45845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63078-2021</t>
        </is>
      </c>
      <c r="B3448" s="1" t="n">
        <v>44505</v>
      </c>
      <c r="C3448" s="1" t="n">
        <v>45845</v>
      </c>
      <c r="D3448" t="inlineStr">
        <is>
          <t>KRONOBERGS LÄN</t>
        </is>
      </c>
      <c r="E3448" t="inlineStr">
        <is>
          <t>TINGSRYD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63330-2021</t>
        </is>
      </c>
      <c r="B3449" s="1" t="n">
        <v>44508</v>
      </c>
      <c r="C3449" s="1" t="n">
        <v>45845</v>
      </c>
      <c r="D3449" t="inlineStr">
        <is>
          <t>KRONOBERGS LÄN</t>
        </is>
      </c>
      <c r="E3449" t="inlineStr">
        <is>
          <t>LESSEBO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63278-2021</t>
        </is>
      </c>
      <c r="B3450" s="1" t="n">
        <v>44508</v>
      </c>
      <c r="C3450" s="1" t="n">
        <v>45845</v>
      </c>
      <c r="D3450" t="inlineStr">
        <is>
          <t>KRONOBERGS LÄN</t>
        </is>
      </c>
      <c r="E3450" t="inlineStr">
        <is>
          <t>VÄXJÖ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63296-2021</t>
        </is>
      </c>
      <c r="B3451" s="1" t="n">
        <v>44508</v>
      </c>
      <c r="C3451" s="1" t="n">
        <v>45845</v>
      </c>
      <c r="D3451" t="inlineStr">
        <is>
          <t>KRONOBERGS LÄN</t>
        </is>
      </c>
      <c r="E3451" t="inlineStr">
        <is>
          <t>LJUNGBY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63354-2021</t>
        </is>
      </c>
      <c r="B3452" s="1" t="n">
        <v>44508</v>
      </c>
      <c r="C3452" s="1" t="n">
        <v>45845</v>
      </c>
      <c r="D3452" t="inlineStr">
        <is>
          <t>KRONOBERGS LÄN</t>
        </is>
      </c>
      <c r="E3452" t="inlineStr">
        <is>
          <t>LJUNGBY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63295-2021</t>
        </is>
      </c>
      <c r="B3453" s="1" t="n">
        <v>44508</v>
      </c>
      <c r="C3453" s="1" t="n">
        <v>45845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63571-2021</t>
        </is>
      </c>
      <c r="B3454" s="1" t="n">
        <v>44508</v>
      </c>
      <c r="C3454" s="1" t="n">
        <v>45845</v>
      </c>
      <c r="D3454" t="inlineStr">
        <is>
          <t>KRONOBERGS LÄN</t>
        </is>
      </c>
      <c r="E3454" t="inlineStr">
        <is>
          <t>TINGSRYD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63305-2021</t>
        </is>
      </c>
      <c r="B3455" s="1" t="n">
        <v>44508</v>
      </c>
      <c r="C3455" s="1" t="n">
        <v>45845</v>
      </c>
      <c r="D3455" t="inlineStr">
        <is>
          <t>KRONOBERGS LÄN</t>
        </is>
      </c>
      <c r="E3455" t="inlineStr">
        <is>
          <t>UPPVIDINGE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63420-2021</t>
        </is>
      </c>
      <c r="B3456" s="1" t="n">
        <v>44508</v>
      </c>
      <c r="C3456" s="1" t="n">
        <v>45845</v>
      </c>
      <c r="D3456" t="inlineStr">
        <is>
          <t>KRONOBERGS LÄN</t>
        </is>
      </c>
      <c r="E3456" t="inlineStr">
        <is>
          <t>VÄXJÖ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63541-2021</t>
        </is>
      </c>
      <c r="B3457" s="1" t="n">
        <v>44508</v>
      </c>
      <c r="C3457" s="1" t="n">
        <v>45845</v>
      </c>
      <c r="D3457" t="inlineStr">
        <is>
          <t>KRONOBERGS LÄN</t>
        </is>
      </c>
      <c r="E3457" t="inlineStr">
        <is>
          <t>MARKARYD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63572-2021</t>
        </is>
      </c>
      <c r="B3458" s="1" t="n">
        <v>44508</v>
      </c>
      <c r="C3458" s="1" t="n">
        <v>45845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63544-2021</t>
        </is>
      </c>
      <c r="B3459" s="1" t="n">
        <v>44508</v>
      </c>
      <c r="C3459" s="1" t="n">
        <v>45845</v>
      </c>
      <c r="D3459" t="inlineStr">
        <is>
          <t>KRONOBERGS LÄN</t>
        </is>
      </c>
      <c r="E3459" t="inlineStr">
        <is>
          <t>LESSEBO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63569-2021</t>
        </is>
      </c>
      <c r="B3460" s="1" t="n">
        <v>44508</v>
      </c>
      <c r="C3460" s="1" t="n">
        <v>45845</v>
      </c>
      <c r="D3460" t="inlineStr">
        <is>
          <t>KRONOBERGS LÄN</t>
        </is>
      </c>
      <c r="E3460" t="inlineStr">
        <is>
          <t>ÄLMHULT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63707-2021</t>
        </is>
      </c>
      <c r="B3461" s="1" t="n">
        <v>44509</v>
      </c>
      <c r="C3461" s="1" t="n">
        <v>45845</v>
      </c>
      <c r="D3461" t="inlineStr">
        <is>
          <t>KRONOBERGS LÄN</t>
        </is>
      </c>
      <c r="E3461" t="inlineStr">
        <is>
          <t>LJUNGBY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63746-2021</t>
        </is>
      </c>
      <c r="B3462" s="1" t="n">
        <v>44509</v>
      </c>
      <c r="C3462" s="1" t="n">
        <v>45845</v>
      </c>
      <c r="D3462" t="inlineStr">
        <is>
          <t>KRONOBERGS LÄN</t>
        </is>
      </c>
      <c r="E3462" t="inlineStr">
        <is>
          <t>ÄLMHULT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63824-2021</t>
        </is>
      </c>
      <c r="B3463" s="1" t="n">
        <v>44509</v>
      </c>
      <c r="C3463" s="1" t="n">
        <v>45845</v>
      </c>
      <c r="D3463" t="inlineStr">
        <is>
          <t>KRONOBERGS LÄN</t>
        </is>
      </c>
      <c r="E3463" t="inlineStr">
        <is>
          <t>TINGSRYD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63927-2021</t>
        </is>
      </c>
      <c r="B3464" s="1" t="n">
        <v>44509</v>
      </c>
      <c r="C3464" s="1" t="n">
        <v>45845</v>
      </c>
      <c r="D3464" t="inlineStr">
        <is>
          <t>KRONOBERGS LÄN</t>
        </is>
      </c>
      <c r="E3464" t="inlineStr">
        <is>
          <t>LESSEBO</t>
        </is>
      </c>
      <c r="F3464" t="inlineStr">
        <is>
          <t>Sveaskog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64153-2021</t>
        </is>
      </c>
      <c r="B3465" s="1" t="n">
        <v>44510</v>
      </c>
      <c r="C3465" s="1" t="n">
        <v>45845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64155-2021</t>
        </is>
      </c>
      <c r="B3466" s="1" t="n">
        <v>44510</v>
      </c>
      <c r="C3466" s="1" t="n">
        <v>45845</v>
      </c>
      <c r="D3466" t="inlineStr">
        <is>
          <t>KRONOBERGS LÄN</t>
        </is>
      </c>
      <c r="E3466" t="inlineStr">
        <is>
          <t>LESSEBO</t>
        </is>
      </c>
      <c r="F3466" t="inlineStr">
        <is>
          <t>Kyrkan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64161-2021</t>
        </is>
      </c>
      <c r="B3467" s="1" t="n">
        <v>44510</v>
      </c>
      <c r="C3467" s="1" t="n">
        <v>45845</v>
      </c>
      <c r="D3467" t="inlineStr">
        <is>
          <t>KRONOBERGS LÄN</t>
        </is>
      </c>
      <c r="E3467" t="inlineStr">
        <is>
          <t>LESSEBO</t>
        </is>
      </c>
      <c r="G3467" t="n">
        <v>0.3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64280-2021</t>
        </is>
      </c>
      <c r="B3468" s="1" t="n">
        <v>44510</v>
      </c>
      <c r="C3468" s="1" t="n">
        <v>45845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64233-2021</t>
        </is>
      </c>
      <c r="B3469" s="1" t="n">
        <v>44510</v>
      </c>
      <c r="C3469" s="1" t="n">
        <v>45845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64288-2021</t>
        </is>
      </c>
      <c r="B3470" s="1" t="n">
        <v>44510</v>
      </c>
      <c r="C3470" s="1" t="n">
        <v>45845</v>
      </c>
      <c r="D3470" t="inlineStr">
        <is>
          <t>KRONOBERGS LÄN</t>
        </is>
      </c>
      <c r="E3470" t="inlineStr">
        <is>
          <t>LJUNGBY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64688-2021</t>
        </is>
      </c>
      <c r="B3471" s="1" t="n">
        <v>44510</v>
      </c>
      <c r="C3471" s="1" t="n">
        <v>45845</v>
      </c>
      <c r="D3471" t="inlineStr">
        <is>
          <t>KRONOBERGS LÄN</t>
        </is>
      </c>
      <c r="E3471" t="inlineStr">
        <is>
          <t>UPPVIDINGE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64679-2021</t>
        </is>
      </c>
      <c r="B3472" s="1" t="n">
        <v>44510</v>
      </c>
      <c r="C3472" s="1" t="n">
        <v>45845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64326-2021</t>
        </is>
      </c>
      <c r="B3473" s="1" t="n">
        <v>44511</v>
      </c>
      <c r="C3473" s="1" t="n">
        <v>45845</v>
      </c>
      <c r="D3473" t="inlineStr">
        <is>
          <t>KRONOBERGS LÄN</t>
        </is>
      </c>
      <c r="E3473" t="inlineStr">
        <is>
          <t>VÄXJÖ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64462-2021</t>
        </is>
      </c>
      <c r="B3474" s="1" t="n">
        <v>44511</v>
      </c>
      <c r="C3474" s="1" t="n">
        <v>45845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64459-2021</t>
        </is>
      </c>
      <c r="B3475" s="1" t="n">
        <v>44511</v>
      </c>
      <c r="C3475" s="1" t="n">
        <v>45845</v>
      </c>
      <c r="D3475" t="inlineStr">
        <is>
          <t>KRONOBERGS LÄN</t>
        </is>
      </c>
      <c r="E3475" t="inlineStr">
        <is>
          <t>ALVESTA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64428-2021</t>
        </is>
      </c>
      <c r="B3476" s="1" t="n">
        <v>44511</v>
      </c>
      <c r="C3476" s="1" t="n">
        <v>45845</v>
      </c>
      <c r="D3476" t="inlineStr">
        <is>
          <t>KRONOBERGS LÄN</t>
        </is>
      </c>
      <c r="E3476" t="inlineStr">
        <is>
          <t>ALVESTA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64624-2021</t>
        </is>
      </c>
      <c r="B3477" s="1" t="n">
        <v>44511</v>
      </c>
      <c r="C3477" s="1" t="n">
        <v>45845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64618-2021</t>
        </is>
      </c>
      <c r="B3478" s="1" t="n">
        <v>44511</v>
      </c>
      <c r="C3478" s="1" t="n">
        <v>45845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64797-2021</t>
        </is>
      </c>
      <c r="B3479" s="1" t="n">
        <v>44512</v>
      </c>
      <c r="C3479" s="1" t="n">
        <v>45845</v>
      </c>
      <c r="D3479" t="inlineStr">
        <is>
          <t>KRONOBERGS LÄN</t>
        </is>
      </c>
      <c r="E3479" t="inlineStr">
        <is>
          <t>ALVESTA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64689-2021</t>
        </is>
      </c>
      <c r="B3480" s="1" t="n">
        <v>44512</v>
      </c>
      <c r="C3480" s="1" t="n">
        <v>45845</v>
      </c>
      <c r="D3480" t="inlineStr">
        <is>
          <t>KRONOBERGS LÄN</t>
        </is>
      </c>
      <c r="E3480" t="inlineStr">
        <is>
          <t>ÄLMHULT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64845-2021</t>
        </is>
      </c>
      <c r="B3481" s="1" t="n">
        <v>44512</v>
      </c>
      <c r="C3481" s="1" t="n">
        <v>45845</v>
      </c>
      <c r="D3481" t="inlineStr">
        <is>
          <t>KRONOBERGS LÄN</t>
        </is>
      </c>
      <c r="E3481" t="inlineStr">
        <is>
          <t>VÄXJÖ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64686-2021</t>
        </is>
      </c>
      <c r="B3482" s="1" t="n">
        <v>44512</v>
      </c>
      <c r="C3482" s="1" t="n">
        <v>45845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64777-2021</t>
        </is>
      </c>
      <c r="B3483" s="1" t="n">
        <v>44512</v>
      </c>
      <c r="C3483" s="1" t="n">
        <v>45845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65192-2021</t>
        </is>
      </c>
      <c r="B3484" s="1" t="n">
        <v>44515</v>
      </c>
      <c r="C3484" s="1" t="n">
        <v>45845</v>
      </c>
      <c r="D3484" t="inlineStr">
        <is>
          <t>KRONOBERGS LÄN</t>
        </is>
      </c>
      <c r="E3484" t="inlineStr">
        <is>
          <t>ÄLMHULT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65037-2021</t>
        </is>
      </c>
      <c r="B3485" s="1" t="n">
        <v>44515</v>
      </c>
      <c r="C3485" s="1" t="n">
        <v>45845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65062-2021</t>
        </is>
      </c>
      <c r="B3486" s="1" t="n">
        <v>44515</v>
      </c>
      <c r="C3486" s="1" t="n">
        <v>45845</v>
      </c>
      <c r="D3486" t="inlineStr">
        <is>
          <t>KRONOBERGS LÄN</t>
        </is>
      </c>
      <c r="E3486" t="inlineStr">
        <is>
          <t>LJUNGBY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65204-2021</t>
        </is>
      </c>
      <c r="B3487" s="1" t="n">
        <v>44515</v>
      </c>
      <c r="C3487" s="1" t="n">
        <v>45845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65066-2021</t>
        </is>
      </c>
      <c r="B3488" s="1" t="n">
        <v>44515</v>
      </c>
      <c r="C3488" s="1" t="n">
        <v>45845</v>
      </c>
      <c r="D3488" t="inlineStr">
        <is>
          <t>KRONOBERGS LÄN</t>
        </is>
      </c>
      <c r="E3488" t="inlineStr">
        <is>
          <t>LJUNGBY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65221-2021</t>
        </is>
      </c>
      <c r="B3489" s="1" t="n">
        <v>44515</v>
      </c>
      <c r="C3489" s="1" t="n">
        <v>45845</v>
      </c>
      <c r="D3489" t="inlineStr">
        <is>
          <t>KRONOBERGS LÄN</t>
        </is>
      </c>
      <c r="E3489" t="inlineStr">
        <is>
          <t>TINGSRYD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65206-2021</t>
        </is>
      </c>
      <c r="B3490" s="1" t="n">
        <v>44515</v>
      </c>
      <c r="C3490" s="1" t="n">
        <v>45845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65212-2021</t>
        </is>
      </c>
      <c r="B3491" s="1" t="n">
        <v>44515</v>
      </c>
      <c r="C3491" s="1" t="n">
        <v>45845</v>
      </c>
      <c r="D3491" t="inlineStr">
        <is>
          <t>KRONOBERGS LÄN</t>
        </is>
      </c>
      <c r="E3491" t="inlineStr">
        <is>
          <t>TINGSRYD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65372-2021</t>
        </is>
      </c>
      <c r="B3492" s="1" t="n">
        <v>44515</v>
      </c>
      <c r="C3492" s="1" t="n">
        <v>45845</v>
      </c>
      <c r="D3492" t="inlineStr">
        <is>
          <t>KRONOBERGS LÄN</t>
        </is>
      </c>
      <c r="E3492" t="inlineStr">
        <is>
          <t>ALVESTA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65371-2021</t>
        </is>
      </c>
      <c r="B3493" s="1" t="n">
        <v>44515</v>
      </c>
      <c r="C3493" s="1" t="n">
        <v>45845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65581-2021</t>
        </is>
      </c>
      <c r="B3494" s="1" t="n">
        <v>44516</v>
      </c>
      <c r="C3494" s="1" t="n">
        <v>45845</v>
      </c>
      <c r="D3494" t="inlineStr">
        <is>
          <t>KRONOBERGS LÄN</t>
        </is>
      </c>
      <c r="E3494" t="inlineStr">
        <is>
          <t>MARKARYD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65672-2021</t>
        </is>
      </c>
      <c r="B3495" s="1" t="n">
        <v>44516</v>
      </c>
      <c r="C3495" s="1" t="n">
        <v>45845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65664-2021</t>
        </is>
      </c>
      <c r="B3496" s="1" t="n">
        <v>44516</v>
      </c>
      <c r="C3496" s="1" t="n">
        <v>45845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65681-2021</t>
        </is>
      </c>
      <c r="B3497" s="1" t="n">
        <v>44516</v>
      </c>
      <c r="C3497" s="1" t="n">
        <v>45845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65870-2021</t>
        </is>
      </c>
      <c r="B3498" s="1" t="n">
        <v>44517</v>
      </c>
      <c r="C3498" s="1" t="n">
        <v>45845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65988-2021</t>
        </is>
      </c>
      <c r="B3499" s="1" t="n">
        <v>44517</v>
      </c>
      <c r="C3499" s="1" t="n">
        <v>45845</v>
      </c>
      <c r="D3499" t="inlineStr">
        <is>
          <t>KRONOBERGS LÄN</t>
        </is>
      </c>
      <c r="E3499" t="inlineStr">
        <is>
          <t>LJUNGBY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66089-2021</t>
        </is>
      </c>
      <c r="B3500" s="1" t="n">
        <v>44517</v>
      </c>
      <c r="C3500" s="1" t="n">
        <v>45845</v>
      </c>
      <c r="D3500" t="inlineStr">
        <is>
          <t>KRONOBERGS LÄN</t>
        </is>
      </c>
      <c r="E3500" t="inlineStr">
        <is>
          <t>UPPVIDINGE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66182-2021</t>
        </is>
      </c>
      <c r="B3501" s="1" t="n">
        <v>44518</v>
      </c>
      <c r="C3501" s="1" t="n">
        <v>45845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66328-2021</t>
        </is>
      </c>
      <c r="B3502" s="1" t="n">
        <v>44518</v>
      </c>
      <c r="C3502" s="1" t="n">
        <v>45845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66294-2021</t>
        </is>
      </c>
      <c r="B3503" s="1" t="n">
        <v>44518</v>
      </c>
      <c r="C3503" s="1" t="n">
        <v>45845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66390-2021</t>
        </is>
      </c>
      <c r="B3504" s="1" t="n">
        <v>44518</v>
      </c>
      <c r="C3504" s="1" t="n">
        <v>45845</v>
      </c>
      <c r="D3504" t="inlineStr">
        <is>
          <t>KRONOBERGS LÄN</t>
        </is>
      </c>
      <c r="E3504" t="inlineStr">
        <is>
          <t>LESSEBO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66548-2021</t>
        </is>
      </c>
      <c r="B3505" s="1" t="n">
        <v>44519</v>
      </c>
      <c r="C3505" s="1" t="n">
        <v>45845</v>
      </c>
      <c r="D3505" t="inlineStr">
        <is>
          <t>KRONOBERGS LÄN</t>
        </is>
      </c>
      <c r="E3505" t="inlineStr">
        <is>
          <t>TINGSRYD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66677-2021</t>
        </is>
      </c>
      <c r="B3506" s="1" t="n">
        <v>44519</v>
      </c>
      <c r="C3506" s="1" t="n">
        <v>45845</v>
      </c>
      <c r="D3506" t="inlineStr">
        <is>
          <t>KRONOBERGS LÄN</t>
        </is>
      </c>
      <c r="E3506" t="inlineStr">
        <is>
          <t>VÄXJÖ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66863-2021</t>
        </is>
      </c>
      <c r="B3507" s="1" t="n">
        <v>44522</v>
      </c>
      <c r="C3507" s="1" t="n">
        <v>45845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66862-2021</t>
        </is>
      </c>
      <c r="B3508" s="1" t="n">
        <v>44522</v>
      </c>
      <c r="C3508" s="1" t="n">
        <v>45845</v>
      </c>
      <c r="D3508" t="inlineStr">
        <is>
          <t>KRONOBERGS LÄN</t>
        </is>
      </c>
      <c r="E3508" t="inlineStr">
        <is>
          <t>VÄXJÖ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66897-2021</t>
        </is>
      </c>
      <c r="B3509" s="1" t="n">
        <v>44522</v>
      </c>
      <c r="C3509" s="1" t="n">
        <v>45845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66829-2021</t>
        </is>
      </c>
      <c r="B3510" s="1" t="n">
        <v>44522</v>
      </c>
      <c r="C3510" s="1" t="n">
        <v>45845</v>
      </c>
      <c r="D3510" t="inlineStr">
        <is>
          <t>KRONOBERGS LÄN</t>
        </is>
      </c>
      <c r="E3510" t="inlineStr">
        <is>
          <t>TINGSRYD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66935-2021</t>
        </is>
      </c>
      <c r="B3511" s="1" t="n">
        <v>44522</v>
      </c>
      <c r="C3511" s="1" t="n">
        <v>45845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66789-2021</t>
        </is>
      </c>
      <c r="B3512" s="1" t="n">
        <v>44522</v>
      </c>
      <c r="C3512" s="1" t="n">
        <v>45845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66902-2021</t>
        </is>
      </c>
      <c r="B3513" s="1" t="n">
        <v>44522</v>
      </c>
      <c r="C3513" s="1" t="n">
        <v>45845</v>
      </c>
      <c r="D3513" t="inlineStr">
        <is>
          <t>KRONOBERGS LÄN</t>
        </is>
      </c>
      <c r="E3513" t="inlineStr">
        <is>
          <t>LESSEBO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66968-2021</t>
        </is>
      </c>
      <c r="B3514" s="1" t="n">
        <v>44522</v>
      </c>
      <c r="C3514" s="1" t="n">
        <v>45845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66981-2021</t>
        </is>
      </c>
      <c r="B3515" s="1" t="n">
        <v>44522</v>
      </c>
      <c r="C3515" s="1" t="n">
        <v>45845</v>
      </c>
      <c r="D3515" t="inlineStr">
        <is>
          <t>KRONOBERGS LÄN</t>
        </is>
      </c>
      <c r="E3515" t="inlineStr">
        <is>
          <t>UPPVIDINGE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66966-2021</t>
        </is>
      </c>
      <c r="B3516" s="1" t="n">
        <v>44522</v>
      </c>
      <c r="C3516" s="1" t="n">
        <v>45845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67159-2021</t>
        </is>
      </c>
      <c r="B3517" s="1" t="n">
        <v>44523</v>
      </c>
      <c r="C3517" s="1" t="n">
        <v>45845</v>
      </c>
      <c r="D3517" t="inlineStr">
        <is>
          <t>KRONOBERGS LÄN</t>
        </is>
      </c>
      <c r="E3517" t="inlineStr">
        <is>
          <t>TINGSRYD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67158-2021</t>
        </is>
      </c>
      <c r="B3518" s="1" t="n">
        <v>44523</v>
      </c>
      <c r="C3518" s="1" t="n">
        <v>45845</v>
      </c>
      <c r="D3518" t="inlineStr">
        <is>
          <t>KRONOBERGS LÄN</t>
        </is>
      </c>
      <c r="E3518" t="inlineStr">
        <is>
          <t>TINGSRYD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67257-2021</t>
        </is>
      </c>
      <c r="B3519" s="1" t="n">
        <v>44523</v>
      </c>
      <c r="C3519" s="1" t="n">
        <v>45845</v>
      </c>
      <c r="D3519" t="inlineStr">
        <is>
          <t>KRONOBERGS LÄN</t>
        </is>
      </c>
      <c r="E3519" t="inlineStr">
        <is>
          <t>ÄLMHULT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67156-2021</t>
        </is>
      </c>
      <c r="B3520" s="1" t="n">
        <v>44523</v>
      </c>
      <c r="C3520" s="1" t="n">
        <v>45845</v>
      </c>
      <c r="D3520" t="inlineStr">
        <is>
          <t>KRONOBERGS LÄN</t>
        </is>
      </c>
      <c r="E3520" t="inlineStr">
        <is>
          <t>UPPVIDINGE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67192-2021</t>
        </is>
      </c>
      <c r="B3521" s="1" t="n">
        <v>44523</v>
      </c>
      <c r="C3521" s="1" t="n">
        <v>45845</v>
      </c>
      <c r="D3521" t="inlineStr">
        <is>
          <t>KRONOBERGS LÄN</t>
        </is>
      </c>
      <c r="E3521" t="inlineStr">
        <is>
          <t>ALVESTA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67204-2021</t>
        </is>
      </c>
      <c r="B3522" s="1" t="n">
        <v>44523</v>
      </c>
      <c r="C3522" s="1" t="n">
        <v>45845</v>
      </c>
      <c r="D3522" t="inlineStr">
        <is>
          <t>KRONOBERGS LÄN</t>
        </is>
      </c>
      <c r="E3522" t="inlineStr">
        <is>
          <t>LJUNGBY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67304-2021</t>
        </is>
      </c>
      <c r="B3523" s="1" t="n">
        <v>44523</v>
      </c>
      <c r="C3523" s="1" t="n">
        <v>45845</v>
      </c>
      <c r="D3523" t="inlineStr">
        <is>
          <t>KRONOBERGS LÄN</t>
        </is>
      </c>
      <c r="E3523" t="inlineStr">
        <is>
          <t>VÄXJÖ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67331-2021</t>
        </is>
      </c>
      <c r="B3524" s="1" t="n">
        <v>44523</v>
      </c>
      <c r="C3524" s="1" t="n">
        <v>45845</v>
      </c>
      <c r="D3524" t="inlineStr">
        <is>
          <t>KRONOBERGS LÄN</t>
        </is>
      </c>
      <c r="E3524" t="inlineStr">
        <is>
          <t>ALVESTA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67344-2021</t>
        </is>
      </c>
      <c r="B3525" s="1" t="n">
        <v>44523</v>
      </c>
      <c r="C3525" s="1" t="n">
        <v>45845</v>
      </c>
      <c r="D3525" t="inlineStr">
        <is>
          <t>KRONOBERGS LÄN</t>
        </is>
      </c>
      <c r="E3525" t="inlineStr">
        <is>
          <t>ÄLMHULT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67427-2021</t>
        </is>
      </c>
      <c r="B3526" s="1" t="n">
        <v>44524</v>
      </c>
      <c r="C3526" s="1" t="n">
        <v>45845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67506-2021</t>
        </is>
      </c>
      <c r="B3527" s="1" t="n">
        <v>44524</v>
      </c>
      <c r="C3527" s="1" t="n">
        <v>45845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67565-2021</t>
        </is>
      </c>
      <c r="B3528" s="1" t="n">
        <v>44524</v>
      </c>
      <c r="C3528" s="1" t="n">
        <v>45845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67593-2021</t>
        </is>
      </c>
      <c r="B3529" s="1" t="n">
        <v>44524</v>
      </c>
      <c r="C3529" s="1" t="n">
        <v>45845</v>
      </c>
      <c r="D3529" t="inlineStr">
        <is>
          <t>KRONOBERGS LÄN</t>
        </is>
      </c>
      <c r="E3529" t="inlineStr">
        <is>
          <t>TINGSRYD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67493-2021</t>
        </is>
      </c>
      <c r="B3530" s="1" t="n">
        <v>44524</v>
      </c>
      <c r="C3530" s="1" t="n">
        <v>45845</v>
      </c>
      <c r="D3530" t="inlineStr">
        <is>
          <t>KRONOBERGS LÄN</t>
        </is>
      </c>
      <c r="E3530" t="inlineStr">
        <is>
          <t>UPPVIDINGE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67585-2021</t>
        </is>
      </c>
      <c r="B3531" s="1" t="n">
        <v>44524</v>
      </c>
      <c r="C3531" s="1" t="n">
        <v>45845</v>
      </c>
      <c r="D3531" t="inlineStr">
        <is>
          <t>KRONOBERGS LÄN</t>
        </is>
      </c>
      <c r="E3531" t="inlineStr">
        <is>
          <t>UPPVIDINGE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67595-2021</t>
        </is>
      </c>
      <c r="B3532" s="1" t="n">
        <v>44524</v>
      </c>
      <c r="C3532" s="1" t="n">
        <v>45845</v>
      </c>
      <c r="D3532" t="inlineStr">
        <is>
          <t>KRONOBERGS LÄN</t>
        </is>
      </c>
      <c r="E3532" t="inlineStr">
        <is>
          <t>UPPVIDINGE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67522-2021</t>
        </is>
      </c>
      <c r="B3533" s="1" t="n">
        <v>44524</v>
      </c>
      <c r="C3533" s="1" t="n">
        <v>45845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67589-2021</t>
        </is>
      </c>
      <c r="B3534" s="1" t="n">
        <v>44524</v>
      </c>
      <c r="C3534" s="1" t="n">
        <v>45845</v>
      </c>
      <c r="D3534" t="inlineStr">
        <is>
          <t>KRONOBERGS LÄN</t>
        </is>
      </c>
      <c r="E3534" t="inlineStr">
        <is>
          <t>VÄXJÖ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67619-2021</t>
        </is>
      </c>
      <c r="B3535" s="1" t="n">
        <v>44524</v>
      </c>
      <c r="C3535" s="1" t="n">
        <v>45845</v>
      </c>
      <c r="D3535" t="inlineStr">
        <is>
          <t>KRONOBERGS LÄN</t>
        </is>
      </c>
      <c r="E3535" t="inlineStr">
        <is>
          <t>UPPVIDINGE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67620-2021</t>
        </is>
      </c>
      <c r="B3536" s="1" t="n">
        <v>44524</v>
      </c>
      <c r="C3536" s="1" t="n">
        <v>45845</v>
      </c>
      <c r="D3536" t="inlineStr">
        <is>
          <t>KRONOBERGS LÄN</t>
        </is>
      </c>
      <c r="E3536" t="inlineStr">
        <is>
          <t>UPPVIDINGE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67618-2021</t>
        </is>
      </c>
      <c r="B3537" s="1" t="n">
        <v>44524</v>
      </c>
      <c r="C3537" s="1" t="n">
        <v>45845</v>
      </c>
      <c r="D3537" t="inlineStr">
        <is>
          <t>KRONOBERGS LÄN</t>
        </is>
      </c>
      <c r="E3537" t="inlineStr">
        <is>
          <t>UPPVIDINGE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67621-2021</t>
        </is>
      </c>
      <c r="B3538" s="1" t="n">
        <v>44524</v>
      </c>
      <c r="C3538" s="1" t="n">
        <v>45845</v>
      </c>
      <c r="D3538" t="inlineStr">
        <is>
          <t>KRONOBERGS LÄN</t>
        </is>
      </c>
      <c r="E3538" t="inlineStr">
        <is>
          <t>UPPVIDINGE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67714-2021</t>
        </is>
      </c>
      <c r="B3539" s="1" t="n">
        <v>44524</v>
      </c>
      <c r="C3539" s="1" t="n">
        <v>45845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18.8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67820-2021</t>
        </is>
      </c>
      <c r="B3540" s="1" t="n">
        <v>44525</v>
      </c>
      <c r="C3540" s="1" t="n">
        <v>45845</v>
      </c>
      <c r="D3540" t="inlineStr">
        <is>
          <t>KRONOBERGS LÄN</t>
        </is>
      </c>
      <c r="E3540" t="inlineStr">
        <is>
          <t>LJUNGBY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67867-2021</t>
        </is>
      </c>
      <c r="B3541" s="1" t="n">
        <v>44525</v>
      </c>
      <c r="C3541" s="1" t="n">
        <v>45845</v>
      </c>
      <c r="D3541" t="inlineStr">
        <is>
          <t>KRONOBERGS LÄN</t>
        </is>
      </c>
      <c r="E3541" t="inlineStr">
        <is>
          <t>ÄLMHULT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67889-2021</t>
        </is>
      </c>
      <c r="B3542" s="1" t="n">
        <v>44525</v>
      </c>
      <c r="C3542" s="1" t="n">
        <v>45845</v>
      </c>
      <c r="D3542" t="inlineStr">
        <is>
          <t>KRONOBERGS LÄN</t>
        </is>
      </c>
      <c r="E3542" t="inlineStr">
        <is>
          <t>ALVESTA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67941-2021</t>
        </is>
      </c>
      <c r="B3543" s="1" t="n">
        <v>44525</v>
      </c>
      <c r="C3543" s="1" t="n">
        <v>45845</v>
      </c>
      <c r="D3543" t="inlineStr">
        <is>
          <t>KRONOBERGS LÄN</t>
        </is>
      </c>
      <c r="E3543" t="inlineStr">
        <is>
          <t>ÄLMHULT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68010-2021</t>
        </is>
      </c>
      <c r="B3544" s="1" t="n">
        <v>44525</v>
      </c>
      <c r="C3544" s="1" t="n">
        <v>45845</v>
      </c>
      <c r="D3544" t="inlineStr">
        <is>
          <t>KRONOBERGS LÄN</t>
        </is>
      </c>
      <c r="E3544" t="inlineStr">
        <is>
          <t>TINGSRYD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68062-2021</t>
        </is>
      </c>
      <c r="B3545" s="1" t="n">
        <v>44526</v>
      </c>
      <c r="C3545" s="1" t="n">
        <v>45845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68387-2021</t>
        </is>
      </c>
      <c r="B3546" s="1" t="n">
        <v>44526</v>
      </c>
      <c r="C3546" s="1" t="n">
        <v>45845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10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68212-2021</t>
        </is>
      </c>
      <c r="B3547" s="1" t="n">
        <v>44526</v>
      </c>
      <c r="C3547" s="1" t="n">
        <v>45845</v>
      </c>
      <c r="D3547" t="inlineStr">
        <is>
          <t>KRONOBERGS LÄN</t>
        </is>
      </c>
      <c r="E3547" t="inlineStr">
        <is>
          <t>ÄLMHULT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68189-2021</t>
        </is>
      </c>
      <c r="B3548" s="1" t="n">
        <v>44526</v>
      </c>
      <c r="C3548" s="1" t="n">
        <v>45845</v>
      </c>
      <c r="D3548" t="inlineStr">
        <is>
          <t>KRONOBERGS LÄN</t>
        </is>
      </c>
      <c r="E3548" t="inlineStr">
        <is>
          <t>ÄLMHULT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68228-2021</t>
        </is>
      </c>
      <c r="B3549" s="1" t="n">
        <v>44526</v>
      </c>
      <c r="C3549" s="1" t="n">
        <v>45845</v>
      </c>
      <c r="D3549" t="inlineStr">
        <is>
          <t>KRONOBERGS LÄN</t>
        </is>
      </c>
      <c r="E3549" t="inlineStr">
        <is>
          <t>ALVESTA</t>
        </is>
      </c>
      <c r="G3549" t="n">
        <v>6.3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68513-2021</t>
        </is>
      </c>
      <c r="B3550" s="1" t="n">
        <v>44529</v>
      </c>
      <c r="C3550" s="1" t="n">
        <v>45845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68552-2021</t>
        </is>
      </c>
      <c r="B3551" s="1" t="n">
        <v>44529</v>
      </c>
      <c r="C3551" s="1" t="n">
        <v>45845</v>
      </c>
      <c r="D3551" t="inlineStr">
        <is>
          <t>KRONOBERGS LÄN</t>
        </is>
      </c>
      <c r="E3551" t="inlineStr">
        <is>
          <t>ÄLMHULT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68568-2021</t>
        </is>
      </c>
      <c r="B3552" s="1" t="n">
        <v>44529</v>
      </c>
      <c r="C3552" s="1" t="n">
        <v>45845</v>
      </c>
      <c r="D3552" t="inlineStr">
        <is>
          <t>KRONOBERGS LÄN</t>
        </is>
      </c>
      <c r="E3552" t="inlineStr">
        <is>
          <t>LJUNGBY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68473-2021</t>
        </is>
      </c>
      <c r="B3553" s="1" t="n">
        <v>44529</v>
      </c>
      <c r="C3553" s="1" t="n">
        <v>45845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68507-2021</t>
        </is>
      </c>
      <c r="B3554" s="1" t="n">
        <v>44529</v>
      </c>
      <c r="C3554" s="1" t="n">
        <v>45845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68588-2021</t>
        </is>
      </c>
      <c r="B3555" s="1" t="n">
        <v>44529</v>
      </c>
      <c r="C3555" s="1" t="n">
        <v>45845</v>
      </c>
      <c r="D3555" t="inlineStr">
        <is>
          <t>KRONOBERGS LÄN</t>
        </is>
      </c>
      <c r="E3555" t="inlineStr">
        <is>
          <t>TINGSRYD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68681-2021</t>
        </is>
      </c>
      <c r="B3556" s="1" t="n">
        <v>44529</v>
      </c>
      <c r="C3556" s="1" t="n">
        <v>45845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68683-2021</t>
        </is>
      </c>
      <c r="B3557" s="1" t="n">
        <v>44529</v>
      </c>
      <c r="C3557" s="1" t="n">
        <v>45845</v>
      </c>
      <c r="D3557" t="inlineStr">
        <is>
          <t>KRONOBERGS LÄN</t>
        </is>
      </c>
      <c r="E3557" t="inlineStr">
        <is>
          <t>TINGSRYD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69006-2021</t>
        </is>
      </c>
      <c r="B3558" s="1" t="n">
        <v>44530</v>
      </c>
      <c r="C3558" s="1" t="n">
        <v>45845</v>
      </c>
      <c r="D3558" t="inlineStr">
        <is>
          <t>KRONOBERGS LÄN</t>
        </is>
      </c>
      <c r="E3558" t="inlineStr">
        <is>
          <t>ALVESTA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69120-2021</t>
        </is>
      </c>
      <c r="B3559" s="1" t="n">
        <v>44530</v>
      </c>
      <c r="C3559" s="1" t="n">
        <v>45845</v>
      </c>
      <c r="D3559" t="inlineStr">
        <is>
          <t>KRONOBERGS LÄN</t>
        </is>
      </c>
      <c r="E3559" t="inlineStr">
        <is>
          <t>LJUNGBY</t>
        </is>
      </c>
      <c r="G3559" t="n">
        <v>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69444-2021</t>
        </is>
      </c>
      <c r="B3560" s="1" t="n">
        <v>44531</v>
      </c>
      <c r="C3560" s="1" t="n">
        <v>45845</v>
      </c>
      <c r="D3560" t="inlineStr">
        <is>
          <t>KRONOBERGS LÄN</t>
        </is>
      </c>
      <c r="E3560" t="inlineStr">
        <is>
          <t>ÄLMHULT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69361-2021</t>
        </is>
      </c>
      <c r="B3561" s="1" t="n">
        <v>44531</v>
      </c>
      <c r="C3561" s="1" t="n">
        <v>45845</v>
      </c>
      <c r="D3561" t="inlineStr">
        <is>
          <t>KRONOBERGS LÄN</t>
        </is>
      </c>
      <c r="E3561" t="inlineStr">
        <is>
          <t>MARKARYD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69386-2021</t>
        </is>
      </c>
      <c r="B3562" s="1" t="n">
        <v>44531</v>
      </c>
      <c r="C3562" s="1" t="n">
        <v>45845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69454-2021</t>
        </is>
      </c>
      <c r="B3563" s="1" t="n">
        <v>44531</v>
      </c>
      <c r="C3563" s="1" t="n">
        <v>45845</v>
      </c>
      <c r="D3563" t="inlineStr">
        <is>
          <t>KRONOBERGS LÄN</t>
        </is>
      </c>
      <c r="E3563" t="inlineStr">
        <is>
          <t>ÄLMHULT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69586-2021</t>
        </is>
      </c>
      <c r="B3564" s="1" t="n">
        <v>44531</v>
      </c>
      <c r="C3564" s="1" t="n">
        <v>45845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Kyrkan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69700-2021</t>
        </is>
      </c>
      <c r="B3565" s="1" t="n">
        <v>44532</v>
      </c>
      <c r="C3565" s="1" t="n">
        <v>45845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69748-2021</t>
        </is>
      </c>
      <c r="B3566" s="1" t="n">
        <v>44532</v>
      </c>
      <c r="C3566" s="1" t="n">
        <v>45845</v>
      </c>
      <c r="D3566" t="inlineStr">
        <is>
          <t>KRONOBERGS LÄN</t>
        </is>
      </c>
      <c r="E3566" t="inlineStr">
        <is>
          <t>VÄXJÖ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69752-2021</t>
        </is>
      </c>
      <c r="B3567" s="1" t="n">
        <v>44532</v>
      </c>
      <c r="C3567" s="1" t="n">
        <v>45845</v>
      </c>
      <c r="D3567" t="inlineStr">
        <is>
          <t>KRONOBERGS LÄN</t>
        </is>
      </c>
      <c r="E3567" t="inlineStr">
        <is>
          <t>VÄXJÖ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69766-2021</t>
        </is>
      </c>
      <c r="B3568" s="1" t="n">
        <v>44532</v>
      </c>
      <c r="C3568" s="1" t="n">
        <v>45845</v>
      </c>
      <c r="D3568" t="inlineStr">
        <is>
          <t>KRONOBERGS LÄN</t>
        </is>
      </c>
      <c r="E3568" t="inlineStr">
        <is>
          <t>TINGSRYD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69844-2021</t>
        </is>
      </c>
      <c r="B3569" s="1" t="n">
        <v>44532</v>
      </c>
      <c r="C3569" s="1" t="n">
        <v>45845</v>
      </c>
      <c r="D3569" t="inlineStr">
        <is>
          <t>KRONOBERGS LÄN</t>
        </is>
      </c>
      <c r="E3569" t="inlineStr">
        <is>
          <t>VÄXJÖ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69842-2021</t>
        </is>
      </c>
      <c r="B3570" s="1" t="n">
        <v>44532</v>
      </c>
      <c r="C3570" s="1" t="n">
        <v>45845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69768-2021</t>
        </is>
      </c>
      <c r="B3571" s="1" t="n">
        <v>44532</v>
      </c>
      <c r="C3571" s="1" t="n">
        <v>45845</v>
      </c>
      <c r="D3571" t="inlineStr">
        <is>
          <t>KRONOBERGS LÄN</t>
        </is>
      </c>
      <c r="E3571" t="inlineStr">
        <is>
          <t>TINGSRYD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69854-2021</t>
        </is>
      </c>
      <c r="B3572" s="1" t="n">
        <v>44532</v>
      </c>
      <c r="C3572" s="1" t="n">
        <v>45845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69856-2021</t>
        </is>
      </c>
      <c r="B3573" s="1" t="n">
        <v>44532</v>
      </c>
      <c r="C3573" s="1" t="n">
        <v>45845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69951-2021</t>
        </is>
      </c>
      <c r="B3574" s="1" t="n">
        <v>44533</v>
      </c>
      <c r="C3574" s="1" t="n">
        <v>45845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69941-2021</t>
        </is>
      </c>
      <c r="B3575" s="1" t="n">
        <v>44533</v>
      </c>
      <c r="C3575" s="1" t="n">
        <v>45845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69957-2021</t>
        </is>
      </c>
      <c r="B3576" s="1" t="n">
        <v>44533</v>
      </c>
      <c r="C3576" s="1" t="n">
        <v>45845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70324-2021</t>
        </is>
      </c>
      <c r="B3577" s="1" t="n">
        <v>44536</v>
      </c>
      <c r="C3577" s="1" t="n">
        <v>45845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70350-2021</t>
        </is>
      </c>
      <c r="B3578" s="1" t="n">
        <v>44536</v>
      </c>
      <c r="C3578" s="1" t="n">
        <v>45845</v>
      </c>
      <c r="D3578" t="inlineStr">
        <is>
          <t>KRONOBERGS LÄN</t>
        </is>
      </c>
      <c r="E3578" t="inlineStr">
        <is>
          <t>LESSEBO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70327-2021</t>
        </is>
      </c>
      <c r="B3579" s="1" t="n">
        <v>44536</v>
      </c>
      <c r="C3579" s="1" t="n">
        <v>45845</v>
      </c>
      <c r="D3579" t="inlineStr">
        <is>
          <t>KRONOBERGS LÄN</t>
        </is>
      </c>
      <c r="E3579" t="inlineStr">
        <is>
          <t>MARKARYD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70401-2021</t>
        </is>
      </c>
      <c r="B3580" s="1" t="n">
        <v>44536</v>
      </c>
      <c r="C3580" s="1" t="n">
        <v>45845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70349-2021</t>
        </is>
      </c>
      <c r="B3581" s="1" t="n">
        <v>44536</v>
      </c>
      <c r="C3581" s="1" t="n">
        <v>45845</v>
      </c>
      <c r="D3581" t="inlineStr">
        <is>
          <t>KRONOBERGS LÄN</t>
        </is>
      </c>
      <c r="E3581" t="inlineStr">
        <is>
          <t>LESSEBO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70395-2021</t>
        </is>
      </c>
      <c r="B3582" s="1" t="n">
        <v>44536</v>
      </c>
      <c r="C3582" s="1" t="n">
        <v>45845</v>
      </c>
      <c r="D3582" t="inlineStr">
        <is>
          <t>KRONOBERGS LÄN</t>
        </is>
      </c>
      <c r="E3582" t="inlineStr">
        <is>
          <t>VÄXJÖ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70400-2021</t>
        </is>
      </c>
      <c r="B3583" s="1" t="n">
        <v>44536</v>
      </c>
      <c r="C3583" s="1" t="n">
        <v>45845</v>
      </c>
      <c r="D3583" t="inlineStr">
        <is>
          <t>KRONOBERGS LÄN</t>
        </is>
      </c>
      <c r="E3583" t="inlineStr">
        <is>
          <t>LJUNGBY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70486-2021</t>
        </is>
      </c>
      <c r="B3584" s="1" t="n">
        <v>44536</v>
      </c>
      <c r="C3584" s="1" t="n">
        <v>45845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70484-2021</t>
        </is>
      </c>
      <c r="B3585" s="1" t="n">
        <v>44536</v>
      </c>
      <c r="C3585" s="1" t="n">
        <v>45845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70482-2021</t>
        </is>
      </c>
      <c r="B3586" s="1" t="n">
        <v>44536</v>
      </c>
      <c r="C3586" s="1" t="n">
        <v>45845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70487-2021</t>
        </is>
      </c>
      <c r="B3587" s="1" t="n">
        <v>44536</v>
      </c>
      <c r="C3587" s="1" t="n">
        <v>45845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70485-2021</t>
        </is>
      </c>
      <c r="B3588" s="1" t="n">
        <v>44536</v>
      </c>
      <c r="C3588" s="1" t="n">
        <v>45845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70646-2021</t>
        </is>
      </c>
      <c r="B3589" s="1" t="n">
        <v>44537</v>
      </c>
      <c r="C3589" s="1" t="n">
        <v>45845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70676-2021</t>
        </is>
      </c>
      <c r="B3590" s="1" t="n">
        <v>44537</v>
      </c>
      <c r="C3590" s="1" t="n">
        <v>45845</v>
      </c>
      <c r="D3590" t="inlineStr">
        <is>
          <t>KRONOBERGS LÄN</t>
        </is>
      </c>
      <c r="E3590" t="inlineStr">
        <is>
          <t>VÄXJÖ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70671-2021</t>
        </is>
      </c>
      <c r="B3591" s="1" t="n">
        <v>44537</v>
      </c>
      <c r="C3591" s="1" t="n">
        <v>45845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70675-2021</t>
        </is>
      </c>
      <c r="B3592" s="1" t="n">
        <v>44537</v>
      </c>
      <c r="C3592" s="1" t="n">
        <v>45845</v>
      </c>
      <c r="D3592" t="inlineStr">
        <is>
          <t>KRONOBERGS LÄN</t>
        </is>
      </c>
      <c r="E3592" t="inlineStr">
        <is>
          <t>VÄXJÖ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70677-2021</t>
        </is>
      </c>
      <c r="B3593" s="1" t="n">
        <v>44537</v>
      </c>
      <c r="C3593" s="1" t="n">
        <v>45845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70744-2021</t>
        </is>
      </c>
      <c r="B3594" s="1" t="n">
        <v>44537</v>
      </c>
      <c r="C3594" s="1" t="n">
        <v>45845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70869-2021</t>
        </is>
      </c>
      <c r="B3595" s="1" t="n">
        <v>44538</v>
      </c>
      <c r="C3595" s="1" t="n">
        <v>45845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70888-2021</t>
        </is>
      </c>
      <c r="B3596" s="1" t="n">
        <v>44538</v>
      </c>
      <c r="C3596" s="1" t="n">
        <v>45845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71047-2021</t>
        </is>
      </c>
      <c r="B3597" s="1" t="n">
        <v>44538</v>
      </c>
      <c r="C3597" s="1" t="n">
        <v>45845</v>
      </c>
      <c r="D3597" t="inlineStr">
        <is>
          <t>KRONOBERGS LÄN</t>
        </is>
      </c>
      <c r="E3597" t="inlineStr">
        <is>
          <t>UPPVIDINGE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71126-2021</t>
        </is>
      </c>
      <c r="B3598" s="1" t="n">
        <v>44539</v>
      </c>
      <c r="C3598" s="1" t="n">
        <v>45845</v>
      </c>
      <c r="D3598" t="inlineStr">
        <is>
          <t>KRONOBERGS LÄN</t>
        </is>
      </c>
      <c r="E3598" t="inlineStr">
        <is>
          <t>TINGSRYD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71176-2021</t>
        </is>
      </c>
      <c r="B3599" s="1" t="n">
        <v>44539</v>
      </c>
      <c r="C3599" s="1" t="n">
        <v>45845</v>
      </c>
      <c r="D3599" t="inlineStr">
        <is>
          <t>KRONOBERGS LÄN</t>
        </is>
      </c>
      <c r="E3599" t="inlineStr">
        <is>
          <t>MARKARYD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71110-2021</t>
        </is>
      </c>
      <c r="B3600" s="1" t="n">
        <v>44539</v>
      </c>
      <c r="C3600" s="1" t="n">
        <v>45845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71388-2021</t>
        </is>
      </c>
      <c r="B3601" s="1" t="n">
        <v>44540</v>
      </c>
      <c r="C3601" s="1" t="n">
        <v>45845</v>
      </c>
      <c r="D3601" t="inlineStr">
        <is>
          <t>KRONOBERGS LÄN</t>
        </is>
      </c>
      <c r="E3601" t="inlineStr">
        <is>
          <t>TINGSRYD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71397-2021</t>
        </is>
      </c>
      <c r="B3602" s="1" t="n">
        <v>44540</v>
      </c>
      <c r="C3602" s="1" t="n">
        <v>45845</v>
      </c>
      <c r="D3602" t="inlineStr">
        <is>
          <t>KRONOBERGS LÄN</t>
        </is>
      </c>
      <c r="E3602" t="inlineStr">
        <is>
          <t>TINGSRYD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71392-2021</t>
        </is>
      </c>
      <c r="B3603" s="1" t="n">
        <v>44540</v>
      </c>
      <c r="C3603" s="1" t="n">
        <v>45845</v>
      </c>
      <c r="D3603" t="inlineStr">
        <is>
          <t>KRONOBERGS LÄN</t>
        </is>
      </c>
      <c r="E3603" t="inlineStr">
        <is>
          <t>TINGSRYD</t>
        </is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71802-2021</t>
        </is>
      </c>
      <c r="B3604" s="1" t="n">
        <v>44543</v>
      </c>
      <c r="C3604" s="1" t="n">
        <v>45845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71846-2021</t>
        </is>
      </c>
      <c r="B3605" s="1" t="n">
        <v>44543</v>
      </c>
      <c r="C3605" s="1" t="n">
        <v>45845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71779-2021</t>
        </is>
      </c>
      <c r="B3606" s="1" t="n">
        <v>44543</v>
      </c>
      <c r="C3606" s="1" t="n">
        <v>45845</v>
      </c>
      <c r="D3606" t="inlineStr">
        <is>
          <t>KRONOBERGS LÄN</t>
        </is>
      </c>
      <c r="E3606" t="inlineStr">
        <is>
          <t>VÄXJÖ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71874-2021</t>
        </is>
      </c>
      <c r="B3607" s="1" t="n">
        <v>44543</v>
      </c>
      <c r="C3607" s="1" t="n">
        <v>45845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72020-2021</t>
        </is>
      </c>
      <c r="B3608" s="1" t="n">
        <v>44544</v>
      </c>
      <c r="C3608" s="1" t="n">
        <v>45845</v>
      </c>
      <c r="D3608" t="inlineStr">
        <is>
          <t>KRONOBERGS LÄN</t>
        </is>
      </c>
      <c r="E3608" t="inlineStr">
        <is>
          <t>VÄXJÖ</t>
        </is>
      </c>
      <c r="F3608" t="inlineStr">
        <is>
          <t>Sveaskog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72170-2021</t>
        </is>
      </c>
      <c r="B3609" s="1" t="n">
        <v>44544</v>
      </c>
      <c r="C3609" s="1" t="n">
        <v>45845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72447-2021</t>
        </is>
      </c>
      <c r="B3610" s="1" t="n">
        <v>44545</v>
      </c>
      <c r="C3610" s="1" t="n">
        <v>45845</v>
      </c>
      <c r="D3610" t="inlineStr">
        <is>
          <t>KRONOBERGS LÄN</t>
        </is>
      </c>
      <c r="E3610" t="inlineStr">
        <is>
          <t>TINGSRYD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72323-2021</t>
        </is>
      </c>
      <c r="B3611" s="1" t="n">
        <v>44545</v>
      </c>
      <c r="C3611" s="1" t="n">
        <v>45845</v>
      </c>
      <c r="D3611" t="inlineStr">
        <is>
          <t>KRONOBERGS LÄN</t>
        </is>
      </c>
      <c r="E3611" t="inlineStr">
        <is>
          <t>UPPVIDINGE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72318-2021</t>
        </is>
      </c>
      <c r="B3612" s="1" t="n">
        <v>44545</v>
      </c>
      <c r="C3612" s="1" t="n">
        <v>45845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72450-2021</t>
        </is>
      </c>
      <c r="B3613" s="1" t="n">
        <v>44545</v>
      </c>
      <c r="C3613" s="1" t="n">
        <v>45845</v>
      </c>
      <c r="D3613" t="inlineStr">
        <is>
          <t>KRONOBERGS LÄN</t>
        </is>
      </c>
      <c r="E3613" t="inlineStr">
        <is>
          <t>TINGSRYD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72469-2021</t>
        </is>
      </c>
      <c r="B3614" s="1" t="n">
        <v>44545</v>
      </c>
      <c r="C3614" s="1" t="n">
        <v>45845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72429-2021</t>
        </is>
      </c>
      <c r="B3615" s="1" t="n">
        <v>44545</v>
      </c>
      <c r="C3615" s="1" t="n">
        <v>45845</v>
      </c>
      <c r="D3615" t="inlineStr">
        <is>
          <t>KRONOBERGS LÄN</t>
        </is>
      </c>
      <c r="E3615" t="inlineStr">
        <is>
          <t>VÄXJÖ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72446-2021</t>
        </is>
      </c>
      <c r="B3616" s="1" t="n">
        <v>44545</v>
      </c>
      <c r="C3616" s="1" t="n">
        <v>45845</v>
      </c>
      <c r="D3616" t="inlineStr">
        <is>
          <t>KRONOBERGS LÄN</t>
        </is>
      </c>
      <c r="E3616" t="inlineStr">
        <is>
          <t>TINGSRYD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72682-2021</t>
        </is>
      </c>
      <c r="B3617" s="1" t="n">
        <v>44546</v>
      </c>
      <c r="C3617" s="1" t="n">
        <v>45845</v>
      </c>
      <c r="D3617" t="inlineStr">
        <is>
          <t>KRONOBERGS LÄN</t>
        </is>
      </c>
      <c r="E3617" t="inlineStr">
        <is>
          <t>VÄXJÖ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72691-2021</t>
        </is>
      </c>
      <c r="B3618" s="1" t="n">
        <v>44546</v>
      </c>
      <c r="C3618" s="1" t="n">
        <v>45845</v>
      </c>
      <c r="D3618" t="inlineStr">
        <is>
          <t>KRONOBERGS LÄN</t>
        </is>
      </c>
      <c r="E3618" t="inlineStr">
        <is>
          <t>ÄLMHULT</t>
        </is>
      </c>
      <c r="G3618" t="n">
        <v>7.8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72908-2021</t>
        </is>
      </c>
      <c r="B3619" s="1" t="n">
        <v>44546</v>
      </c>
      <c r="C3619" s="1" t="n">
        <v>45845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72857-2021</t>
        </is>
      </c>
      <c r="B3620" s="1" t="n">
        <v>44547</v>
      </c>
      <c r="C3620" s="1" t="n">
        <v>45845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72831-2021</t>
        </is>
      </c>
      <c r="B3621" s="1" t="n">
        <v>44547</v>
      </c>
      <c r="C3621" s="1" t="n">
        <v>45845</v>
      </c>
      <c r="D3621" t="inlineStr">
        <is>
          <t>KRONOBERGS LÄN</t>
        </is>
      </c>
      <c r="E3621" t="inlineStr">
        <is>
          <t>UPPVIDINGE</t>
        </is>
      </c>
      <c r="G3621" t="n">
        <v>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73140-2021</t>
        </is>
      </c>
      <c r="B3622" s="1" t="n">
        <v>44550</v>
      </c>
      <c r="C3622" s="1" t="n">
        <v>45845</v>
      </c>
      <c r="D3622" t="inlineStr">
        <is>
          <t>KRONOBERGS LÄN</t>
        </is>
      </c>
      <c r="E3622" t="inlineStr">
        <is>
          <t>LESSEBO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73129-2021</t>
        </is>
      </c>
      <c r="B3623" s="1" t="n">
        <v>44550</v>
      </c>
      <c r="C3623" s="1" t="n">
        <v>45845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73248-2021</t>
        </is>
      </c>
      <c r="B3624" s="1" t="n">
        <v>44550</v>
      </c>
      <c r="C3624" s="1" t="n">
        <v>45845</v>
      </c>
      <c r="D3624" t="inlineStr">
        <is>
          <t>KRONOBERGS LÄN</t>
        </is>
      </c>
      <c r="E3624" t="inlineStr">
        <is>
          <t>LJUNGBY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73262-2021</t>
        </is>
      </c>
      <c r="B3625" s="1" t="n">
        <v>44550</v>
      </c>
      <c r="C3625" s="1" t="n">
        <v>45845</v>
      </c>
      <c r="D3625" t="inlineStr">
        <is>
          <t>KRONOBERGS LÄN</t>
        </is>
      </c>
      <c r="E3625" t="inlineStr">
        <is>
          <t>LJUNGBY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73272-2021</t>
        </is>
      </c>
      <c r="B3626" s="1" t="n">
        <v>44550</v>
      </c>
      <c r="C3626" s="1" t="n">
        <v>45845</v>
      </c>
      <c r="D3626" t="inlineStr">
        <is>
          <t>KRONOBERGS LÄN</t>
        </is>
      </c>
      <c r="E3626" t="inlineStr">
        <is>
          <t>TINGSRYD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73338-2021</t>
        </is>
      </c>
      <c r="B3627" s="1" t="n">
        <v>44551</v>
      </c>
      <c r="C3627" s="1" t="n">
        <v>45845</v>
      </c>
      <c r="D3627" t="inlineStr">
        <is>
          <t>KRONOBERGS LÄN</t>
        </is>
      </c>
      <c r="E3627" t="inlineStr">
        <is>
          <t>LJUNGBY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73428-2021</t>
        </is>
      </c>
      <c r="B3628" s="1" t="n">
        <v>44551</v>
      </c>
      <c r="C3628" s="1" t="n">
        <v>45845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73342-2021</t>
        </is>
      </c>
      <c r="B3629" s="1" t="n">
        <v>44551</v>
      </c>
      <c r="C3629" s="1" t="n">
        <v>45845</v>
      </c>
      <c r="D3629" t="inlineStr">
        <is>
          <t>KRONOBERGS LÄN</t>
        </is>
      </c>
      <c r="E3629" t="inlineStr">
        <is>
          <t>LJUNGBY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73366-2021</t>
        </is>
      </c>
      <c r="B3630" s="1" t="n">
        <v>44551</v>
      </c>
      <c r="C3630" s="1" t="n">
        <v>45845</v>
      </c>
      <c r="D3630" t="inlineStr">
        <is>
          <t>KRONOBERGS LÄN</t>
        </is>
      </c>
      <c r="E3630" t="inlineStr">
        <is>
          <t>ÄLMHULT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73549-2021</t>
        </is>
      </c>
      <c r="B3631" s="1" t="n">
        <v>44551</v>
      </c>
      <c r="C3631" s="1" t="n">
        <v>45845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73661-2021</t>
        </is>
      </c>
      <c r="B3632" s="1" t="n">
        <v>44552</v>
      </c>
      <c r="C3632" s="1" t="n">
        <v>45845</v>
      </c>
      <c r="D3632" t="inlineStr">
        <is>
          <t>KRONOBERGS LÄN</t>
        </is>
      </c>
      <c r="E3632" t="inlineStr">
        <is>
          <t>UPPVIDINGE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73667-2021</t>
        </is>
      </c>
      <c r="B3633" s="1" t="n">
        <v>44552</v>
      </c>
      <c r="C3633" s="1" t="n">
        <v>45845</v>
      </c>
      <c r="D3633" t="inlineStr">
        <is>
          <t>KRONOBERGS LÄN</t>
        </is>
      </c>
      <c r="E3633" t="inlineStr">
        <is>
          <t>UPPVIDINGE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73647-2021</t>
        </is>
      </c>
      <c r="B3634" s="1" t="n">
        <v>44552</v>
      </c>
      <c r="C3634" s="1" t="n">
        <v>45845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73660-2021</t>
        </is>
      </c>
      <c r="B3635" s="1" t="n">
        <v>44552</v>
      </c>
      <c r="C3635" s="1" t="n">
        <v>45845</v>
      </c>
      <c r="D3635" t="inlineStr">
        <is>
          <t>KRONOBERGS LÄN</t>
        </is>
      </c>
      <c r="E3635" t="inlineStr">
        <is>
          <t>UPPVIDINGE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73827-2021</t>
        </is>
      </c>
      <c r="B3636" s="1" t="n">
        <v>44552</v>
      </c>
      <c r="C3636" s="1" t="n">
        <v>45845</v>
      </c>
      <c r="D3636" t="inlineStr">
        <is>
          <t>KRONOBERGS LÄN</t>
        </is>
      </c>
      <c r="E3636" t="inlineStr">
        <is>
          <t>VÄXJÖ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73876-2021</t>
        </is>
      </c>
      <c r="B3637" s="1" t="n">
        <v>44553</v>
      </c>
      <c r="C3637" s="1" t="n">
        <v>45845</v>
      </c>
      <c r="D3637" t="inlineStr">
        <is>
          <t>KRONOBERGS LÄN</t>
        </is>
      </c>
      <c r="E3637" t="inlineStr">
        <is>
          <t>VÄXJÖ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73863-2021</t>
        </is>
      </c>
      <c r="B3638" s="1" t="n">
        <v>44553</v>
      </c>
      <c r="C3638" s="1" t="n">
        <v>45845</v>
      </c>
      <c r="D3638" t="inlineStr">
        <is>
          <t>KRONOBERGS LÄN</t>
        </is>
      </c>
      <c r="E3638" t="inlineStr">
        <is>
          <t>MARKARYD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73861-2021</t>
        </is>
      </c>
      <c r="B3639" s="1" t="n">
        <v>44553</v>
      </c>
      <c r="C3639" s="1" t="n">
        <v>45845</v>
      </c>
      <c r="D3639" t="inlineStr">
        <is>
          <t>KRONOBERGS LÄN</t>
        </is>
      </c>
      <c r="E3639" t="inlineStr">
        <is>
          <t>MARKARYD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74006-2021</t>
        </is>
      </c>
      <c r="B3640" s="1" t="n">
        <v>44557</v>
      </c>
      <c r="C3640" s="1" t="n">
        <v>45845</v>
      </c>
      <c r="D3640" t="inlineStr">
        <is>
          <t>KRONOBERGS LÄN</t>
        </is>
      </c>
      <c r="E3640" t="inlineStr">
        <is>
          <t>MARKARYD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74041-2021</t>
        </is>
      </c>
      <c r="B3641" s="1" t="n">
        <v>44557</v>
      </c>
      <c r="C3641" s="1" t="n">
        <v>45845</v>
      </c>
      <c r="D3641" t="inlineStr">
        <is>
          <t>KRONOBERGS LÄN</t>
        </is>
      </c>
      <c r="E3641" t="inlineStr">
        <is>
          <t>TINGSRYD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74124-2021</t>
        </is>
      </c>
      <c r="B3642" s="1" t="n">
        <v>44557</v>
      </c>
      <c r="C3642" s="1" t="n">
        <v>45845</v>
      </c>
      <c r="D3642" t="inlineStr">
        <is>
          <t>KRONOBERGS LÄN</t>
        </is>
      </c>
      <c r="E3642" t="inlineStr">
        <is>
          <t>TINGSRYD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74236-2021</t>
        </is>
      </c>
      <c r="B3643" s="1" t="n">
        <v>44558</v>
      </c>
      <c r="C3643" s="1" t="n">
        <v>45845</v>
      </c>
      <c r="D3643" t="inlineStr">
        <is>
          <t>KRONOBERGS LÄN</t>
        </is>
      </c>
      <c r="E3643" t="inlineStr">
        <is>
          <t>TINGSRYD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74361-2021</t>
        </is>
      </c>
      <c r="B3644" s="1" t="n">
        <v>44559</v>
      </c>
      <c r="C3644" s="1" t="n">
        <v>45845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74489-2021</t>
        </is>
      </c>
      <c r="B3645" s="1" t="n">
        <v>44560</v>
      </c>
      <c r="C3645" s="1" t="n">
        <v>45845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74452-2021</t>
        </is>
      </c>
      <c r="B3646" s="1" t="n">
        <v>44560</v>
      </c>
      <c r="C3646" s="1" t="n">
        <v>45845</v>
      </c>
      <c r="D3646" t="inlineStr">
        <is>
          <t>KRONOBERGS LÄN</t>
        </is>
      </c>
      <c r="E3646" t="inlineStr">
        <is>
          <t>MARKARYD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74450-2021</t>
        </is>
      </c>
      <c r="B3647" s="1" t="n">
        <v>44560</v>
      </c>
      <c r="C3647" s="1" t="n">
        <v>45845</v>
      </c>
      <c r="D3647" t="inlineStr">
        <is>
          <t>KRONOBERGS LÄN</t>
        </is>
      </c>
      <c r="E3647" t="inlineStr">
        <is>
          <t>ÄLMHULT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343-2022</t>
        </is>
      </c>
      <c r="B3648" s="1" t="n">
        <v>44565</v>
      </c>
      <c r="C3648" s="1" t="n">
        <v>45845</v>
      </c>
      <c r="D3648" t="inlineStr">
        <is>
          <t>KRONOBERGS LÄN</t>
        </is>
      </c>
      <c r="E3648" t="inlineStr">
        <is>
          <t>LJUNGBY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323-2022</t>
        </is>
      </c>
      <c r="B3649" s="1" t="n">
        <v>44565</v>
      </c>
      <c r="C3649" s="1" t="n">
        <v>45845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347-2022</t>
        </is>
      </c>
      <c r="B3650" s="1" t="n">
        <v>44565</v>
      </c>
      <c r="C3650" s="1" t="n">
        <v>45845</v>
      </c>
      <c r="D3650" t="inlineStr">
        <is>
          <t>KRONOBERGS LÄN</t>
        </is>
      </c>
      <c r="E3650" t="inlineStr">
        <is>
          <t>LJUNGBY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243-2022</t>
        </is>
      </c>
      <c r="B3651" s="1" t="n">
        <v>44565</v>
      </c>
      <c r="C3651" s="1" t="n">
        <v>45845</v>
      </c>
      <c r="D3651" t="inlineStr">
        <is>
          <t>KRONOBERGS LÄN</t>
        </is>
      </c>
      <c r="E3651" t="inlineStr">
        <is>
          <t>ALVESTA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306-2022</t>
        </is>
      </c>
      <c r="B3652" s="1" t="n">
        <v>44565</v>
      </c>
      <c r="C3652" s="1" t="n">
        <v>45845</v>
      </c>
      <c r="D3652" t="inlineStr">
        <is>
          <t>KRONOBERGS LÄN</t>
        </is>
      </c>
      <c r="E3652" t="inlineStr">
        <is>
          <t>MARKARYD</t>
        </is>
      </c>
      <c r="G3652" t="n">
        <v>8.199999999999999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346-2022</t>
        </is>
      </c>
      <c r="B3653" s="1" t="n">
        <v>44565</v>
      </c>
      <c r="C3653" s="1" t="n">
        <v>45845</v>
      </c>
      <c r="D3653" t="inlineStr">
        <is>
          <t>KRONOBERGS LÄN</t>
        </is>
      </c>
      <c r="E3653" t="inlineStr">
        <is>
          <t>LJUNGBY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795-2022</t>
        </is>
      </c>
      <c r="B3654" s="1" t="n">
        <v>44566</v>
      </c>
      <c r="C3654" s="1" t="n">
        <v>45845</v>
      </c>
      <c r="D3654" t="inlineStr">
        <is>
          <t>KRONOBERGS LÄN</t>
        </is>
      </c>
      <c r="E3654" t="inlineStr">
        <is>
          <t>UPPVIDINGE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800-2022</t>
        </is>
      </c>
      <c r="B3655" s="1" t="n">
        <v>44566</v>
      </c>
      <c r="C3655" s="1" t="n">
        <v>45845</v>
      </c>
      <c r="D3655" t="inlineStr">
        <is>
          <t>KRONOBERGS LÄN</t>
        </is>
      </c>
      <c r="E3655" t="inlineStr">
        <is>
          <t>UPPVIDINGE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663-2022</t>
        </is>
      </c>
      <c r="B3656" s="1" t="n">
        <v>44568</v>
      </c>
      <c r="C3656" s="1" t="n">
        <v>45845</v>
      </c>
      <c r="D3656" t="inlineStr">
        <is>
          <t>KRONOBERGS LÄN</t>
        </is>
      </c>
      <c r="E3656" t="inlineStr">
        <is>
          <t>LJUNGBY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740-2022</t>
        </is>
      </c>
      <c r="B3657" s="1" t="n">
        <v>44568</v>
      </c>
      <c r="C3657" s="1" t="n">
        <v>45845</v>
      </c>
      <c r="D3657" t="inlineStr">
        <is>
          <t>KRONOBERGS LÄN</t>
        </is>
      </c>
      <c r="E3657" t="inlineStr">
        <is>
          <t>ÄLMHULT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707-2022</t>
        </is>
      </c>
      <c r="B3658" s="1" t="n">
        <v>44568</v>
      </c>
      <c r="C3658" s="1" t="n">
        <v>45845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760-2022</t>
        </is>
      </c>
      <c r="B3659" s="1" t="n">
        <v>44569</v>
      </c>
      <c r="C3659" s="1" t="n">
        <v>45845</v>
      </c>
      <c r="D3659" t="inlineStr">
        <is>
          <t>KRONOBERGS LÄN</t>
        </is>
      </c>
      <c r="E3659" t="inlineStr">
        <is>
          <t>ALVESTA</t>
        </is>
      </c>
      <c r="G3659" t="n">
        <v>0.1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785-2022</t>
        </is>
      </c>
      <c r="B3660" s="1" t="n">
        <v>44570</v>
      </c>
      <c r="C3660" s="1" t="n">
        <v>45845</v>
      </c>
      <c r="D3660" t="inlineStr">
        <is>
          <t>KRONOBERGS LÄN</t>
        </is>
      </c>
      <c r="E3660" t="inlineStr">
        <is>
          <t>TINGSRYD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777-2022</t>
        </is>
      </c>
      <c r="B3661" s="1" t="n">
        <v>44570</v>
      </c>
      <c r="C3661" s="1" t="n">
        <v>45845</v>
      </c>
      <c r="D3661" t="inlineStr">
        <is>
          <t>KRONOBERGS LÄN</t>
        </is>
      </c>
      <c r="E3661" t="inlineStr">
        <is>
          <t>TINGSRYD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774-2022</t>
        </is>
      </c>
      <c r="B3662" s="1" t="n">
        <v>44570</v>
      </c>
      <c r="C3662" s="1" t="n">
        <v>45845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1032-2022</t>
        </is>
      </c>
      <c r="B3663" s="1" t="n">
        <v>44571</v>
      </c>
      <c r="C3663" s="1" t="n">
        <v>45845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924-2022</t>
        </is>
      </c>
      <c r="B3664" s="1" t="n">
        <v>44571</v>
      </c>
      <c r="C3664" s="1" t="n">
        <v>45845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1130-2022</t>
        </is>
      </c>
      <c r="B3665" s="1" t="n">
        <v>44572</v>
      </c>
      <c r="C3665" s="1" t="n">
        <v>45845</v>
      </c>
      <c r="D3665" t="inlineStr">
        <is>
          <t>KRONOBERGS LÄN</t>
        </is>
      </c>
      <c r="E3665" t="inlineStr">
        <is>
          <t>MARKARYD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1116-2022</t>
        </is>
      </c>
      <c r="B3666" s="1" t="n">
        <v>44572</v>
      </c>
      <c r="C3666" s="1" t="n">
        <v>45845</v>
      </c>
      <c r="D3666" t="inlineStr">
        <is>
          <t>KRONOBERGS LÄN</t>
        </is>
      </c>
      <c r="E3666" t="inlineStr">
        <is>
          <t>MARKARYD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1173-2022</t>
        </is>
      </c>
      <c r="B3667" s="1" t="n">
        <v>44572</v>
      </c>
      <c r="C3667" s="1" t="n">
        <v>45845</v>
      </c>
      <c r="D3667" t="inlineStr">
        <is>
          <t>KRONOBERGS LÄN</t>
        </is>
      </c>
      <c r="E3667" t="inlineStr">
        <is>
          <t>LJUNGBY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1384-2022</t>
        </is>
      </c>
      <c r="B3668" s="1" t="n">
        <v>44573</v>
      </c>
      <c r="C3668" s="1" t="n">
        <v>45845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1398-2022</t>
        </is>
      </c>
      <c r="B3669" s="1" t="n">
        <v>44573</v>
      </c>
      <c r="C3669" s="1" t="n">
        <v>45845</v>
      </c>
      <c r="D3669" t="inlineStr">
        <is>
          <t>KRONOBERGS LÄN</t>
        </is>
      </c>
      <c r="E3669" t="inlineStr">
        <is>
          <t>ALVESTA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1387-2022</t>
        </is>
      </c>
      <c r="B3670" s="1" t="n">
        <v>44573</v>
      </c>
      <c r="C3670" s="1" t="n">
        <v>45845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1587-2022</t>
        </is>
      </c>
      <c r="B3671" s="1" t="n">
        <v>44573</v>
      </c>
      <c r="C3671" s="1" t="n">
        <v>45845</v>
      </c>
      <c r="D3671" t="inlineStr">
        <is>
          <t>KRONOBERGS LÄN</t>
        </is>
      </c>
      <c r="E3671" t="inlineStr">
        <is>
          <t>VÄXJÖ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1580-2022</t>
        </is>
      </c>
      <c r="B3672" s="1" t="n">
        <v>44573</v>
      </c>
      <c r="C3672" s="1" t="n">
        <v>45845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1578-2022</t>
        </is>
      </c>
      <c r="B3673" s="1" t="n">
        <v>44573</v>
      </c>
      <c r="C3673" s="1" t="n">
        <v>45845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1719-2022</t>
        </is>
      </c>
      <c r="B3674" s="1" t="n">
        <v>44574</v>
      </c>
      <c r="C3674" s="1" t="n">
        <v>45845</v>
      </c>
      <c r="D3674" t="inlineStr">
        <is>
          <t>KRONOBERGS LÄN</t>
        </is>
      </c>
      <c r="E3674" t="inlineStr">
        <is>
          <t>UPPVIDINGE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1709-2022</t>
        </is>
      </c>
      <c r="B3675" s="1" t="n">
        <v>44574</v>
      </c>
      <c r="C3675" s="1" t="n">
        <v>45845</v>
      </c>
      <c r="D3675" t="inlineStr">
        <is>
          <t>KRONOBERGS LÄN</t>
        </is>
      </c>
      <c r="E3675" t="inlineStr">
        <is>
          <t>UPPVIDINGE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1689-2022</t>
        </is>
      </c>
      <c r="B3676" s="1" t="n">
        <v>44574</v>
      </c>
      <c r="C3676" s="1" t="n">
        <v>45845</v>
      </c>
      <c r="D3676" t="inlineStr">
        <is>
          <t>KRONOBERGS LÄN</t>
        </is>
      </c>
      <c r="E3676" t="inlineStr">
        <is>
          <t>UPPVIDINGE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1718-2022</t>
        </is>
      </c>
      <c r="B3677" s="1" t="n">
        <v>44574</v>
      </c>
      <c r="C3677" s="1" t="n">
        <v>45845</v>
      </c>
      <c r="D3677" t="inlineStr">
        <is>
          <t>KRONOBERGS LÄN</t>
        </is>
      </c>
      <c r="E3677" t="inlineStr">
        <is>
          <t>UPPVIDINGE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1797-2022</t>
        </is>
      </c>
      <c r="B3678" s="1" t="n">
        <v>44574</v>
      </c>
      <c r="C3678" s="1" t="n">
        <v>45845</v>
      </c>
      <c r="D3678" t="inlineStr">
        <is>
          <t>KRONOBERGS LÄN</t>
        </is>
      </c>
      <c r="E3678" t="inlineStr">
        <is>
          <t>VÄXJÖ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2029-2022</t>
        </is>
      </c>
      <c r="B3679" s="1" t="n">
        <v>44575</v>
      </c>
      <c r="C3679" s="1" t="n">
        <v>45845</v>
      </c>
      <c r="D3679" t="inlineStr">
        <is>
          <t>KRONOBERGS LÄN</t>
        </is>
      </c>
      <c r="E3679" t="inlineStr">
        <is>
          <t>TINGSRYD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2048-2022</t>
        </is>
      </c>
      <c r="B3680" s="1" t="n">
        <v>44575</v>
      </c>
      <c r="C3680" s="1" t="n">
        <v>45845</v>
      </c>
      <c r="D3680" t="inlineStr">
        <is>
          <t>KRONOBERGS LÄN</t>
        </is>
      </c>
      <c r="E3680" t="inlineStr">
        <is>
          <t>TINGSRYD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2082-2022</t>
        </is>
      </c>
      <c r="B3681" s="1" t="n">
        <v>44576</v>
      </c>
      <c r="C3681" s="1" t="n">
        <v>45845</v>
      </c>
      <c r="D3681" t="inlineStr">
        <is>
          <t>KRONOBERGS LÄN</t>
        </is>
      </c>
      <c r="E3681" t="inlineStr">
        <is>
          <t>LJUNGBY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2096-2022</t>
        </is>
      </c>
      <c r="B3682" s="1" t="n">
        <v>44577</v>
      </c>
      <c r="C3682" s="1" t="n">
        <v>45845</v>
      </c>
      <c r="D3682" t="inlineStr">
        <is>
          <t>KRONOBERGS LÄN</t>
        </is>
      </c>
      <c r="E3682" t="inlineStr">
        <is>
          <t>VÄXJÖ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2139-2022</t>
        </is>
      </c>
      <c r="B3683" s="1" t="n">
        <v>44578</v>
      </c>
      <c r="C3683" s="1" t="n">
        <v>45845</v>
      </c>
      <c r="D3683" t="inlineStr">
        <is>
          <t>KRONOBERGS LÄN</t>
        </is>
      </c>
      <c r="E3683" t="inlineStr">
        <is>
          <t>MARKARYD</t>
        </is>
      </c>
      <c r="F3683" t="inlineStr">
        <is>
          <t>Övriga Aktiebolag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2212-2022</t>
        </is>
      </c>
      <c r="B3684" s="1" t="n">
        <v>44578</v>
      </c>
      <c r="C3684" s="1" t="n">
        <v>45845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2132-2022</t>
        </is>
      </c>
      <c r="B3685" s="1" t="n">
        <v>44578</v>
      </c>
      <c r="C3685" s="1" t="n">
        <v>45845</v>
      </c>
      <c r="D3685" t="inlineStr">
        <is>
          <t>KRONOBERGS LÄN</t>
        </is>
      </c>
      <c r="E3685" t="inlineStr">
        <is>
          <t>TINGSRYD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2317-2022</t>
        </is>
      </c>
      <c r="B3686" s="1" t="n">
        <v>44578</v>
      </c>
      <c r="C3686" s="1" t="n">
        <v>45845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2363-2022</t>
        </is>
      </c>
      <c r="B3687" s="1" t="n">
        <v>44579</v>
      </c>
      <c r="C3687" s="1" t="n">
        <v>45845</v>
      </c>
      <c r="D3687" t="inlineStr">
        <is>
          <t>KRONOBERGS LÄN</t>
        </is>
      </c>
      <c r="E3687" t="inlineStr">
        <is>
          <t>MARKARYD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2403-2022</t>
        </is>
      </c>
      <c r="B3688" s="1" t="n">
        <v>44579</v>
      </c>
      <c r="C3688" s="1" t="n">
        <v>45845</v>
      </c>
      <c r="D3688" t="inlineStr">
        <is>
          <t>KRONOBERGS LÄN</t>
        </is>
      </c>
      <c r="E3688" t="inlineStr">
        <is>
          <t>VÄXJÖ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2666-2022</t>
        </is>
      </c>
      <c r="B3689" s="1" t="n">
        <v>44580</v>
      </c>
      <c r="C3689" s="1" t="n">
        <v>45845</v>
      </c>
      <c r="D3689" t="inlineStr">
        <is>
          <t>KRONOBERGS LÄN</t>
        </is>
      </c>
      <c r="E3689" t="inlineStr">
        <is>
          <t>UPPVIDINGE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2833-2022</t>
        </is>
      </c>
      <c r="B3690" s="1" t="n">
        <v>44581</v>
      </c>
      <c r="C3690" s="1" t="n">
        <v>45845</v>
      </c>
      <c r="D3690" t="inlineStr">
        <is>
          <t>KRONOBERGS LÄN</t>
        </is>
      </c>
      <c r="E3690" t="inlineStr">
        <is>
          <t>MARKARYD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2847-2022</t>
        </is>
      </c>
      <c r="B3691" s="1" t="n">
        <v>44581</v>
      </c>
      <c r="C3691" s="1" t="n">
        <v>45845</v>
      </c>
      <c r="D3691" t="inlineStr">
        <is>
          <t>KRONOBERGS LÄN</t>
        </is>
      </c>
      <c r="E3691" t="inlineStr">
        <is>
          <t>ALVESTA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2896-2022</t>
        </is>
      </c>
      <c r="B3692" s="1" t="n">
        <v>44581</v>
      </c>
      <c r="C3692" s="1" t="n">
        <v>45845</v>
      </c>
      <c r="D3692" t="inlineStr">
        <is>
          <t>KRONOBERGS LÄN</t>
        </is>
      </c>
      <c r="E3692" t="inlineStr">
        <is>
          <t>MARKARYD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3041-2022</t>
        </is>
      </c>
      <c r="B3693" s="1" t="n">
        <v>44582</v>
      </c>
      <c r="C3693" s="1" t="n">
        <v>45845</v>
      </c>
      <c r="D3693" t="inlineStr">
        <is>
          <t>KRONOBERGS LÄN</t>
        </is>
      </c>
      <c r="E3693" t="inlineStr">
        <is>
          <t>TINGSRYD</t>
        </is>
      </c>
      <c r="F3693" t="inlineStr">
        <is>
          <t>Övriga Aktiebolag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3074-2022</t>
        </is>
      </c>
      <c r="B3694" s="1" t="n">
        <v>44582</v>
      </c>
      <c r="C3694" s="1" t="n">
        <v>45845</v>
      </c>
      <c r="D3694" t="inlineStr">
        <is>
          <t>KRONOBERGS LÄN</t>
        </is>
      </c>
      <c r="E3694" t="inlineStr">
        <is>
          <t>LJUNGBY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3133-2022</t>
        </is>
      </c>
      <c r="B3695" s="1" t="n">
        <v>44582</v>
      </c>
      <c r="C3695" s="1" t="n">
        <v>45845</v>
      </c>
      <c r="D3695" t="inlineStr">
        <is>
          <t>KRONOBERGS LÄN</t>
        </is>
      </c>
      <c r="E3695" t="inlineStr">
        <is>
          <t>MARKARYD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3153-2022</t>
        </is>
      </c>
      <c r="B3696" s="1" t="n">
        <v>44582</v>
      </c>
      <c r="C3696" s="1" t="n">
        <v>45845</v>
      </c>
      <c r="D3696" t="inlineStr">
        <is>
          <t>KRONOBERGS LÄN</t>
        </is>
      </c>
      <c r="E3696" t="inlineStr">
        <is>
          <t>UPPVIDINGE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3034-2022</t>
        </is>
      </c>
      <c r="B3697" s="1" t="n">
        <v>44582</v>
      </c>
      <c r="C3697" s="1" t="n">
        <v>45845</v>
      </c>
      <c r="D3697" t="inlineStr">
        <is>
          <t>KRONOBERGS LÄN</t>
        </is>
      </c>
      <c r="E3697" t="inlineStr">
        <is>
          <t>ÄLMHULT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3321-2022</t>
        </is>
      </c>
      <c r="B3698" s="1" t="n">
        <v>44582</v>
      </c>
      <c r="C3698" s="1" t="n">
        <v>45845</v>
      </c>
      <c r="D3698" t="inlineStr">
        <is>
          <t>KRONOBERGS LÄN</t>
        </is>
      </c>
      <c r="E3698" t="inlineStr">
        <is>
          <t>UPPVIDINGE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3323-2022</t>
        </is>
      </c>
      <c r="B3699" s="1" t="n">
        <v>44582</v>
      </c>
      <c r="C3699" s="1" t="n">
        <v>45845</v>
      </c>
      <c r="D3699" t="inlineStr">
        <is>
          <t>KRONOBERGS LÄN</t>
        </is>
      </c>
      <c r="E3699" t="inlineStr">
        <is>
          <t>UPPVIDINGE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3435-2022</t>
        </is>
      </c>
      <c r="B3700" s="1" t="n">
        <v>44585</v>
      </c>
      <c r="C3700" s="1" t="n">
        <v>45845</v>
      </c>
      <c r="D3700" t="inlineStr">
        <is>
          <t>KRONOBERGS LÄN</t>
        </is>
      </c>
      <c r="E3700" t="inlineStr">
        <is>
          <t>VÄXJÖ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3450-2022</t>
        </is>
      </c>
      <c r="B3701" s="1" t="n">
        <v>44585</v>
      </c>
      <c r="C3701" s="1" t="n">
        <v>45845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3527-2022</t>
        </is>
      </c>
      <c r="B3702" s="1" t="n">
        <v>44585</v>
      </c>
      <c r="C3702" s="1" t="n">
        <v>45845</v>
      </c>
      <c r="D3702" t="inlineStr">
        <is>
          <t>KRONOBERGS LÄN</t>
        </is>
      </c>
      <c r="E3702" t="inlineStr">
        <is>
          <t>LJUNGBY</t>
        </is>
      </c>
      <c r="G3702" t="n">
        <v>0.2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3602-2022</t>
        </is>
      </c>
      <c r="B3703" s="1" t="n">
        <v>44586</v>
      </c>
      <c r="C3703" s="1" t="n">
        <v>45845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3624-2022</t>
        </is>
      </c>
      <c r="B3704" s="1" t="n">
        <v>44586</v>
      </c>
      <c r="C3704" s="1" t="n">
        <v>45845</v>
      </c>
      <c r="D3704" t="inlineStr">
        <is>
          <t>KRONOBERGS LÄN</t>
        </is>
      </c>
      <c r="E3704" t="inlineStr">
        <is>
          <t>TINGSRYD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3623-2022</t>
        </is>
      </c>
      <c r="B3705" s="1" t="n">
        <v>44586</v>
      </c>
      <c r="C3705" s="1" t="n">
        <v>45845</v>
      </c>
      <c r="D3705" t="inlineStr">
        <is>
          <t>KRONOBERGS LÄN</t>
        </is>
      </c>
      <c r="E3705" t="inlineStr">
        <is>
          <t>TINGSRYD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3714-2022</t>
        </is>
      </c>
      <c r="B3706" s="1" t="n">
        <v>44586</v>
      </c>
      <c r="C3706" s="1" t="n">
        <v>45845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3741-2022</t>
        </is>
      </c>
      <c r="B3707" s="1" t="n">
        <v>44586</v>
      </c>
      <c r="C3707" s="1" t="n">
        <v>45845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3810-2022</t>
        </is>
      </c>
      <c r="B3708" s="1" t="n">
        <v>44587</v>
      </c>
      <c r="C3708" s="1" t="n">
        <v>45845</v>
      </c>
      <c r="D3708" t="inlineStr">
        <is>
          <t>KRONOBERGS LÄN</t>
        </is>
      </c>
      <c r="E3708" t="inlineStr">
        <is>
          <t>ÄLMHULT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3918-2022</t>
        </is>
      </c>
      <c r="B3709" s="1" t="n">
        <v>44587</v>
      </c>
      <c r="C3709" s="1" t="n">
        <v>45845</v>
      </c>
      <c r="D3709" t="inlineStr">
        <is>
          <t>KRONOBERGS LÄN</t>
        </is>
      </c>
      <c r="E3709" t="inlineStr">
        <is>
          <t>ÄLMHULT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3840-2022</t>
        </is>
      </c>
      <c r="B3710" s="1" t="n">
        <v>44587</v>
      </c>
      <c r="C3710" s="1" t="n">
        <v>45845</v>
      </c>
      <c r="D3710" t="inlineStr">
        <is>
          <t>KRONOBERGS LÄN</t>
        </is>
      </c>
      <c r="E3710" t="inlineStr">
        <is>
          <t>MARKARYD</t>
        </is>
      </c>
      <c r="G3710" t="n">
        <v>6.4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3850-2022</t>
        </is>
      </c>
      <c r="B3711" s="1" t="n">
        <v>44587</v>
      </c>
      <c r="C3711" s="1" t="n">
        <v>45845</v>
      </c>
      <c r="D3711" t="inlineStr">
        <is>
          <t>KRONOBERGS LÄN</t>
        </is>
      </c>
      <c r="E3711" t="inlineStr">
        <is>
          <t>LJUNGBY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3956-2022</t>
        </is>
      </c>
      <c r="B3712" s="1" t="n">
        <v>44587</v>
      </c>
      <c r="C3712" s="1" t="n">
        <v>45845</v>
      </c>
      <c r="D3712" t="inlineStr">
        <is>
          <t>KRONOBERGS LÄN</t>
        </is>
      </c>
      <c r="E3712" t="inlineStr">
        <is>
          <t>LJUNGBY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3955-2022</t>
        </is>
      </c>
      <c r="B3713" s="1" t="n">
        <v>44587</v>
      </c>
      <c r="C3713" s="1" t="n">
        <v>45845</v>
      </c>
      <c r="D3713" t="inlineStr">
        <is>
          <t>KRONOBERGS LÄN</t>
        </is>
      </c>
      <c r="E3713" t="inlineStr">
        <is>
          <t>LESSEBO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3966-2022</t>
        </is>
      </c>
      <c r="B3714" s="1" t="n">
        <v>44587</v>
      </c>
      <c r="C3714" s="1" t="n">
        <v>45845</v>
      </c>
      <c r="D3714" t="inlineStr">
        <is>
          <t>KRONOBERGS LÄN</t>
        </is>
      </c>
      <c r="E3714" t="inlineStr">
        <is>
          <t>MARKARYD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4073-2022</t>
        </is>
      </c>
      <c r="B3715" s="1" t="n">
        <v>44588</v>
      </c>
      <c r="C3715" s="1" t="n">
        <v>45845</v>
      </c>
      <c r="D3715" t="inlineStr">
        <is>
          <t>KRONOBERGS LÄN</t>
        </is>
      </c>
      <c r="E3715" t="inlineStr">
        <is>
          <t>LJUNGBY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4200-2022</t>
        </is>
      </c>
      <c r="B3716" s="1" t="n">
        <v>44588</v>
      </c>
      <c r="C3716" s="1" t="n">
        <v>45845</v>
      </c>
      <c r="D3716" t="inlineStr">
        <is>
          <t>KRONOBERGS LÄN</t>
        </is>
      </c>
      <c r="E3716" t="inlineStr">
        <is>
          <t>LESSEBO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4234-2022</t>
        </is>
      </c>
      <c r="B3717" s="1" t="n">
        <v>44588</v>
      </c>
      <c r="C3717" s="1" t="n">
        <v>45845</v>
      </c>
      <c r="D3717" t="inlineStr">
        <is>
          <t>KRONOBERGS LÄN</t>
        </is>
      </c>
      <c r="E3717" t="inlineStr">
        <is>
          <t>UPPVIDINGE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4413-2022</t>
        </is>
      </c>
      <c r="B3718" s="1" t="n">
        <v>44589</v>
      </c>
      <c r="C3718" s="1" t="n">
        <v>45845</v>
      </c>
      <c r="D3718" t="inlineStr">
        <is>
          <t>KRONOBERGS LÄN</t>
        </is>
      </c>
      <c r="E3718" t="inlineStr">
        <is>
          <t>LESSEBO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4547-2022</t>
        </is>
      </c>
      <c r="B3719" s="1" t="n">
        <v>44590</v>
      </c>
      <c r="C3719" s="1" t="n">
        <v>45845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4546-2022</t>
        </is>
      </c>
      <c r="B3720" s="1" t="n">
        <v>44590</v>
      </c>
      <c r="C3720" s="1" t="n">
        <v>45845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4616-2022</t>
        </is>
      </c>
      <c r="B3721" s="1" t="n">
        <v>44592</v>
      </c>
      <c r="C3721" s="1" t="n">
        <v>45845</v>
      </c>
      <c r="D3721" t="inlineStr">
        <is>
          <t>KRONOBERGS LÄN</t>
        </is>
      </c>
      <c r="E3721" t="inlineStr">
        <is>
          <t>TINGSRYD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4618-2022</t>
        </is>
      </c>
      <c r="B3722" s="1" t="n">
        <v>44592</v>
      </c>
      <c r="C3722" s="1" t="n">
        <v>45845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4693-2022</t>
        </is>
      </c>
      <c r="B3723" s="1" t="n">
        <v>44592</v>
      </c>
      <c r="C3723" s="1" t="n">
        <v>45845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4721-2022</t>
        </is>
      </c>
      <c r="B3724" s="1" t="n">
        <v>44592</v>
      </c>
      <c r="C3724" s="1" t="n">
        <v>45845</v>
      </c>
      <c r="D3724" t="inlineStr">
        <is>
          <t>KRONOBERGS LÄN</t>
        </is>
      </c>
      <c r="E3724" t="inlineStr">
        <is>
          <t>VÄXJÖ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4712-2022</t>
        </is>
      </c>
      <c r="B3725" s="1" t="n">
        <v>44592</v>
      </c>
      <c r="C3725" s="1" t="n">
        <v>45845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4713-2022</t>
        </is>
      </c>
      <c r="B3726" s="1" t="n">
        <v>44592</v>
      </c>
      <c r="C3726" s="1" t="n">
        <v>45845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4747-2022</t>
        </is>
      </c>
      <c r="B3727" s="1" t="n">
        <v>44592</v>
      </c>
      <c r="C3727" s="1" t="n">
        <v>45845</v>
      </c>
      <c r="D3727" t="inlineStr">
        <is>
          <t>KRONOBERGS LÄN</t>
        </is>
      </c>
      <c r="E3727" t="inlineStr">
        <is>
          <t>ÄLMHULT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4801-2022</t>
        </is>
      </c>
      <c r="B3728" s="1" t="n">
        <v>44592</v>
      </c>
      <c r="C3728" s="1" t="n">
        <v>45845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4804-2022</t>
        </is>
      </c>
      <c r="B3729" s="1" t="n">
        <v>44592</v>
      </c>
      <c r="C3729" s="1" t="n">
        <v>45845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4823-2022</t>
        </is>
      </c>
      <c r="B3730" s="1" t="n">
        <v>44592</v>
      </c>
      <c r="C3730" s="1" t="n">
        <v>45845</v>
      </c>
      <c r="D3730" t="inlineStr">
        <is>
          <t>KRONOBERGS LÄN</t>
        </is>
      </c>
      <c r="E3730" t="inlineStr">
        <is>
          <t>UPPVIDINGE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4784-2022</t>
        </is>
      </c>
      <c r="B3731" s="1" t="n">
        <v>44592</v>
      </c>
      <c r="C3731" s="1" t="n">
        <v>45845</v>
      </c>
      <c r="D3731" t="inlineStr">
        <is>
          <t>KRONOBERGS LÄN</t>
        </is>
      </c>
      <c r="E3731" t="inlineStr">
        <is>
          <t>ALVESTA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5003-2022</t>
        </is>
      </c>
      <c r="B3732" s="1" t="n">
        <v>44593</v>
      </c>
      <c r="C3732" s="1" t="n">
        <v>45845</v>
      </c>
      <c r="D3732" t="inlineStr">
        <is>
          <t>KRONOBERGS LÄN</t>
        </is>
      </c>
      <c r="E3732" t="inlineStr">
        <is>
          <t>ALVESTA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5024-2022</t>
        </is>
      </c>
      <c r="B3733" s="1" t="n">
        <v>44593</v>
      </c>
      <c r="C3733" s="1" t="n">
        <v>45845</v>
      </c>
      <c r="D3733" t="inlineStr">
        <is>
          <t>KRONOBERGS LÄN</t>
        </is>
      </c>
      <c r="E3733" t="inlineStr">
        <is>
          <t>UPPVIDINGE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5036-2022</t>
        </is>
      </c>
      <c r="B3734" s="1" t="n">
        <v>44593</v>
      </c>
      <c r="C3734" s="1" t="n">
        <v>45845</v>
      </c>
      <c r="D3734" t="inlineStr">
        <is>
          <t>KRONOBERGS LÄN</t>
        </is>
      </c>
      <c r="E3734" t="inlineStr">
        <is>
          <t>UPPVIDINGE</t>
        </is>
      </c>
      <c r="G3734" t="n">
        <v>9.6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5472-2022</t>
        </is>
      </c>
      <c r="B3735" s="1" t="n">
        <v>44595</v>
      </c>
      <c r="C3735" s="1" t="n">
        <v>45845</v>
      </c>
      <c r="D3735" t="inlineStr">
        <is>
          <t>KRONOBERGS LÄN</t>
        </is>
      </c>
      <c r="E3735" t="inlineStr">
        <is>
          <t>MARKARYD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5514-2022</t>
        </is>
      </c>
      <c r="B3736" s="1" t="n">
        <v>44595</v>
      </c>
      <c r="C3736" s="1" t="n">
        <v>45845</v>
      </c>
      <c r="D3736" t="inlineStr">
        <is>
          <t>KRONOBERGS LÄN</t>
        </is>
      </c>
      <c r="E3736" t="inlineStr">
        <is>
          <t>UPPVIDINGE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5477-2022</t>
        </is>
      </c>
      <c r="B3737" s="1" t="n">
        <v>44595</v>
      </c>
      <c r="C3737" s="1" t="n">
        <v>45845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5413-2022</t>
        </is>
      </c>
      <c r="B3738" s="1" t="n">
        <v>44595</v>
      </c>
      <c r="C3738" s="1" t="n">
        <v>45845</v>
      </c>
      <c r="D3738" t="inlineStr">
        <is>
          <t>KRONOBERGS LÄN</t>
        </is>
      </c>
      <c r="E3738" t="inlineStr">
        <is>
          <t>MARKARYD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5563-2022</t>
        </is>
      </c>
      <c r="B3739" s="1" t="n">
        <v>44595</v>
      </c>
      <c r="C3739" s="1" t="n">
        <v>45845</v>
      </c>
      <c r="D3739" t="inlineStr">
        <is>
          <t>KRONOBERGS LÄN</t>
        </is>
      </c>
      <c r="E3739" t="inlineStr">
        <is>
          <t>LJUNGBY</t>
        </is>
      </c>
      <c r="F3739" t="inlineStr">
        <is>
          <t>Kyrkan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5494-2022</t>
        </is>
      </c>
      <c r="B3740" s="1" t="n">
        <v>44595</v>
      </c>
      <c r="C3740" s="1" t="n">
        <v>45845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5683-2022</t>
        </is>
      </c>
      <c r="B3741" s="1" t="n">
        <v>44596</v>
      </c>
      <c r="C3741" s="1" t="n">
        <v>45845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5673-2022</t>
        </is>
      </c>
      <c r="B3742" s="1" t="n">
        <v>44596</v>
      </c>
      <c r="C3742" s="1" t="n">
        <v>45845</v>
      </c>
      <c r="D3742" t="inlineStr">
        <is>
          <t>KRONOBERGS LÄN</t>
        </is>
      </c>
      <c r="E3742" t="inlineStr">
        <is>
          <t>VÄXJÖ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5813-2022</t>
        </is>
      </c>
      <c r="B3743" s="1" t="n">
        <v>44596</v>
      </c>
      <c r="C3743" s="1" t="n">
        <v>45845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5869-2022</t>
        </is>
      </c>
      <c r="B3744" s="1" t="n">
        <v>44596</v>
      </c>
      <c r="C3744" s="1" t="n">
        <v>45845</v>
      </c>
      <c r="D3744" t="inlineStr">
        <is>
          <t>KRONOBERGS LÄN</t>
        </is>
      </c>
      <c r="E3744" t="inlineStr">
        <is>
          <t>VÄXJÖ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5916-2022</t>
        </is>
      </c>
      <c r="B3745" s="1" t="n">
        <v>44597</v>
      </c>
      <c r="C3745" s="1" t="n">
        <v>45845</v>
      </c>
      <c r="D3745" t="inlineStr">
        <is>
          <t>KRONOBERGS LÄN</t>
        </is>
      </c>
      <c r="E3745" t="inlineStr">
        <is>
          <t>ALVESTA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5917-2022</t>
        </is>
      </c>
      <c r="B3746" s="1" t="n">
        <v>44597</v>
      </c>
      <c r="C3746" s="1" t="n">
        <v>45845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5915-2022</t>
        </is>
      </c>
      <c r="B3747" s="1" t="n">
        <v>44597</v>
      </c>
      <c r="C3747" s="1" t="n">
        <v>45845</v>
      </c>
      <c r="D3747" t="inlineStr">
        <is>
          <t>KRONOBERGS LÄN</t>
        </is>
      </c>
      <c r="E3747" t="inlineStr">
        <is>
          <t>ALVESTA</t>
        </is>
      </c>
      <c r="G3747" t="n">
        <v>2.7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5960-2022</t>
        </is>
      </c>
      <c r="B3748" s="1" t="n">
        <v>44599</v>
      </c>
      <c r="C3748" s="1" t="n">
        <v>45845</v>
      </c>
      <c r="D3748" t="inlineStr">
        <is>
          <t>KRONOBERGS LÄN</t>
        </is>
      </c>
      <c r="E3748" t="inlineStr">
        <is>
          <t>ÄLMHULT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6018-2022</t>
        </is>
      </c>
      <c r="B3749" s="1" t="n">
        <v>44599</v>
      </c>
      <c r="C3749" s="1" t="n">
        <v>45845</v>
      </c>
      <c r="D3749" t="inlineStr">
        <is>
          <t>KRONOBERGS LÄN</t>
        </is>
      </c>
      <c r="E3749" t="inlineStr">
        <is>
          <t>TINGSRYD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6052-2022</t>
        </is>
      </c>
      <c r="B3750" s="1" t="n">
        <v>44599</v>
      </c>
      <c r="C3750" s="1" t="n">
        <v>45845</v>
      </c>
      <c r="D3750" t="inlineStr">
        <is>
          <t>KRONOBERGS LÄN</t>
        </is>
      </c>
      <c r="E3750" t="inlineStr">
        <is>
          <t>VÄXJÖ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6058-2022</t>
        </is>
      </c>
      <c r="B3751" s="1" t="n">
        <v>44599</v>
      </c>
      <c r="C3751" s="1" t="n">
        <v>45845</v>
      </c>
      <c r="D3751" t="inlineStr">
        <is>
          <t>KRONOBERGS LÄN</t>
        </is>
      </c>
      <c r="E3751" t="inlineStr">
        <is>
          <t>VÄXJÖ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5962-2022</t>
        </is>
      </c>
      <c r="B3752" s="1" t="n">
        <v>44599</v>
      </c>
      <c r="C3752" s="1" t="n">
        <v>45845</v>
      </c>
      <c r="D3752" t="inlineStr">
        <is>
          <t>KRONOBERGS LÄN</t>
        </is>
      </c>
      <c r="E3752" t="inlineStr">
        <is>
          <t>TINGSRYD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6051-2022</t>
        </is>
      </c>
      <c r="B3753" s="1" t="n">
        <v>44599</v>
      </c>
      <c r="C3753" s="1" t="n">
        <v>45845</v>
      </c>
      <c r="D3753" t="inlineStr">
        <is>
          <t>KRONOBERGS LÄN</t>
        </is>
      </c>
      <c r="E3753" t="inlineStr">
        <is>
          <t>VÄXJÖ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6133-2022</t>
        </is>
      </c>
      <c r="B3754" s="1" t="n">
        <v>44599</v>
      </c>
      <c r="C3754" s="1" t="n">
        <v>45845</v>
      </c>
      <c r="D3754" t="inlineStr">
        <is>
          <t>KRONOBERGS LÄN</t>
        </is>
      </c>
      <c r="E3754" t="inlineStr">
        <is>
          <t>VÄXJÖ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6119-2022</t>
        </is>
      </c>
      <c r="B3755" s="1" t="n">
        <v>44599</v>
      </c>
      <c r="C3755" s="1" t="n">
        <v>45845</v>
      </c>
      <c r="D3755" t="inlineStr">
        <is>
          <t>KRONOBERGS LÄN</t>
        </is>
      </c>
      <c r="E3755" t="inlineStr">
        <is>
          <t>UPPVIDINGE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6132-2022</t>
        </is>
      </c>
      <c r="B3756" s="1" t="n">
        <v>44599</v>
      </c>
      <c r="C3756" s="1" t="n">
        <v>45845</v>
      </c>
      <c r="D3756" t="inlineStr">
        <is>
          <t>KRONOBERGS LÄN</t>
        </is>
      </c>
      <c r="E3756" t="inlineStr">
        <is>
          <t>VÄXJÖ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6139-2022</t>
        </is>
      </c>
      <c r="B3757" s="1" t="n">
        <v>44599</v>
      </c>
      <c r="C3757" s="1" t="n">
        <v>45845</v>
      </c>
      <c r="D3757" t="inlineStr">
        <is>
          <t>KRONOBERGS LÄN</t>
        </is>
      </c>
      <c r="E3757" t="inlineStr">
        <is>
          <t>TINGSRYD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6131-2022</t>
        </is>
      </c>
      <c r="B3758" s="1" t="n">
        <v>44599</v>
      </c>
      <c r="C3758" s="1" t="n">
        <v>45845</v>
      </c>
      <c r="D3758" t="inlineStr">
        <is>
          <t>KRONOBERGS LÄN</t>
        </is>
      </c>
      <c r="E3758" t="inlineStr">
        <is>
          <t>VÄXJÖ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6183-2022</t>
        </is>
      </c>
      <c r="B3759" s="1" t="n">
        <v>44600</v>
      </c>
      <c r="C3759" s="1" t="n">
        <v>45845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6210-2022</t>
        </is>
      </c>
      <c r="B3760" s="1" t="n">
        <v>44600</v>
      </c>
      <c r="C3760" s="1" t="n">
        <v>45845</v>
      </c>
      <c r="D3760" t="inlineStr">
        <is>
          <t>KRONOBERGS LÄN</t>
        </is>
      </c>
      <c r="E3760" t="inlineStr">
        <is>
          <t>ALVESTA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6403-2022</t>
        </is>
      </c>
      <c r="B3761" s="1" t="n">
        <v>44600</v>
      </c>
      <c r="C3761" s="1" t="n">
        <v>45845</v>
      </c>
      <c r="D3761" t="inlineStr">
        <is>
          <t>KRONOBERGS LÄN</t>
        </is>
      </c>
      <c r="E3761" t="inlineStr">
        <is>
          <t>UPPVIDINGE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6479-2022</t>
        </is>
      </c>
      <c r="B3762" s="1" t="n">
        <v>44601</v>
      </c>
      <c r="C3762" s="1" t="n">
        <v>45845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6554-2022</t>
        </is>
      </c>
      <c r="B3763" s="1" t="n">
        <v>44601</v>
      </c>
      <c r="C3763" s="1" t="n">
        <v>45845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6561-2022</t>
        </is>
      </c>
      <c r="B3764" s="1" t="n">
        <v>44601</v>
      </c>
      <c r="C3764" s="1" t="n">
        <v>45845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6475-2022</t>
        </is>
      </c>
      <c r="B3765" s="1" t="n">
        <v>44601</v>
      </c>
      <c r="C3765" s="1" t="n">
        <v>45845</v>
      </c>
      <c r="D3765" t="inlineStr">
        <is>
          <t>KRONOBERGS LÄN</t>
        </is>
      </c>
      <c r="E3765" t="inlineStr">
        <is>
          <t>ALVESTA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6556-2022</t>
        </is>
      </c>
      <c r="B3766" s="1" t="n">
        <v>44601</v>
      </c>
      <c r="C3766" s="1" t="n">
        <v>45845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6489-2022</t>
        </is>
      </c>
      <c r="B3767" s="1" t="n">
        <v>44601</v>
      </c>
      <c r="C3767" s="1" t="n">
        <v>45845</v>
      </c>
      <c r="D3767" t="inlineStr">
        <is>
          <t>KRONOBERGS LÄN</t>
        </is>
      </c>
      <c r="E3767" t="inlineStr">
        <is>
          <t>ALVESTA</t>
        </is>
      </c>
      <c r="G3767" t="n">
        <v>0.1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6559-2022</t>
        </is>
      </c>
      <c r="B3768" s="1" t="n">
        <v>44601</v>
      </c>
      <c r="C3768" s="1" t="n">
        <v>45845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6463-2022</t>
        </is>
      </c>
      <c r="B3769" s="1" t="n">
        <v>44601</v>
      </c>
      <c r="C3769" s="1" t="n">
        <v>45845</v>
      </c>
      <c r="D3769" t="inlineStr">
        <is>
          <t>KRONOBERGS LÄN</t>
        </is>
      </c>
      <c r="E3769" t="inlineStr">
        <is>
          <t>MARKARYD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6568-2022</t>
        </is>
      </c>
      <c r="B3770" s="1" t="n">
        <v>44601</v>
      </c>
      <c r="C3770" s="1" t="n">
        <v>45845</v>
      </c>
      <c r="D3770" t="inlineStr">
        <is>
          <t>KRONOBERGS LÄN</t>
        </is>
      </c>
      <c r="E3770" t="inlineStr">
        <is>
          <t>MARKARYD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6622-2022</t>
        </is>
      </c>
      <c r="B3771" s="1" t="n">
        <v>44601</v>
      </c>
      <c r="C3771" s="1" t="n">
        <v>45845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6564-2022</t>
        </is>
      </c>
      <c r="B3772" s="1" t="n">
        <v>44601</v>
      </c>
      <c r="C3772" s="1" t="n">
        <v>45845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6771-2022</t>
        </is>
      </c>
      <c r="B3773" s="1" t="n">
        <v>44602</v>
      </c>
      <c r="C3773" s="1" t="n">
        <v>45845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6809-2022</t>
        </is>
      </c>
      <c r="B3774" s="1" t="n">
        <v>44602</v>
      </c>
      <c r="C3774" s="1" t="n">
        <v>45845</v>
      </c>
      <c r="D3774" t="inlineStr">
        <is>
          <t>KRONOBERGS LÄN</t>
        </is>
      </c>
      <c r="E3774" t="inlineStr">
        <is>
          <t>VÄXJÖ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6823-2022</t>
        </is>
      </c>
      <c r="B3775" s="1" t="n">
        <v>44602</v>
      </c>
      <c r="C3775" s="1" t="n">
        <v>45845</v>
      </c>
      <c r="D3775" t="inlineStr">
        <is>
          <t>KRONOBERGS LÄN</t>
        </is>
      </c>
      <c r="E3775" t="inlineStr">
        <is>
          <t>ÄLMHULT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6930-2022</t>
        </is>
      </c>
      <c r="B3776" s="1" t="n">
        <v>44602</v>
      </c>
      <c r="C3776" s="1" t="n">
        <v>45845</v>
      </c>
      <c r="D3776" t="inlineStr">
        <is>
          <t>KRONOBERGS LÄN</t>
        </is>
      </c>
      <c r="E3776" t="inlineStr">
        <is>
          <t>TINGSRYD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6807-2022</t>
        </is>
      </c>
      <c r="B3777" s="1" t="n">
        <v>44602</v>
      </c>
      <c r="C3777" s="1" t="n">
        <v>45845</v>
      </c>
      <c r="D3777" t="inlineStr">
        <is>
          <t>KRONOBERGS LÄN</t>
        </is>
      </c>
      <c r="E3777" t="inlineStr">
        <is>
          <t>UPPVIDINGE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6821-2022</t>
        </is>
      </c>
      <c r="B3778" s="1" t="n">
        <v>44602</v>
      </c>
      <c r="C3778" s="1" t="n">
        <v>45845</v>
      </c>
      <c r="D3778" t="inlineStr">
        <is>
          <t>KRONOBERGS LÄN</t>
        </is>
      </c>
      <c r="E3778" t="inlineStr">
        <is>
          <t>ÄLMHULT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6926-2022</t>
        </is>
      </c>
      <c r="B3779" s="1" t="n">
        <v>44602</v>
      </c>
      <c r="C3779" s="1" t="n">
        <v>45845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6829-2022</t>
        </is>
      </c>
      <c r="B3780" s="1" t="n">
        <v>44602</v>
      </c>
      <c r="C3780" s="1" t="n">
        <v>45845</v>
      </c>
      <c r="D3780" t="inlineStr">
        <is>
          <t>KRONOBERGS LÄN</t>
        </is>
      </c>
      <c r="E3780" t="inlineStr">
        <is>
          <t>ÄLMHULT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6929-2022</t>
        </is>
      </c>
      <c r="B3781" s="1" t="n">
        <v>44602</v>
      </c>
      <c r="C3781" s="1" t="n">
        <v>45845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6924-2022</t>
        </is>
      </c>
      <c r="B3782" s="1" t="n">
        <v>44602</v>
      </c>
      <c r="C3782" s="1" t="n">
        <v>45845</v>
      </c>
      <c r="D3782" t="inlineStr">
        <is>
          <t>KRONOBERGS LÄN</t>
        </is>
      </c>
      <c r="E3782" t="inlineStr">
        <is>
          <t>UPPVIDINGE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6952-2022</t>
        </is>
      </c>
      <c r="B3783" s="1" t="n">
        <v>44603</v>
      </c>
      <c r="C3783" s="1" t="n">
        <v>45845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6923-2022</t>
        </is>
      </c>
      <c r="B3784" s="1" t="n">
        <v>44603</v>
      </c>
      <c r="C3784" s="1" t="n">
        <v>45845</v>
      </c>
      <c r="D3784" t="inlineStr">
        <is>
          <t>KRONOBERGS LÄN</t>
        </is>
      </c>
      <c r="E3784" t="inlineStr">
        <is>
          <t>UPPVIDINGE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7104-2022</t>
        </is>
      </c>
      <c r="B3785" s="1" t="n">
        <v>44603</v>
      </c>
      <c r="C3785" s="1" t="n">
        <v>45845</v>
      </c>
      <c r="D3785" t="inlineStr">
        <is>
          <t>KRONOBERGS LÄN</t>
        </is>
      </c>
      <c r="E3785" t="inlineStr">
        <is>
          <t>UPPVIDINGE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7114-2022</t>
        </is>
      </c>
      <c r="B3786" s="1" t="n">
        <v>44603</v>
      </c>
      <c r="C3786" s="1" t="n">
        <v>45845</v>
      </c>
      <c r="D3786" t="inlineStr">
        <is>
          <t>KRONOBERGS LÄN</t>
        </is>
      </c>
      <c r="E3786" t="inlineStr">
        <is>
          <t>LJUNGBY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7087-2022</t>
        </is>
      </c>
      <c r="B3787" s="1" t="n">
        <v>44603</v>
      </c>
      <c r="C3787" s="1" t="n">
        <v>45845</v>
      </c>
      <c r="D3787" t="inlineStr">
        <is>
          <t>KRONOBERGS LÄN</t>
        </is>
      </c>
      <c r="E3787" t="inlineStr">
        <is>
          <t>LESSEBO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7107-2022</t>
        </is>
      </c>
      <c r="B3788" s="1" t="n">
        <v>44603</v>
      </c>
      <c r="C3788" s="1" t="n">
        <v>45845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7113-2022</t>
        </is>
      </c>
      <c r="B3789" s="1" t="n">
        <v>44603</v>
      </c>
      <c r="C3789" s="1" t="n">
        <v>45845</v>
      </c>
      <c r="D3789" t="inlineStr">
        <is>
          <t>KRONOBERGS LÄN</t>
        </is>
      </c>
      <c r="E3789" t="inlineStr">
        <is>
          <t>LJUNGBY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7219-2022</t>
        </is>
      </c>
      <c r="B3790" s="1" t="n">
        <v>44603</v>
      </c>
      <c r="C3790" s="1" t="n">
        <v>45845</v>
      </c>
      <c r="D3790" t="inlineStr">
        <is>
          <t>KRONOBERGS LÄN</t>
        </is>
      </c>
      <c r="E3790" t="inlineStr">
        <is>
          <t>VÄXJÖ</t>
        </is>
      </c>
      <c r="F3790" t="inlineStr">
        <is>
          <t>Kyrkan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7245-2022</t>
        </is>
      </c>
      <c r="B3791" s="1" t="n">
        <v>44606</v>
      </c>
      <c r="C3791" s="1" t="n">
        <v>45845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7287-2022</t>
        </is>
      </c>
      <c r="B3792" s="1" t="n">
        <v>44606</v>
      </c>
      <c r="C3792" s="1" t="n">
        <v>45845</v>
      </c>
      <c r="D3792" t="inlineStr">
        <is>
          <t>KRONOBERGS LÄN</t>
        </is>
      </c>
      <c r="E3792" t="inlineStr">
        <is>
          <t>ALVESTA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7273-2022</t>
        </is>
      </c>
      <c r="B3793" s="1" t="n">
        <v>44606</v>
      </c>
      <c r="C3793" s="1" t="n">
        <v>45845</v>
      </c>
      <c r="D3793" t="inlineStr">
        <is>
          <t>KRONOBERGS LÄN</t>
        </is>
      </c>
      <c r="E3793" t="inlineStr">
        <is>
          <t>LJUNGBY</t>
        </is>
      </c>
      <c r="G3793" t="n">
        <v>0.1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7237-2022</t>
        </is>
      </c>
      <c r="B3794" s="1" t="n">
        <v>44606</v>
      </c>
      <c r="C3794" s="1" t="n">
        <v>45845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7290-2022</t>
        </is>
      </c>
      <c r="B3795" s="1" t="n">
        <v>44606</v>
      </c>
      <c r="C3795" s="1" t="n">
        <v>45845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7388-2022</t>
        </is>
      </c>
      <c r="B3796" s="1" t="n">
        <v>44606</v>
      </c>
      <c r="C3796" s="1" t="n">
        <v>45845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7395-2022</t>
        </is>
      </c>
      <c r="B3797" s="1" t="n">
        <v>44606</v>
      </c>
      <c r="C3797" s="1" t="n">
        <v>45845</v>
      </c>
      <c r="D3797" t="inlineStr">
        <is>
          <t>KRONOBERGS LÄN</t>
        </is>
      </c>
      <c r="E3797" t="inlineStr">
        <is>
          <t>MARKARYD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7549-2022</t>
        </is>
      </c>
      <c r="B3798" s="1" t="n">
        <v>44607</v>
      </c>
      <c r="C3798" s="1" t="n">
        <v>45845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7539-2022</t>
        </is>
      </c>
      <c r="B3799" s="1" t="n">
        <v>44607</v>
      </c>
      <c r="C3799" s="1" t="n">
        <v>45845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7553-2022</t>
        </is>
      </c>
      <c r="B3800" s="1" t="n">
        <v>44607</v>
      </c>
      <c r="C3800" s="1" t="n">
        <v>45845</v>
      </c>
      <c r="D3800" t="inlineStr">
        <is>
          <t>KRONOBERGS LÄN</t>
        </is>
      </c>
      <c r="E3800" t="inlineStr">
        <is>
          <t>VÄXJÖ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7623-2022</t>
        </is>
      </c>
      <c r="B3801" s="1" t="n">
        <v>44607</v>
      </c>
      <c r="C3801" s="1" t="n">
        <v>45845</v>
      </c>
      <c r="D3801" t="inlineStr">
        <is>
          <t>KRONOBERGS LÄN</t>
        </is>
      </c>
      <c r="E3801" t="inlineStr">
        <is>
          <t>LJUNGBY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8013-2022</t>
        </is>
      </c>
      <c r="B3802" s="1" t="n">
        <v>44607</v>
      </c>
      <c r="C3802" s="1" t="n">
        <v>45845</v>
      </c>
      <c r="D3802" t="inlineStr">
        <is>
          <t>KRONOBERGS LÄN</t>
        </is>
      </c>
      <c r="E3802" t="inlineStr">
        <is>
          <t>UPPVIDINGE</t>
        </is>
      </c>
      <c r="G3802" t="n">
        <v>5.7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8006-2022</t>
        </is>
      </c>
      <c r="B3803" s="1" t="n">
        <v>44607</v>
      </c>
      <c r="C3803" s="1" t="n">
        <v>45845</v>
      </c>
      <c r="D3803" t="inlineStr">
        <is>
          <t>KRONOBERGS LÄN</t>
        </is>
      </c>
      <c r="E3803" t="inlineStr">
        <is>
          <t>UPPVIDINGE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7755-2022</t>
        </is>
      </c>
      <c r="B3804" s="1" t="n">
        <v>44608</v>
      </c>
      <c r="C3804" s="1" t="n">
        <v>45845</v>
      </c>
      <c r="D3804" t="inlineStr">
        <is>
          <t>KRONOBERGS LÄN</t>
        </is>
      </c>
      <c r="E3804" t="inlineStr">
        <is>
          <t>TINGSRYD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7731-2022</t>
        </is>
      </c>
      <c r="B3805" s="1" t="n">
        <v>44608</v>
      </c>
      <c r="C3805" s="1" t="n">
        <v>45845</v>
      </c>
      <c r="D3805" t="inlineStr">
        <is>
          <t>KRONOBERGS LÄN</t>
        </is>
      </c>
      <c r="E3805" t="inlineStr">
        <is>
          <t>ALVESTA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8038-2022</t>
        </is>
      </c>
      <c r="B3806" s="1" t="n">
        <v>44609</v>
      </c>
      <c r="C3806" s="1" t="n">
        <v>45845</v>
      </c>
      <c r="D3806" t="inlineStr">
        <is>
          <t>KRONOBERGS LÄN</t>
        </is>
      </c>
      <c r="E3806" t="inlineStr">
        <is>
          <t>VÄXJÖ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8092-2022</t>
        </is>
      </c>
      <c r="B3807" s="1" t="n">
        <v>44609</v>
      </c>
      <c r="C3807" s="1" t="n">
        <v>45845</v>
      </c>
      <c r="D3807" t="inlineStr">
        <is>
          <t>KRONOBERGS LÄN</t>
        </is>
      </c>
      <c r="E3807" t="inlineStr">
        <is>
          <t>UPPVIDINGE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8060-2022</t>
        </is>
      </c>
      <c r="B3808" s="1" t="n">
        <v>44609</v>
      </c>
      <c r="C3808" s="1" t="n">
        <v>45845</v>
      </c>
      <c r="D3808" t="inlineStr">
        <is>
          <t>KRONOBERGS LÄN</t>
        </is>
      </c>
      <c r="E3808" t="inlineStr">
        <is>
          <t>ÄLMHULT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7989-2022</t>
        </is>
      </c>
      <c r="B3809" s="1" t="n">
        <v>44609</v>
      </c>
      <c r="C3809" s="1" t="n">
        <v>45845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8037-2022</t>
        </is>
      </c>
      <c r="B3810" s="1" t="n">
        <v>44609</v>
      </c>
      <c r="C3810" s="1" t="n">
        <v>45845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8119-2022</t>
        </is>
      </c>
      <c r="B3811" s="1" t="n">
        <v>44609</v>
      </c>
      <c r="C3811" s="1" t="n">
        <v>45845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8201-2022</t>
        </is>
      </c>
      <c r="B3812" s="1" t="n">
        <v>44609</v>
      </c>
      <c r="C3812" s="1" t="n">
        <v>45845</v>
      </c>
      <c r="D3812" t="inlineStr">
        <is>
          <t>KRONOBERGS LÄN</t>
        </is>
      </c>
      <c r="E3812" t="inlineStr">
        <is>
          <t>UPPVIDINGE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8140-2022</t>
        </is>
      </c>
      <c r="B3813" s="1" t="n">
        <v>44609</v>
      </c>
      <c r="C3813" s="1" t="n">
        <v>45845</v>
      </c>
      <c r="D3813" t="inlineStr">
        <is>
          <t>KRONOBERGS LÄN</t>
        </is>
      </c>
      <c r="E3813" t="inlineStr">
        <is>
          <t>ALVESTA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8216-2022</t>
        </is>
      </c>
      <c r="B3814" s="1" t="n">
        <v>44609</v>
      </c>
      <c r="C3814" s="1" t="n">
        <v>45845</v>
      </c>
      <c r="D3814" t="inlineStr">
        <is>
          <t>KRONOBERGS LÄN</t>
        </is>
      </c>
      <c r="E3814" t="inlineStr">
        <is>
          <t>ÄLMHULT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8329-2022</t>
        </is>
      </c>
      <c r="B3815" s="1" t="n">
        <v>44610</v>
      </c>
      <c r="C3815" s="1" t="n">
        <v>45845</v>
      </c>
      <c r="D3815" t="inlineStr">
        <is>
          <t>KRONOBERGS LÄN</t>
        </is>
      </c>
      <c r="E3815" t="inlineStr">
        <is>
          <t>ÄLMHULT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8365-2022</t>
        </is>
      </c>
      <c r="B3816" s="1" t="n">
        <v>44610</v>
      </c>
      <c r="C3816" s="1" t="n">
        <v>45845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8299-2022</t>
        </is>
      </c>
      <c r="B3817" s="1" t="n">
        <v>44610</v>
      </c>
      <c r="C3817" s="1" t="n">
        <v>45845</v>
      </c>
      <c r="D3817" t="inlineStr">
        <is>
          <t>KRONOBERGS LÄN</t>
        </is>
      </c>
      <c r="E3817" t="inlineStr">
        <is>
          <t>UPPVIDINGE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8324-2022</t>
        </is>
      </c>
      <c r="B3818" s="1" t="n">
        <v>44610</v>
      </c>
      <c r="C3818" s="1" t="n">
        <v>45845</v>
      </c>
      <c r="D3818" t="inlineStr">
        <is>
          <t>KRONOBERGS LÄN</t>
        </is>
      </c>
      <c r="E3818" t="inlineStr">
        <is>
          <t>VÄXJÖ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8354-2022</t>
        </is>
      </c>
      <c r="B3819" s="1" t="n">
        <v>44610</v>
      </c>
      <c r="C3819" s="1" t="n">
        <v>45845</v>
      </c>
      <c r="D3819" t="inlineStr">
        <is>
          <t>KRONOBERGS LÄN</t>
        </is>
      </c>
      <c r="E3819" t="inlineStr">
        <is>
          <t>UPPVIDINGE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8247-2022</t>
        </is>
      </c>
      <c r="B3820" s="1" t="n">
        <v>44610</v>
      </c>
      <c r="C3820" s="1" t="n">
        <v>45845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8312-2022</t>
        </is>
      </c>
      <c r="B3821" s="1" t="n">
        <v>44610</v>
      </c>
      <c r="C3821" s="1" t="n">
        <v>45845</v>
      </c>
      <c r="D3821" t="inlineStr">
        <is>
          <t>KRONOBERGS LÄN</t>
        </is>
      </c>
      <c r="E3821" t="inlineStr">
        <is>
          <t>VÄXJÖ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8366-2022</t>
        </is>
      </c>
      <c r="B3822" s="1" t="n">
        <v>44610</v>
      </c>
      <c r="C3822" s="1" t="n">
        <v>45845</v>
      </c>
      <c r="D3822" t="inlineStr">
        <is>
          <t>KRONOBERGS LÄN</t>
        </is>
      </c>
      <c r="E3822" t="inlineStr">
        <is>
          <t>TINGSRYD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8359-2022</t>
        </is>
      </c>
      <c r="B3823" s="1" t="n">
        <v>44610</v>
      </c>
      <c r="C3823" s="1" t="n">
        <v>45845</v>
      </c>
      <c r="D3823" t="inlineStr">
        <is>
          <t>KRONOBERGS LÄN</t>
        </is>
      </c>
      <c r="E3823" t="inlineStr">
        <is>
          <t>UPPVIDINGE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8648-2022</t>
        </is>
      </c>
      <c r="B3824" s="1" t="n">
        <v>44613</v>
      </c>
      <c r="C3824" s="1" t="n">
        <v>45845</v>
      </c>
      <c r="D3824" t="inlineStr">
        <is>
          <t>KRONOBERGS LÄN</t>
        </is>
      </c>
      <c r="E3824" t="inlineStr">
        <is>
          <t>UPPVIDINGE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8653-2022</t>
        </is>
      </c>
      <c r="B3825" s="1" t="n">
        <v>44613</v>
      </c>
      <c r="C3825" s="1" t="n">
        <v>45845</v>
      </c>
      <c r="D3825" t="inlineStr">
        <is>
          <t>KRONOBERGS LÄN</t>
        </is>
      </c>
      <c r="E3825" t="inlineStr">
        <is>
          <t>ALVESTA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8635-2022</t>
        </is>
      </c>
      <c r="B3826" s="1" t="n">
        <v>44613</v>
      </c>
      <c r="C3826" s="1" t="n">
        <v>45845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8630-2022</t>
        </is>
      </c>
      <c r="B3827" s="1" t="n">
        <v>44613</v>
      </c>
      <c r="C3827" s="1" t="n">
        <v>45845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8652-2022</t>
        </is>
      </c>
      <c r="B3828" s="1" t="n">
        <v>44613</v>
      </c>
      <c r="C3828" s="1" t="n">
        <v>45845</v>
      </c>
      <c r="D3828" t="inlineStr">
        <is>
          <t>KRONOBERGS LÄN</t>
        </is>
      </c>
      <c r="E3828" t="inlineStr">
        <is>
          <t>UPPVIDINGE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8627-2022</t>
        </is>
      </c>
      <c r="B3829" s="1" t="n">
        <v>44613</v>
      </c>
      <c r="C3829" s="1" t="n">
        <v>45845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8480-2022</t>
        </is>
      </c>
      <c r="B3830" s="1" t="n">
        <v>44613</v>
      </c>
      <c r="C3830" s="1" t="n">
        <v>45845</v>
      </c>
      <c r="D3830" t="inlineStr">
        <is>
          <t>KRONOBERGS LÄN</t>
        </is>
      </c>
      <c r="E3830" t="inlineStr">
        <is>
          <t>VÄXJÖ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8508-2022</t>
        </is>
      </c>
      <c r="B3831" s="1" t="n">
        <v>44613</v>
      </c>
      <c r="C3831" s="1" t="n">
        <v>45845</v>
      </c>
      <c r="D3831" t="inlineStr">
        <is>
          <t>KRONOBERGS LÄN</t>
        </is>
      </c>
      <c r="E3831" t="inlineStr">
        <is>
          <t>UPPVIDINGE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8547-2022</t>
        </is>
      </c>
      <c r="B3832" s="1" t="n">
        <v>44613</v>
      </c>
      <c r="C3832" s="1" t="n">
        <v>45845</v>
      </c>
      <c r="D3832" t="inlineStr">
        <is>
          <t>KRONOBERGS LÄN</t>
        </is>
      </c>
      <c r="E3832" t="inlineStr">
        <is>
          <t>LJUNGBY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8789-2022</t>
        </is>
      </c>
      <c r="B3833" s="1" t="n">
        <v>44614</v>
      </c>
      <c r="C3833" s="1" t="n">
        <v>45845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8977-2022</t>
        </is>
      </c>
      <c r="B3834" s="1" t="n">
        <v>44614</v>
      </c>
      <c r="C3834" s="1" t="n">
        <v>45845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Naturvårdsverket</t>
        </is>
      </c>
      <c r="G3834" t="n">
        <v>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9000-2022</t>
        </is>
      </c>
      <c r="B3835" s="1" t="n">
        <v>44615</v>
      </c>
      <c r="C3835" s="1" t="n">
        <v>45845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9089-2022</t>
        </is>
      </c>
      <c r="B3836" s="1" t="n">
        <v>44615</v>
      </c>
      <c r="C3836" s="1" t="n">
        <v>45845</v>
      </c>
      <c r="D3836" t="inlineStr">
        <is>
          <t>KRONOBERGS LÄN</t>
        </is>
      </c>
      <c r="E3836" t="inlineStr">
        <is>
          <t>ALVESTA</t>
        </is>
      </c>
      <c r="F3836" t="inlineStr">
        <is>
          <t>Kommuner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9142-2022</t>
        </is>
      </c>
      <c r="B3837" s="1" t="n">
        <v>44615</v>
      </c>
      <c r="C3837" s="1" t="n">
        <v>45845</v>
      </c>
      <c r="D3837" t="inlineStr">
        <is>
          <t>KRONOBERGS LÄN</t>
        </is>
      </c>
      <c r="E3837" t="inlineStr">
        <is>
          <t>UPPVIDINGE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9152-2022</t>
        </is>
      </c>
      <c r="B3838" s="1" t="n">
        <v>44615</v>
      </c>
      <c r="C3838" s="1" t="n">
        <v>45845</v>
      </c>
      <c r="D3838" t="inlineStr">
        <is>
          <t>KRONOBERGS LÄN</t>
        </is>
      </c>
      <c r="E3838" t="inlineStr">
        <is>
          <t>ALVESTA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9149-2022</t>
        </is>
      </c>
      <c r="B3839" s="1" t="n">
        <v>44615</v>
      </c>
      <c r="C3839" s="1" t="n">
        <v>45845</v>
      </c>
      <c r="D3839" t="inlineStr">
        <is>
          <t>KRONOBERGS LÄN</t>
        </is>
      </c>
      <c r="E3839" t="inlineStr">
        <is>
          <t>ALVESTA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9146-2022</t>
        </is>
      </c>
      <c r="B3840" s="1" t="n">
        <v>44615</v>
      </c>
      <c r="C3840" s="1" t="n">
        <v>45845</v>
      </c>
      <c r="D3840" t="inlineStr">
        <is>
          <t>KRONOBERGS LÄN</t>
        </is>
      </c>
      <c r="E3840" t="inlineStr">
        <is>
          <t>ALVESTA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9276-2022</t>
        </is>
      </c>
      <c r="B3841" s="1" t="n">
        <v>44616</v>
      </c>
      <c r="C3841" s="1" t="n">
        <v>45845</v>
      </c>
      <c r="D3841" t="inlineStr">
        <is>
          <t>KRONOBERGS LÄN</t>
        </is>
      </c>
      <c r="E3841" t="inlineStr">
        <is>
          <t>MARKARYD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9566-2022</t>
        </is>
      </c>
      <c r="B3842" s="1" t="n">
        <v>44617</v>
      </c>
      <c r="C3842" s="1" t="n">
        <v>45845</v>
      </c>
      <c r="D3842" t="inlineStr">
        <is>
          <t>KRONOBERGS LÄN</t>
        </is>
      </c>
      <c r="E3842" t="inlineStr">
        <is>
          <t>VÄXJÖ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9647-2022</t>
        </is>
      </c>
      <c r="B3843" s="1" t="n">
        <v>44617</v>
      </c>
      <c r="C3843" s="1" t="n">
        <v>45845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9629-2022</t>
        </is>
      </c>
      <c r="B3844" s="1" t="n">
        <v>44617</v>
      </c>
      <c r="C3844" s="1" t="n">
        <v>45845</v>
      </c>
      <c r="D3844" t="inlineStr">
        <is>
          <t>KRONOBERGS LÄN</t>
        </is>
      </c>
      <c r="E3844" t="inlineStr">
        <is>
          <t>LJUNGBY</t>
        </is>
      </c>
      <c r="F3844" t="inlineStr">
        <is>
          <t>Kyrkan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9680-2022</t>
        </is>
      </c>
      <c r="B3845" s="1" t="n">
        <v>44617</v>
      </c>
      <c r="C3845" s="1" t="n">
        <v>45845</v>
      </c>
      <c r="D3845" t="inlineStr">
        <is>
          <t>KRONOBERGS LÄN</t>
        </is>
      </c>
      <c r="E3845" t="inlineStr">
        <is>
          <t>VÄXJÖ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9816-2022</t>
        </is>
      </c>
      <c r="B3846" s="1" t="n">
        <v>44620</v>
      </c>
      <c r="C3846" s="1" t="n">
        <v>45845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9833-2022</t>
        </is>
      </c>
      <c r="B3847" s="1" t="n">
        <v>44620</v>
      </c>
      <c r="C3847" s="1" t="n">
        <v>45845</v>
      </c>
      <c r="D3847" t="inlineStr">
        <is>
          <t>KRONOBERGS LÄN</t>
        </is>
      </c>
      <c r="E3847" t="inlineStr">
        <is>
          <t>ALVESTA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9866-2022</t>
        </is>
      </c>
      <c r="B3848" s="1" t="n">
        <v>44620</v>
      </c>
      <c r="C3848" s="1" t="n">
        <v>45845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9791-2022</t>
        </is>
      </c>
      <c r="B3849" s="1" t="n">
        <v>44620</v>
      </c>
      <c r="C3849" s="1" t="n">
        <v>45845</v>
      </c>
      <c r="D3849" t="inlineStr">
        <is>
          <t>KRONOBERGS LÄN</t>
        </is>
      </c>
      <c r="E3849" t="inlineStr">
        <is>
          <t>TINGSRYD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9841-2022</t>
        </is>
      </c>
      <c r="B3850" s="1" t="n">
        <v>44620</v>
      </c>
      <c r="C3850" s="1" t="n">
        <v>45845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9863-2022</t>
        </is>
      </c>
      <c r="B3851" s="1" t="n">
        <v>44620</v>
      </c>
      <c r="C3851" s="1" t="n">
        <v>45845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9870-2022</t>
        </is>
      </c>
      <c r="B3852" s="1" t="n">
        <v>44620</v>
      </c>
      <c r="C3852" s="1" t="n">
        <v>45845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9825-2022</t>
        </is>
      </c>
      <c r="B3853" s="1" t="n">
        <v>44620</v>
      </c>
      <c r="C3853" s="1" t="n">
        <v>45845</v>
      </c>
      <c r="D3853" t="inlineStr">
        <is>
          <t>KRONOBERGS LÄN</t>
        </is>
      </c>
      <c r="E3853" t="inlineStr">
        <is>
          <t>LJUNGBY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9822-2022</t>
        </is>
      </c>
      <c r="B3854" s="1" t="n">
        <v>44620</v>
      </c>
      <c r="C3854" s="1" t="n">
        <v>45845</v>
      </c>
      <c r="D3854" t="inlineStr">
        <is>
          <t>KRONOBERGS LÄN</t>
        </is>
      </c>
      <c r="E3854" t="inlineStr">
        <is>
          <t>ALVESTA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9838-2022</t>
        </is>
      </c>
      <c r="B3855" s="1" t="n">
        <v>44620</v>
      </c>
      <c r="C3855" s="1" t="n">
        <v>45845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9868-2022</t>
        </is>
      </c>
      <c r="B3856" s="1" t="n">
        <v>44620</v>
      </c>
      <c r="C3856" s="1" t="n">
        <v>45845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9960-2022</t>
        </is>
      </c>
      <c r="B3857" s="1" t="n">
        <v>44620</v>
      </c>
      <c r="C3857" s="1" t="n">
        <v>45845</v>
      </c>
      <c r="D3857" t="inlineStr">
        <is>
          <t>KRONOBERGS LÄN</t>
        </is>
      </c>
      <c r="E3857" t="inlineStr">
        <is>
          <t>VÄXJÖ</t>
        </is>
      </c>
      <c r="G3857" t="n">
        <v>12.2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9970-2022</t>
        </is>
      </c>
      <c r="B3858" s="1" t="n">
        <v>44621</v>
      </c>
      <c r="C3858" s="1" t="n">
        <v>45845</v>
      </c>
      <c r="D3858" t="inlineStr">
        <is>
          <t>KRONOBERGS LÄN</t>
        </is>
      </c>
      <c r="E3858" t="inlineStr">
        <is>
          <t>ÄLMHULT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9967-2022</t>
        </is>
      </c>
      <c r="B3859" s="1" t="n">
        <v>44621</v>
      </c>
      <c r="C3859" s="1" t="n">
        <v>45845</v>
      </c>
      <c r="D3859" t="inlineStr">
        <is>
          <t>KRONOBERGS LÄN</t>
        </is>
      </c>
      <c r="E3859" t="inlineStr">
        <is>
          <t>ÄLMHULT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10012-2022</t>
        </is>
      </c>
      <c r="B3860" s="1" t="n">
        <v>44621</v>
      </c>
      <c r="C3860" s="1" t="n">
        <v>45845</v>
      </c>
      <c r="D3860" t="inlineStr">
        <is>
          <t>KRONOBERGS LÄN</t>
        </is>
      </c>
      <c r="E3860" t="inlineStr">
        <is>
          <t>TINGSRYD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10087-2022</t>
        </is>
      </c>
      <c r="B3861" s="1" t="n">
        <v>44621</v>
      </c>
      <c r="C3861" s="1" t="n">
        <v>45845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10009-2022</t>
        </is>
      </c>
      <c r="B3862" s="1" t="n">
        <v>44621</v>
      </c>
      <c r="C3862" s="1" t="n">
        <v>45845</v>
      </c>
      <c r="D3862" t="inlineStr">
        <is>
          <t>KRONOBERGS LÄN</t>
        </is>
      </c>
      <c r="E3862" t="inlineStr">
        <is>
          <t>TINGSRYD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10085-2022</t>
        </is>
      </c>
      <c r="B3863" s="1" t="n">
        <v>44621</v>
      </c>
      <c r="C3863" s="1" t="n">
        <v>45845</v>
      </c>
      <c r="D3863" t="inlineStr">
        <is>
          <t>KRONOBERGS LÄN</t>
        </is>
      </c>
      <c r="E3863" t="inlineStr">
        <is>
          <t>LJUNGBY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10283-2022</t>
        </is>
      </c>
      <c r="B3864" s="1" t="n">
        <v>44622</v>
      </c>
      <c r="C3864" s="1" t="n">
        <v>45845</v>
      </c>
      <c r="D3864" t="inlineStr">
        <is>
          <t>KRONOBERGS LÄN</t>
        </is>
      </c>
      <c r="E3864" t="inlineStr">
        <is>
          <t>UPPVIDINGE</t>
        </is>
      </c>
      <c r="G3864" t="n">
        <v>10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10295-2022</t>
        </is>
      </c>
      <c r="B3865" s="1" t="n">
        <v>44622</v>
      </c>
      <c r="C3865" s="1" t="n">
        <v>45845</v>
      </c>
      <c r="D3865" t="inlineStr">
        <is>
          <t>KRONOBERGS LÄN</t>
        </is>
      </c>
      <c r="E3865" t="inlineStr">
        <is>
          <t>LJUNGBY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10420-2022</t>
        </is>
      </c>
      <c r="B3866" s="1" t="n">
        <v>44623</v>
      </c>
      <c r="C3866" s="1" t="n">
        <v>45845</v>
      </c>
      <c r="D3866" t="inlineStr">
        <is>
          <t>KRONOBERGS LÄN</t>
        </is>
      </c>
      <c r="E3866" t="inlineStr">
        <is>
          <t>LJUNGBY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10524-2022</t>
        </is>
      </c>
      <c r="B3867" s="1" t="n">
        <v>44623</v>
      </c>
      <c r="C3867" s="1" t="n">
        <v>45845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10613-2022</t>
        </is>
      </c>
      <c r="B3868" s="1" t="n">
        <v>44624</v>
      </c>
      <c r="C3868" s="1" t="n">
        <v>45845</v>
      </c>
      <c r="D3868" t="inlineStr">
        <is>
          <t>KRONOBERGS LÄN</t>
        </is>
      </c>
      <c r="E3868" t="inlineStr">
        <is>
          <t>TINGSRYD</t>
        </is>
      </c>
      <c r="G3868" t="n">
        <v>7.1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10763-2022</t>
        </is>
      </c>
      <c r="B3869" s="1" t="n">
        <v>44627</v>
      </c>
      <c r="C3869" s="1" t="n">
        <v>45845</v>
      </c>
      <c r="D3869" t="inlineStr">
        <is>
          <t>KRONOBERGS LÄN</t>
        </is>
      </c>
      <c r="E3869" t="inlineStr">
        <is>
          <t>TINGSRYD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10762-2022</t>
        </is>
      </c>
      <c r="B3870" s="1" t="n">
        <v>44627</v>
      </c>
      <c r="C3870" s="1" t="n">
        <v>45845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10883-2022</t>
        </is>
      </c>
      <c r="B3871" s="1" t="n">
        <v>44627</v>
      </c>
      <c r="C3871" s="1" t="n">
        <v>45845</v>
      </c>
      <c r="D3871" t="inlineStr">
        <is>
          <t>KRONOBERGS LÄN</t>
        </is>
      </c>
      <c r="E3871" t="inlineStr">
        <is>
          <t>TINGSRYD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10881-2022</t>
        </is>
      </c>
      <c r="B3872" s="1" t="n">
        <v>44627</v>
      </c>
      <c r="C3872" s="1" t="n">
        <v>45845</v>
      </c>
      <c r="D3872" t="inlineStr">
        <is>
          <t>KRONOBERGS LÄN</t>
        </is>
      </c>
      <c r="E3872" t="inlineStr">
        <is>
          <t>TINGSRYD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10997-2022</t>
        </is>
      </c>
      <c r="B3873" s="1" t="n">
        <v>44628</v>
      </c>
      <c r="C3873" s="1" t="n">
        <v>45845</v>
      </c>
      <c r="D3873" t="inlineStr">
        <is>
          <t>KRONOBERGS LÄN</t>
        </is>
      </c>
      <c r="E3873" t="inlineStr">
        <is>
          <t>LJUNGBY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11080-2022</t>
        </is>
      </c>
      <c r="B3874" s="1" t="n">
        <v>44628</v>
      </c>
      <c r="C3874" s="1" t="n">
        <v>45845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11228-2022</t>
        </is>
      </c>
      <c r="B3875" s="1" t="n">
        <v>44629</v>
      </c>
      <c r="C3875" s="1" t="n">
        <v>45845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11433-2022</t>
        </is>
      </c>
      <c r="B3876" s="1" t="n">
        <v>44630</v>
      </c>
      <c r="C3876" s="1" t="n">
        <v>45845</v>
      </c>
      <c r="D3876" t="inlineStr">
        <is>
          <t>KRONOBERGS LÄN</t>
        </is>
      </c>
      <c r="E3876" t="inlineStr">
        <is>
          <t>LESSEBO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11561-2022</t>
        </is>
      </c>
      <c r="B3877" s="1" t="n">
        <v>44631</v>
      </c>
      <c r="C3877" s="1" t="n">
        <v>45845</v>
      </c>
      <c r="D3877" t="inlineStr">
        <is>
          <t>KRONOBERGS LÄN</t>
        </is>
      </c>
      <c r="E3877" t="inlineStr">
        <is>
          <t>TINGSRYD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11580-2022</t>
        </is>
      </c>
      <c r="B3878" s="1" t="n">
        <v>44631</v>
      </c>
      <c r="C3878" s="1" t="n">
        <v>45845</v>
      </c>
      <c r="D3878" t="inlineStr">
        <is>
          <t>KRONOBERGS LÄN</t>
        </is>
      </c>
      <c r="E3878" t="inlineStr">
        <is>
          <t>TINGSRYD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11587-2022</t>
        </is>
      </c>
      <c r="B3879" s="1" t="n">
        <v>44631</v>
      </c>
      <c r="C3879" s="1" t="n">
        <v>45845</v>
      </c>
      <c r="D3879" t="inlineStr">
        <is>
          <t>KRONOBERGS LÄN</t>
        </is>
      </c>
      <c r="E3879" t="inlineStr">
        <is>
          <t>TINGSRYD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11628-2022</t>
        </is>
      </c>
      <c r="B3880" s="1" t="n">
        <v>44631</v>
      </c>
      <c r="C3880" s="1" t="n">
        <v>45845</v>
      </c>
      <c r="D3880" t="inlineStr">
        <is>
          <t>KRONOBERGS LÄN</t>
        </is>
      </c>
      <c r="E3880" t="inlineStr">
        <is>
          <t>TINGSRYD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11559-2022</t>
        </is>
      </c>
      <c r="B3881" s="1" t="n">
        <v>44631</v>
      </c>
      <c r="C3881" s="1" t="n">
        <v>45845</v>
      </c>
      <c r="D3881" t="inlineStr">
        <is>
          <t>KRONOBERGS LÄN</t>
        </is>
      </c>
      <c r="E3881" t="inlineStr">
        <is>
          <t>TINGSRYD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11777-2022</t>
        </is>
      </c>
      <c r="B3882" s="1" t="n">
        <v>44634</v>
      </c>
      <c r="C3882" s="1" t="n">
        <v>45845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11784-2022</t>
        </is>
      </c>
      <c r="B3883" s="1" t="n">
        <v>44634</v>
      </c>
      <c r="C3883" s="1" t="n">
        <v>45845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11782-2022</t>
        </is>
      </c>
      <c r="B3884" s="1" t="n">
        <v>44634</v>
      </c>
      <c r="C3884" s="1" t="n">
        <v>45845</v>
      </c>
      <c r="D3884" t="inlineStr">
        <is>
          <t>KRONOBERGS LÄN</t>
        </is>
      </c>
      <c r="E3884" t="inlineStr">
        <is>
          <t>ÄLMHULT</t>
        </is>
      </c>
      <c r="G3884" t="n">
        <v>6.2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11781-2022</t>
        </is>
      </c>
      <c r="B3885" s="1" t="n">
        <v>44634</v>
      </c>
      <c r="C3885" s="1" t="n">
        <v>45845</v>
      </c>
      <c r="D3885" t="inlineStr">
        <is>
          <t>KRONOBERGS LÄN</t>
        </is>
      </c>
      <c r="E3885" t="inlineStr">
        <is>
          <t>LJUNGBY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11724-2022</t>
        </is>
      </c>
      <c r="B3886" s="1" t="n">
        <v>44634</v>
      </c>
      <c r="C3886" s="1" t="n">
        <v>45845</v>
      </c>
      <c r="D3886" t="inlineStr">
        <is>
          <t>KRONOBERGS LÄN</t>
        </is>
      </c>
      <c r="E3886" t="inlineStr">
        <is>
          <t>TINGSRYD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11912-2022</t>
        </is>
      </c>
      <c r="B3887" s="1" t="n">
        <v>44635</v>
      </c>
      <c r="C3887" s="1" t="n">
        <v>45845</v>
      </c>
      <c r="D3887" t="inlineStr">
        <is>
          <t>KRONOBERGS LÄN</t>
        </is>
      </c>
      <c r="E3887" t="inlineStr">
        <is>
          <t>ALVESTA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11921-2022</t>
        </is>
      </c>
      <c r="B3888" s="1" t="n">
        <v>44635</v>
      </c>
      <c r="C3888" s="1" t="n">
        <v>45845</v>
      </c>
      <c r="D3888" t="inlineStr">
        <is>
          <t>KRONOBERGS LÄN</t>
        </is>
      </c>
      <c r="E3888" t="inlineStr">
        <is>
          <t>LJUNGBY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11871-2022</t>
        </is>
      </c>
      <c r="B3889" s="1" t="n">
        <v>44635</v>
      </c>
      <c r="C3889" s="1" t="n">
        <v>45845</v>
      </c>
      <c r="D3889" t="inlineStr">
        <is>
          <t>KRONOBERGS LÄN</t>
        </is>
      </c>
      <c r="E3889" t="inlineStr">
        <is>
          <t>VÄXJÖ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11915-2022</t>
        </is>
      </c>
      <c r="B3890" s="1" t="n">
        <v>44635</v>
      </c>
      <c r="C3890" s="1" t="n">
        <v>45845</v>
      </c>
      <c r="D3890" t="inlineStr">
        <is>
          <t>KRONOBERGS LÄN</t>
        </is>
      </c>
      <c r="E3890" t="inlineStr">
        <is>
          <t>ALVESTA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11916-2022</t>
        </is>
      </c>
      <c r="B3891" s="1" t="n">
        <v>44635</v>
      </c>
      <c r="C3891" s="1" t="n">
        <v>45845</v>
      </c>
      <c r="D3891" t="inlineStr">
        <is>
          <t>KRONOBERGS LÄN</t>
        </is>
      </c>
      <c r="E3891" t="inlineStr">
        <is>
          <t>ALVESTA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11888-2022</t>
        </is>
      </c>
      <c r="B3892" s="1" t="n">
        <v>44635</v>
      </c>
      <c r="C3892" s="1" t="n">
        <v>45845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12014-2022</t>
        </is>
      </c>
      <c r="B3893" s="1" t="n">
        <v>44635</v>
      </c>
      <c r="C3893" s="1" t="n">
        <v>45845</v>
      </c>
      <c r="D3893" t="inlineStr">
        <is>
          <t>KRONOBERGS LÄN</t>
        </is>
      </c>
      <c r="E3893" t="inlineStr">
        <is>
          <t>LJUNGBY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12112-2022</t>
        </is>
      </c>
      <c r="B3894" s="1" t="n">
        <v>44636</v>
      </c>
      <c r="C3894" s="1" t="n">
        <v>45845</v>
      </c>
      <c r="D3894" t="inlineStr">
        <is>
          <t>KRONOBERGS LÄN</t>
        </is>
      </c>
      <c r="E3894" t="inlineStr">
        <is>
          <t>ÄLMHULT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12187-2022</t>
        </is>
      </c>
      <c r="B3895" s="1" t="n">
        <v>44636</v>
      </c>
      <c r="C3895" s="1" t="n">
        <v>45845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12093-2022</t>
        </is>
      </c>
      <c r="B3896" s="1" t="n">
        <v>44636</v>
      </c>
      <c r="C3896" s="1" t="n">
        <v>45845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12145-2022</t>
        </is>
      </c>
      <c r="B3897" s="1" t="n">
        <v>44636</v>
      </c>
      <c r="C3897" s="1" t="n">
        <v>45845</v>
      </c>
      <c r="D3897" t="inlineStr">
        <is>
          <t>KRONOBERGS LÄN</t>
        </is>
      </c>
      <c r="E3897" t="inlineStr">
        <is>
          <t>ÄLMHULT</t>
        </is>
      </c>
      <c r="G3897" t="n">
        <v>0.2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12155-2022</t>
        </is>
      </c>
      <c r="B3898" s="1" t="n">
        <v>44636</v>
      </c>
      <c r="C3898" s="1" t="n">
        <v>45845</v>
      </c>
      <c r="D3898" t="inlineStr">
        <is>
          <t>KRONOBERGS LÄN</t>
        </is>
      </c>
      <c r="E3898" t="inlineStr">
        <is>
          <t>MARKARYD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12185-2022</t>
        </is>
      </c>
      <c r="B3899" s="1" t="n">
        <v>44636</v>
      </c>
      <c r="C3899" s="1" t="n">
        <v>45845</v>
      </c>
      <c r="D3899" t="inlineStr">
        <is>
          <t>KRONOBERGS LÄN</t>
        </is>
      </c>
      <c r="E3899" t="inlineStr">
        <is>
          <t>TINGSRYD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12184-2022</t>
        </is>
      </c>
      <c r="B3900" s="1" t="n">
        <v>44636</v>
      </c>
      <c r="C3900" s="1" t="n">
        <v>45845</v>
      </c>
      <c r="D3900" t="inlineStr">
        <is>
          <t>KRONOBERGS LÄN</t>
        </is>
      </c>
      <c r="E3900" t="inlineStr">
        <is>
          <t>TINGSRYD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12188-2022</t>
        </is>
      </c>
      <c r="B3901" s="1" t="n">
        <v>44636</v>
      </c>
      <c r="C3901" s="1" t="n">
        <v>45845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12378-2022</t>
        </is>
      </c>
      <c r="B3902" s="1" t="n">
        <v>44637</v>
      </c>
      <c r="C3902" s="1" t="n">
        <v>45845</v>
      </c>
      <c r="D3902" t="inlineStr">
        <is>
          <t>KRONOBERGS LÄN</t>
        </is>
      </c>
      <c r="E3902" t="inlineStr">
        <is>
          <t>LESSEBO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12427-2022</t>
        </is>
      </c>
      <c r="B3903" s="1" t="n">
        <v>44638</v>
      </c>
      <c r="C3903" s="1" t="n">
        <v>45845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12447-2022</t>
        </is>
      </c>
      <c r="B3904" s="1" t="n">
        <v>44638</v>
      </c>
      <c r="C3904" s="1" t="n">
        <v>45845</v>
      </c>
      <c r="D3904" t="inlineStr">
        <is>
          <t>KRONOBERGS LÄN</t>
        </is>
      </c>
      <c r="E3904" t="inlineStr">
        <is>
          <t>MARKARYD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12453-2022</t>
        </is>
      </c>
      <c r="B3905" s="1" t="n">
        <v>44638</v>
      </c>
      <c r="C3905" s="1" t="n">
        <v>45845</v>
      </c>
      <c r="D3905" t="inlineStr">
        <is>
          <t>KRONOBERGS LÄN</t>
        </is>
      </c>
      <c r="E3905" t="inlineStr">
        <is>
          <t>MARKARYD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12627-2022</t>
        </is>
      </c>
      <c r="B3906" s="1" t="n">
        <v>44641</v>
      </c>
      <c r="C3906" s="1" t="n">
        <v>45845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12626-2022</t>
        </is>
      </c>
      <c r="B3907" s="1" t="n">
        <v>44641</v>
      </c>
      <c r="C3907" s="1" t="n">
        <v>45845</v>
      </c>
      <c r="D3907" t="inlineStr">
        <is>
          <t>KRONOBERGS LÄN</t>
        </is>
      </c>
      <c r="E3907" t="inlineStr">
        <is>
          <t>TINGSRYD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12718-2022</t>
        </is>
      </c>
      <c r="B3908" s="1" t="n">
        <v>44641</v>
      </c>
      <c r="C3908" s="1" t="n">
        <v>45845</v>
      </c>
      <c r="D3908" t="inlineStr">
        <is>
          <t>KRONOBERGS LÄN</t>
        </is>
      </c>
      <c r="E3908" t="inlineStr">
        <is>
          <t>ÄLMHULT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12618-2022</t>
        </is>
      </c>
      <c r="B3909" s="1" t="n">
        <v>44641</v>
      </c>
      <c r="C3909" s="1" t="n">
        <v>45845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12925-2022</t>
        </is>
      </c>
      <c r="B3910" s="1" t="n">
        <v>44642</v>
      </c>
      <c r="C3910" s="1" t="n">
        <v>45845</v>
      </c>
      <c r="D3910" t="inlineStr">
        <is>
          <t>KRONOBERGS LÄN</t>
        </is>
      </c>
      <c r="E3910" t="inlineStr">
        <is>
          <t>ALVESTA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12868-2022</t>
        </is>
      </c>
      <c r="B3911" s="1" t="n">
        <v>44642</v>
      </c>
      <c r="C3911" s="1" t="n">
        <v>45845</v>
      </c>
      <c r="D3911" t="inlineStr">
        <is>
          <t>KRONOBERGS LÄN</t>
        </is>
      </c>
      <c r="E3911" t="inlineStr">
        <is>
          <t>MARKARYD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12939-2022</t>
        </is>
      </c>
      <c r="B3912" s="1" t="n">
        <v>44642</v>
      </c>
      <c r="C3912" s="1" t="n">
        <v>45845</v>
      </c>
      <c r="D3912" t="inlineStr">
        <is>
          <t>KRONOBERGS LÄN</t>
        </is>
      </c>
      <c r="E3912" t="inlineStr">
        <is>
          <t>LJUNGBY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13019-2022</t>
        </is>
      </c>
      <c r="B3913" s="1" t="n">
        <v>44643</v>
      </c>
      <c r="C3913" s="1" t="n">
        <v>45845</v>
      </c>
      <c r="D3913" t="inlineStr">
        <is>
          <t>KRONOBERGS LÄN</t>
        </is>
      </c>
      <c r="E3913" t="inlineStr">
        <is>
          <t>ÄLMHULT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13017-2022</t>
        </is>
      </c>
      <c r="B3914" s="1" t="n">
        <v>44643</v>
      </c>
      <c r="C3914" s="1" t="n">
        <v>45845</v>
      </c>
      <c r="D3914" t="inlineStr">
        <is>
          <t>KRONOBERGS LÄN</t>
        </is>
      </c>
      <c r="E3914" t="inlineStr">
        <is>
          <t>ÄLMHULT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12989-2022</t>
        </is>
      </c>
      <c r="B3915" s="1" t="n">
        <v>44643</v>
      </c>
      <c r="C3915" s="1" t="n">
        <v>45845</v>
      </c>
      <c r="D3915" t="inlineStr">
        <is>
          <t>KRONOBERGS LÄN</t>
        </is>
      </c>
      <c r="E3915" t="inlineStr">
        <is>
          <t>LJUNGBY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13033-2022</t>
        </is>
      </c>
      <c r="B3916" s="1" t="n">
        <v>44643</v>
      </c>
      <c r="C3916" s="1" t="n">
        <v>45845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13148-2022</t>
        </is>
      </c>
      <c r="B3917" s="1" t="n">
        <v>44644</v>
      </c>
      <c r="C3917" s="1" t="n">
        <v>45845</v>
      </c>
      <c r="D3917" t="inlineStr">
        <is>
          <t>KRONOBERGS LÄN</t>
        </is>
      </c>
      <c r="E3917" t="inlineStr">
        <is>
          <t>MARKARYD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13138-2022</t>
        </is>
      </c>
      <c r="B3918" s="1" t="n">
        <v>44644</v>
      </c>
      <c r="C3918" s="1" t="n">
        <v>45845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13379-2022</t>
        </is>
      </c>
      <c r="B3919" s="1" t="n">
        <v>44645</v>
      </c>
      <c r="C3919" s="1" t="n">
        <v>45845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13426-2022</t>
        </is>
      </c>
      <c r="B3920" s="1" t="n">
        <v>44645</v>
      </c>
      <c r="C3920" s="1" t="n">
        <v>45845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13547-2022</t>
        </is>
      </c>
      <c r="B3921" s="1" t="n">
        <v>44648</v>
      </c>
      <c r="C3921" s="1" t="n">
        <v>45845</v>
      </c>
      <c r="D3921" t="inlineStr">
        <is>
          <t>KRONOBERGS LÄN</t>
        </is>
      </c>
      <c r="E3921" t="inlineStr">
        <is>
          <t>LJUNGBY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13589-2022</t>
        </is>
      </c>
      <c r="B3922" s="1" t="n">
        <v>44648</v>
      </c>
      <c r="C3922" s="1" t="n">
        <v>45845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13600-2022</t>
        </is>
      </c>
      <c r="B3923" s="1" t="n">
        <v>44648</v>
      </c>
      <c r="C3923" s="1" t="n">
        <v>45845</v>
      </c>
      <c r="D3923" t="inlineStr">
        <is>
          <t>KRONOBERGS LÄN</t>
        </is>
      </c>
      <c r="E3923" t="inlineStr">
        <is>
          <t>ÄLMHULT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13674-2022</t>
        </is>
      </c>
      <c r="B3924" s="1" t="n">
        <v>44648</v>
      </c>
      <c r="C3924" s="1" t="n">
        <v>45845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13815-2022</t>
        </is>
      </c>
      <c r="B3925" s="1" t="n">
        <v>44649</v>
      </c>
      <c r="C3925" s="1" t="n">
        <v>45845</v>
      </c>
      <c r="D3925" t="inlineStr">
        <is>
          <t>KRONOBERGS LÄN</t>
        </is>
      </c>
      <c r="E3925" t="inlineStr">
        <is>
          <t>ALVESTA</t>
        </is>
      </c>
      <c r="G3925" t="n">
        <v>7.9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13884-2022</t>
        </is>
      </c>
      <c r="B3926" s="1" t="n">
        <v>44650</v>
      </c>
      <c r="C3926" s="1" t="n">
        <v>45845</v>
      </c>
      <c r="D3926" t="inlineStr">
        <is>
          <t>KRONOBERGS LÄN</t>
        </is>
      </c>
      <c r="E3926" t="inlineStr">
        <is>
          <t>UPPVIDINGE</t>
        </is>
      </c>
      <c r="F3926" t="inlineStr">
        <is>
          <t>Sveaskog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13952-2022</t>
        </is>
      </c>
      <c r="B3927" s="1" t="n">
        <v>44650</v>
      </c>
      <c r="C3927" s="1" t="n">
        <v>45845</v>
      </c>
      <c r="D3927" t="inlineStr">
        <is>
          <t>KRONOBERGS LÄN</t>
        </is>
      </c>
      <c r="E3927" t="inlineStr">
        <is>
          <t>LJUNGBY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14073-2022</t>
        </is>
      </c>
      <c r="B3928" s="1" t="n">
        <v>44650</v>
      </c>
      <c r="C3928" s="1" t="n">
        <v>45845</v>
      </c>
      <c r="D3928" t="inlineStr">
        <is>
          <t>KRONOBERGS LÄN</t>
        </is>
      </c>
      <c r="E3928" t="inlineStr">
        <is>
          <t>VÄXJÖ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14120-2022</t>
        </is>
      </c>
      <c r="B3929" s="1" t="n">
        <v>44651</v>
      </c>
      <c r="C3929" s="1" t="n">
        <v>45845</v>
      </c>
      <c r="D3929" t="inlineStr">
        <is>
          <t>KRONOBERGS LÄN</t>
        </is>
      </c>
      <c r="E3929" t="inlineStr">
        <is>
          <t>UPPVIDINGE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14247-2022</t>
        </is>
      </c>
      <c r="B3930" s="1" t="n">
        <v>44651</v>
      </c>
      <c r="C3930" s="1" t="n">
        <v>45845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14172-2022</t>
        </is>
      </c>
      <c r="B3931" s="1" t="n">
        <v>44651</v>
      </c>
      <c r="C3931" s="1" t="n">
        <v>45845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14230-2022</t>
        </is>
      </c>
      <c r="B3932" s="1" t="n">
        <v>44651</v>
      </c>
      <c r="C3932" s="1" t="n">
        <v>45845</v>
      </c>
      <c r="D3932" t="inlineStr">
        <is>
          <t>KRONOBERGS LÄN</t>
        </is>
      </c>
      <c r="E3932" t="inlineStr">
        <is>
          <t>LJUNGBY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14263-2022</t>
        </is>
      </c>
      <c r="B3933" s="1" t="n">
        <v>44651</v>
      </c>
      <c r="C3933" s="1" t="n">
        <v>45845</v>
      </c>
      <c r="D3933" t="inlineStr">
        <is>
          <t>KRONOBERGS LÄN</t>
        </is>
      </c>
      <c r="E3933" t="inlineStr">
        <is>
          <t>VÄXJÖ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14380-2022</t>
        </is>
      </c>
      <c r="B3934" s="1" t="n">
        <v>44652</v>
      </c>
      <c r="C3934" s="1" t="n">
        <v>45845</v>
      </c>
      <c r="D3934" t="inlineStr">
        <is>
          <t>KRONOBERGS LÄN</t>
        </is>
      </c>
      <c r="E3934" t="inlineStr">
        <is>
          <t>VÄXJÖ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14323-2022</t>
        </is>
      </c>
      <c r="B3935" s="1" t="n">
        <v>44652</v>
      </c>
      <c r="C3935" s="1" t="n">
        <v>45845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14559-2022</t>
        </is>
      </c>
      <c r="B3936" s="1" t="n">
        <v>44655</v>
      </c>
      <c r="C3936" s="1" t="n">
        <v>45845</v>
      </c>
      <c r="D3936" t="inlineStr">
        <is>
          <t>KRONOBERGS LÄN</t>
        </is>
      </c>
      <c r="E3936" t="inlineStr">
        <is>
          <t>TINGSRYD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14853-2022</t>
        </is>
      </c>
      <c r="B3937" s="1" t="n">
        <v>44656</v>
      </c>
      <c r="C3937" s="1" t="n">
        <v>45845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14836-2022</t>
        </is>
      </c>
      <c r="B3938" s="1" t="n">
        <v>44656</v>
      </c>
      <c r="C3938" s="1" t="n">
        <v>45845</v>
      </c>
      <c r="D3938" t="inlineStr">
        <is>
          <t>KRONOBERGS LÄN</t>
        </is>
      </c>
      <c r="E3938" t="inlineStr">
        <is>
          <t>ALVESTA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14844-2022</t>
        </is>
      </c>
      <c r="B3939" s="1" t="n">
        <v>44656</v>
      </c>
      <c r="C3939" s="1" t="n">
        <v>45845</v>
      </c>
      <c r="D3939" t="inlineStr">
        <is>
          <t>KRONOBERGS LÄN</t>
        </is>
      </c>
      <c r="E3939" t="inlineStr">
        <is>
          <t>LJUNGBY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14893-2022</t>
        </is>
      </c>
      <c r="B3940" s="1" t="n">
        <v>44657</v>
      </c>
      <c r="C3940" s="1" t="n">
        <v>45845</v>
      </c>
      <c r="D3940" t="inlineStr">
        <is>
          <t>KRONOBERGS LÄN</t>
        </is>
      </c>
      <c r="E3940" t="inlineStr">
        <is>
          <t>VÄXJÖ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14883-2022</t>
        </is>
      </c>
      <c r="B3941" s="1" t="n">
        <v>44656</v>
      </c>
      <c r="C3941" s="1" t="n">
        <v>45845</v>
      </c>
      <c r="D3941" t="inlineStr">
        <is>
          <t>KRONOBERGS LÄN</t>
        </is>
      </c>
      <c r="E3941" t="inlineStr">
        <is>
          <t>VÄXJÖ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14943-2022</t>
        </is>
      </c>
      <c r="B3942" s="1" t="n">
        <v>44657</v>
      </c>
      <c r="C3942" s="1" t="n">
        <v>45845</v>
      </c>
      <c r="D3942" t="inlineStr">
        <is>
          <t>KRONOBERGS LÄN</t>
        </is>
      </c>
      <c r="E3942" t="inlineStr">
        <is>
          <t>LJUNGBY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14918-2022</t>
        </is>
      </c>
      <c r="B3943" s="1" t="n">
        <v>44657</v>
      </c>
      <c r="C3943" s="1" t="n">
        <v>45845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14934-2022</t>
        </is>
      </c>
      <c r="B3944" s="1" t="n">
        <v>44657</v>
      </c>
      <c r="C3944" s="1" t="n">
        <v>45845</v>
      </c>
      <c r="D3944" t="inlineStr">
        <is>
          <t>KRONOBERGS LÄN</t>
        </is>
      </c>
      <c r="E3944" t="inlineStr">
        <is>
          <t>TINGSRYD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14969-2022</t>
        </is>
      </c>
      <c r="B3945" s="1" t="n">
        <v>44657</v>
      </c>
      <c r="C3945" s="1" t="n">
        <v>45845</v>
      </c>
      <c r="D3945" t="inlineStr">
        <is>
          <t>KRONOBERGS LÄN</t>
        </is>
      </c>
      <c r="E3945" t="inlineStr">
        <is>
          <t>ALVESTA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14986-2022</t>
        </is>
      </c>
      <c r="B3946" s="1" t="n">
        <v>44657</v>
      </c>
      <c r="C3946" s="1" t="n">
        <v>45845</v>
      </c>
      <c r="D3946" t="inlineStr">
        <is>
          <t>KRONOBERGS LÄN</t>
        </is>
      </c>
      <c r="E3946" t="inlineStr">
        <is>
          <t>ÄLMHULT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15045-2022</t>
        </is>
      </c>
      <c r="B3947" s="1" t="n">
        <v>44657</v>
      </c>
      <c r="C3947" s="1" t="n">
        <v>45845</v>
      </c>
      <c r="D3947" t="inlineStr">
        <is>
          <t>KRONOBERGS LÄN</t>
        </is>
      </c>
      <c r="E3947" t="inlineStr">
        <is>
          <t>LESSEBO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15331-2022</t>
        </is>
      </c>
      <c r="B3948" s="1" t="n">
        <v>44659</v>
      </c>
      <c r="C3948" s="1" t="n">
        <v>45845</v>
      </c>
      <c r="D3948" t="inlineStr">
        <is>
          <t>KRONOBERGS LÄN</t>
        </is>
      </c>
      <c r="E3948" t="inlineStr">
        <is>
          <t>ALVESTA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15340-2022</t>
        </is>
      </c>
      <c r="B3949" s="1" t="n">
        <v>44659</v>
      </c>
      <c r="C3949" s="1" t="n">
        <v>45845</v>
      </c>
      <c r="D3949" t="inlineStr">
        <is>
          <t>KRONOBERGS LÄN</t>
        </is>
      </c>
      <c r="E3949" t="inlineStr">
        <is>
          <t>VÄXJÖ</t>
        </is>
      </c>
      <c r="G3949" t="n">
        <v>9.6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15386-2022</t>
        </is>
      </c>
      <c r="B3950" s="1" t="n">
        <v>44659</v>
      </c>
      <c r="C3950" s="1" t="n">
        <v>45845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15534-2022</t>
        </is>
      </c>
      <c r="B3951" s="1" t="n">
        <v>44662</v>
      </c>
      <c r="C3951" s="1" t="n">
        <v>45845</v>
      </c>
      <c r="D3951" t="inlineStr">
        <is>
          <t>KRONOBERGS LÄN</t>
        </is>
      </c>
      <c r="E3951" t="inlineStr">
        <is>
          <t>ÄLMHULT</t>
        </is>
      </c>
      <c r="F3951" t="inlineStr">
        <is>
          <t>Sveaskog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15745-2022</t>
        </is>
      </c>
      <c r="B3952" s="1" t="n">
        <v>44663</v>
      </c>
      <c r="C3952" s="1" t="n">
        <v>45845</v>
      </c>
      <c r="D3952" t="inlineStr">
        <is>
          <t>KRONOBERGS LÄN</t>
        </is>
      </c>
      <c r="E3952" t="inlineStr">
        <is>
          <t>ALVESTA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15752-2022</t>
        </is>
      </c>
      <c r="B3953" s="1" t="n">
        <v>44663</v>
      </c>
      <c r="C3953" s="1" t="n">
        <v>45845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15864-2022</t>
        </is>
      </c>
      <c r="B3954" s="1" t="n">
        <v>44664</v>
      </c>
      <c r="C3954" s="1" t="n">
        <v>45845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16008-2022</t>
        </is>
      </c>
      <c r="B3955" s="1" t="n">
        <v>44665</v>
      </c>
      <c r="C3955" s="1" t="n">
        <v>45845</v>
      </c>
      <c r="D3955" t="inlineStr">
        <is>
          <t>KRONOBERGS LÄN</t>
        </is>
      </c>
      <c r="E3955" t="inlineStr">
        <is>
          <t>UPPVIDINGE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16069-2022</t>
        </is>
      </c>
      <c r="B3956" s="1" t="n">
        <v>44665</v>
      </c>
      <c r="C3956" s="1" t="n">
        <v>45845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16241-2022</t>
        </is>
      </c>
      <c r="B3957" s="1" t="n">
        <v>44670</v>
      </c>
      <c r="C3957" s="1" t="n">
        <v>45845</v>
      </c>
      <c r="D3957" t="inlineStr">
        <is>
          <t>KRONOBERGS LÄN</t>
        </is>
      </c>
      <c r="E3957" t="inlineStr">
        <is>
          <t>LJUNGBY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16271-2022</t>
        </is>
      </c>
      <c r="B3958" s="1" t="n">
        <v>44670</v>
      </c>
      <c r="C3958" s="1" t="n">
        <v>45845</v>
      </c>
      <c r="D3958" t="inlineStr">
        <is>
          <t>KRONOBERGS LÄN</t>
        </is>
      </c>
      <c r="E3958" t="inlineStr">
        <is>
          <t>ALVESTA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16214-2022</t>
        </is>
      </c>
      <c r="B3959" s="1" t="n">
        <v>44670</v>
      </c>
      <c r="C3959" s="1" t="n">
        <v>45845</v>
      </c>
      <c r="D3959" t="inlineStr">
        <is>
          <t>KRONOBERGS LÄN</t>
        </is>
      </c>
      <c r="E3959" t="inlineStr">
        <is>
          <t>VÄXJÖ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16441-2022</t>
        </is>
      </c>
      <c r="B3960" s="1" t="n">
        <v>44671</v>
      </c>
      <c r="C3960" s="1" t="n">
        <v>45845</v>
      </c>
      <c r="D3960" t="inlineStr">
        <is>
          <t>KRONOBERGS LÄN</t>
        </is>
      </c>
      <c r="E3960" t="inlineStr">
        <is>
          <t>UPPVIDINGE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16462-2022</t>
        </is>
      </c>
      <c r="B3961" s="1" t="n">
        <v>44671</v>
      </c>
      <c r="C3961" s="1" t="n">
        <v>45845</v>
      </c>
      <c r="D3961" t="inlineStr">
        <is>
          <t>KRONOBERGS LÄN</t>
        </is>
      </c>
      <c r="E3961" t="inlineStr">
        <is>
          <t>VÄXJÖ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16629-2022</t>
        </is>
      </c>
      <c r="B3962" s="1" t="n">
        <v>44672</v>
      </c>
      <c r="C3962" s="1" t="n">
        <v>45845</v>
      </c>
      <c r="D3962" t="inlineStr">
        <is>
          <t>KRONOBERGS LÄN</t>
        </is>
      </c>
      <c r="E3962" t="inlineStr">
        <is>
          <t>LJUNGBY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16641-2022</t>
        </is>
      </c>
      <c r="B3963" s="1" t="n">
        <v>44672</v>
      </c>
      <c r="C3963" s="1" t="n">
        <v>45845</v>
      </c>
      <c r="D3963" t="inlineStr">
        <is>
          <t>KRONOBERGS LÄN</t>
        </is>
      </c>
      <c r="E3963" t="inlineStr">
        <is>
          <t>ÄLMHULT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16712-2022</t>
        </is>
      </c>
      <c r="B3964" s="1" t="n">
        <v>44673</v>
      </c>
      <c r="C3964" s="1" t="n">
        <v>45845</v>
      </c>
      <c r="D3964" t="inlineStr">
        <is>
          <t>KRONOBERGS LÄN</t>
        </is>
      </c>
      <c r="E3964" t="inlineStr">
        <is>
          <t>MARKARYD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16711-2022</t>
        </is>
      </c>
      <c r="B3965" s="1" t="n">
        <v>44673</v>
      </c>
      <c r="C3965" s="1" t="n">
        <v>45845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16810-2022</t>
        </is>
      </c>
      <c r="B3966" s="1" t="n">
        <v>44673</v>
      </c>
      <c r="C3966" s="1" t="n">
        <v>45845</v>
      </c>
      <c r="D3966" t="inlineStr">
        <is>
          <t>KRONOBERGS LÄN</t>
        </is>
      </c>
      <c r="E3966" t="inlineStr">
        <is>
          <t>TINGSRYD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16806-2022</t>
        </is>
      </c>
      <c r="B3967" s="1" t="n">
        <v>44673</v>
      </c>
      <c r="C3967" s="1" t="n">
        <v>45845</v>
      </c>
      <c r="D3967" t="inlineStr">
        <is>
          <t>KRONOBERGS LÄN</t>
        </is>
      </c>
      <c r="E3967" t="inlineStr">
        <is>
          <t>TINGSRYD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16947-2022</t>
        </is>
      </c>
      <c r="B3968" s="1" t="n">
        <v>44676</v>
      </c>
      <c r="C3968" s="1" t="n">
        <v>45845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16931-2022</t>
        </is>
      </c>
      <c r="B3969" s="1" t="n">
        <v>44676</v>
      </c>
      <c r="C3969" s="1" t="n">
        <v>45845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16944-2022</t>
        </is>
      </c>
      <c r="B3970" s="1" t="n">
        <v>44676</v>
      </c>
      <c r="C3970" s="1" t="n">
        <v>45845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16948-2022</t>
        </is>
      </c>
      <c r="B3971" s="1" t="n">
        <v>44676</v>
      </c>
      <c r="C3971" s="1" t="n">
        <v>45845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16970-2022</t>
        </is>
      </c>
      <c r="B3972" s="1" t="n">
        <v>44676</v>
      </c>
      <c r="C3972" s="1" t="n">
        <v>45845</v>
      </c>
      <c r="D3972" t="inlineStr">
        <is>
          <t>KRONOBERGS LÄN</t>
        </is>
      </c>
      <c r="E3972" t="inlineStr">
        <is>
          <t>UPPVIDINGE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16945-2022</t>
        </is>
      </c>
      <c r="B3973" s="1" t="n">
        <v>44676</v>
      </c>
      <c r="C3973" s="1" t="n">
        <v>45845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16949-2022</t>
        </is>
      </c>
      <c r="B3974" s="1" t="n">
        <v>44676</v>
      </c>
      <c r="C3974" s="1" t="n">
        <v>45845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16917-2022</t>
        </is>
      </c>
      <c r="B3975" s="1" t="n">
        <v>44676</v>
      </c>
      <c r="C3975" s="1" t="n">
        <v>45845</v>
      </c>
      <c r="D3975" t="inlineStr">
        <is>
          <t>KRONOBERGS LÄN</t>
        </is>
      </c>
      <c r="E3975" t="inlineStr">
        <is>
          <t>VÄXJÖ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16946-2022</t>
        </is>
      </c>
      <c r="B3976" s="1" t="n">
        <v>44676</v>
      </c>
      <c r="C3976" s="1" t="n">
        <v>45845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16968-2022</t>
        </is>
      </c>
      <c r="B3977" s="1" t="n">
        <v>44676</v>
      </c>
      <c r="C3977" s="1" t="n">
        <v>45845</v>
      </c>
      <c r="D3977" t="inlineStr">
        <is>
          <t>KRONOBERGS LÄN</t>
        </is>
      </c>
      <c r="E3977" t="inlineStr">
        <is>
          <t>UPPVIDINGE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17026-2022</t>
        </is>
      </c>
      <c r="B3978" s="1" t="n">
        <v>44676</v>
      </c>
      <c r="C3978" s="1" t="n">
        <v>45845</v>
      </c>
      <c r="D3978" t="inlineStr">
        <is>
          <t>KRONOBERGS LÄN</t>
        </is>
      </c>
      <c r="E3978" t="inlineStr">
        <is>
          <t>TINGSRYD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17113-2022</t>
        </is>
      </c>
      <c r="B3979" s="1" t="n">
        <v>44677</v>
      </c>
      <c r="C3979" s="1" t="n">
        <v>45845</v>
      </c>
      <c r="D3979" t="inlineStr">
        <is>
          <t>KRONOBERGS LÄN</t>
        </is>
      </c>
      <c r="E3979" t="inlineStr">
        <is>
          <t>UPPVIDINGE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17095-2022</t>
        </is>
      </c>
      <c r="B3980" s="1" t="n">
        <v>44677</v>
      </c>
      <c r="C3980" s="1" t="n">
        <v>45845</v>
      </c>
      <c r="D3980" t="inlineStr">
        <is>
          <t>KRONOBERGS LÄN</t>
        </is>
      </c>
      <c r="E3980" t="inlineStr">
        <is>
          <t>VÄXJÖ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17112-2022</t>
        </is>
      </c>
      <c r="B3981" s="1" t="n">
        <v>44677</v>
      </c>
      <c r="C3981" s="1" t="n">
        <v>45845</v>
      </c>
      <c r="D3981" t="inlineStr">
        <is>
          <t>KRONOBERGS LÄN</t>
        </is>
      </c>
      <c r="E3981" t="inlineStr">
        <is>
          <t>UPPVIDINGE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17136-2022</t>
        </is>
      </c>
      <c r="B3982" s="1" t="n">
        <v>44677</v>
      </c>
      <c r="C3982" s="1" t="n">
        <v>45845</v>
      </c>
      <c r="D3982" t="inlineStr">
        <is>
          <t>KRONOBERGS LÄN</t>
        </is>
      </c>
      <c r="E3982" t="inlineStr">
        <is>
          <t>MARKARYD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17283-2022</t>
        </is>
      </c>
      <c r="B3983" s="1" t="n">
        <v>44678</v>
      </c>
      <c r="C3983" s="1" t="n">
        <v>45845</v>
      </c>
      <c r="D3983" t="inlineStr">
        <is>
          <t>KRONOBERGS LÄN</t>
        </is>
      </c>
      <c r="E3983" t="inlineStr">
        <is>
          <t>VÄXJÖ</t>
        </is>
      </c>
      <c r="G3983" t="n">
        <v>10.8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17511-2022</t>
        </is>
      </c>
      <c r="B3984" s="1" t="n">
        <v>44679</v>
      </c>
      <c r="C3984" s="1" t="n">
        <v>45845</v>
      </c>
      <c r="D3984" t="inlineStr">
        <is>
          <t>KRONOBERGS LÄN</t>
        </is>
      </c>
      <c r="E3984" t="inlineStr">
        <is>
          <t>VÄXJÖ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17689-2022</t>
        </is>
      </c>
      <c r="B3985" s="1" t="n">
        <v>44680</v>
      </c>
      <c r="C3985" s="1" t="n">
        <v>45845</v>
      </c>
      <c r="D3985" t="inlineStr">
        <is>
          <t>KRONOBERGS LÄN</t>
        </is>
      </c>
      <c r="E3985" t="inlineStr">
        <is>
          <t>TINGSRYD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17727-2022</t>
        </is>
      </c>
      <c r="B3986" s="1" t="n">
        <v>44680</v>
      </c>
      <c r="C3986" s="1" t="n">
        <v>45845</v>
      </c>
      <c r="D3986" t="inlineStr">
        <is>
          <t>KRONOBERGS LÄN</t>
        </is>
      </c>
      <c r="E3986" t="inlineStr">
        <is>
          <t>ÄLMHULT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17851-2022</t>
        </is>
      </c>
      <c r="B3987" s="1" t="n">
        <v>44683</v>
      </c>
      <c r="C3987" s="1" t="n">
        <v>45845</v>
      </c>
      <c r="D3987" t="inlineStr">
        <is>
          <t>KRONOBERGS LÄN</t>
        </is>
      </c>
      <c r="E3987" t="inlineStr">
        <is>
          <t>UPPVIDINGE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17931-2022</t>
        </is>
      </c>
      <c r="B3988" s="1" t="n">
        <v>44683</v>
      </c>
      <c r="C3988" s="1" t="n">
        <v>45845</v>
      </c>
      <c r="D3988" t="inlineStr">
        <is>
          <t>KRONOBERGS LÄN</t>
        </is>
      </c>
      <c r="E3988" t="inlineStr">
        <is>
          <t>TINGSRYD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17969-2022</t>
        </is>
      </c>
      <c r="B3989" s="1" t="n">
        <v>44683</v>
      </c>
      <c r="C3989" s="1" t="n">
        <v>45845</v>
      </c>
      <c r="D3989" t="inlineStr">
        <is>
          <t>KRONOBERGS LÄN</t>
        </is>
      </c>
      <c r="E3989" t="inlineStr">
        <is>
          <t>MARKARYD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18220-2022</t>
        </is>
      </c>
      <c r="B3990" s="1" t="n">
        <v>44685</v>
      </c>
      <c r="C3990" s="1" t="n">
        <v>45845</v>
      </c>
      <c r="D3990" t="inlineStr">
        <is>
          <t>KRONOBERGS LÄN</t>
        </is>
      </c>
      <c r="E3990" t="inlineStr">
        <is>
          <t>ÄLMHULT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18432-2022</t>
        </is>
      </c>
      <c r="B3991" s="1" t="n">
        <v>44685</v>
      </c>
      <c r="C3991" s="1" t="n">
        <v>45845</v>
      </c>
      <c r="D3991" t="inlineStr">
        <is>
          <t>KRONOBERGS LÄN</t>
        </is>
      </c>
      <c r="E3991" t="inlineStr">
        <is>
          <t>TINGSRYD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18404-2022</t>
        </is>
      </c>
      <c r="B3992" s="1" t="n">
        <v>44685</v>
      </c>
      <c r="C3992" s="1" t="n">
        <v>45845</v>
      </c>
      <c r="D3992" t="inlineStr">
        <is>
          <t>KRONOBERGS LÄN</t>
        </is>
      </c>
      <c r="E3992" t="inlineStr">
        <is>
          <t>TINGSRYD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18364-2022</t>
        </is>
      </c>
      <c r="B3993" s="1" t="n">
        <v>44685</v>
      </c>
      <c r="C3993" s="1" t="n">
        <v>45845</v>
      </c>
      <c r="D3993" t="inlineStr">
        <is>
          <t>KRONOBERGS LÄN</t>
        </is>
      </c>
      <c r="E3993" t="inlineStr">
        <is>
          <t>TINGSRYD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18435-2022</t>
        </is>
      </c>
      <c r="B3994" s="1" t="n">
        <v>44685</v>
      </c>
      <c r="C3994" s="1" t="n">
        <v>45845</v>
      </c>
      <c r="D3994" t="inlineStr">
        <is>
          <t>KRONOBERGS LÄN</t>
        </is>
      </c>
      <c r="E3994" t="inlineStr">
        <is>
          <t>TINGSRYD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18475-2022</t>
        </is>
      </c>
      <c r="B3995" s="1" t="n">
        <v>44686</v>
      </c>
      <c r="C3995" s="1" t="n">
        <v>45845</v>
      </c>
      <c r="D3995" t="inlineStr">
        <is>
          <t>KRONOBERGS LÄN</t>
        </is>
      </c>
      <c r="E3995" t="inlineStr">
        <is>
          <t>UPPVIDINGE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18427-2022</t>
        </is>
      </c>
      <c r="B3996" s="1" t="n">
        <v>44686</v>
      </c>
      <c r="C3996" s="1" t="n">
        <v>45845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18440-2022</t>
        </is>
      </c>
      <c r="B3997" s="1" t="n">
        <v>44686</v>
      </c>
      <c r="C3997" s="1" t="n">
        <v>45845</v>
      </c>
      <c r="D3997" t="inlineStr">
        <is>
          <t>KRONOBERGS LÄN</t>
        </is>
      </c>
      <c r="E3997" t="inlineStr">
        <is>
          <t>ÄLMHULT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18640-2022</t>
        </is>
      </c>
      <c r="B3998" s="1" t="n">
        <v>44687</v>
      </c>
      <c r="C3998" s="1" t="n">
        <v>45845</v>
      </c>
      <c r="D3998" t="inlineStr">
        <is>
          <t>KRONOBERGS LÄN</t>
        </is>
      </c>
      <c r="E3998" t="inlineStr">
        <is>
          <t>ALVESTA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18694-2022</t>
        </is>
      </c>
      <c r="B3999" s="1" t="n">
        <v>44687</v>
      </c>
      <c r="C3999" s="1" t="n">
        <v>45845</v>
      </c>
      <c r="D3999" t="inlineStr">
        <is>
          <t>KRONOBERGS LÄN</t>
        </is>
      </c>
      <c r="E3999" t="inlineStr">
        <is>
          <t>VÄXJÖ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18575-2022</t>
        </is>
      </c>
      <c r="B4000" s="1" t="n">
        <v>44687</v>
      </c>
      <c r="C4000" s="1" t="n">
        <v>45845</v>
      </c>
      <c r="D4000" t="inlineStr">
        <is>
          <t>KRONOBERGS LÄN</t>
        </is>
      </c>
      <c r="E4000" t="inlineStr">
        <is>
          <t>ÄLMHULT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18646-2022</t>
        </is>
      </c>
      <c r="B4001" s="1" t="n">
        <v>44687</v>
      </c>
      <c r="C4001" s="1" t="n">
        <v>45845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18761-2022</t>
        </is>
      </c>
      <c r="B4002" s="1" t="n">
        <v>44688</v>
      </c>
      <c r="C4002" s="1" t="n">
        <v>45845</v>
      </c>
      <c r="D4002" t="inlineStr">
        <is>
          <t>KRONOBERGS LÄN</t>
        </is>
      </c>
      <c r="E4002" t="inlineStr">
        <is>
          <t>LJUNGBY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18822-2022</t>
        </is>
      </c>
      <c r="B4003" s="1" t="n">
        <v>44690</v>
      </c>
      <c r="C4003" s="1" t="n">
        <v>45845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18832-2022</t>
        </is>
      </c>
      <c r="B4004" s="1" t="n">
        <v>44690</v>
      </c>
      <c r="C4004" s="1" t="n">
        <v>45845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18816-2022</t>
        </is>
      </c>
      <c r="B4005" s="1" t="n">
        <v>44690</v>
      </c>
      <c r="C4005" s="1" t="n">
        <v>45845</v>
      </c>
      <c r="D4005" t="inlineStr">
        <is>
          <t>KRONOBERGS LÄN</t>
        </is>
      </c>
      <c r="E4005" t="inlineStr">
        <is>
          <t>VÄXJÖ</t>
        </is>
      </c>
      <c r="G4005" t="n">
        <v>7.8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18823-2022</t>
        </is>
      </c>
      <c r="B4006" s="1" t="n">
        <v>44690</v>
      </c>
      <c r="C4006" s="1" t="n">
        <v>45845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18896-2022</t>
        </is>
      </c>
      <c r="B4007" s="1" t="n">
        <v>44690</v>
      </c>
      <c r="C4007" s="1" t="n">
        <v>45845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18966-2022</t>
        </is>
      </c>
      <c r="B4008" s="1" t="n">
        <v>44690</v>
      </c>
      <c r="C4008" s="1" t="n">
        <v>45845</v>
      </c>
      <c r="D4008" t="inlineStr">
        <is>
          <t>KRONOBERGS LÄN</t>
        </is>
      </c>
      <c r="E4008" t="inlineStr">
        <is>
          <t>ÄLMHULT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18950-2022</t>
        </is>
      </c>
      <c r="B4009" s="1" t="n">
        <v>44690</v>
      </c>
      <c r="C4009" s="1" t="n">
        <v>45845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18968-2022</t>
        </is>
      </c>
      <c r="B4010" s="1" t="n">
        <v>44690</v>
      </c>
      <c r="C4010" s="1" t="n">
        <v>45845</v>
      </c>
      <c r="D4010" t="inlineStr">
        <is>
          <t>KRONOBERGS LÄN</t>
        </is>
      </c>
      <c r="E4010" t="inlineStr">
        <is>
          <t>ÄLMHULT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18969-2022</t>
        </is>
      </c>
      <c r="B4011" s="1" t="n">
        <v>44690</v>
      </c>
      <c r="C4011" s="1" t="n">
        <v>45845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19124-2022</t>
        </is>
      </c>
      <c r="B4012" s="1" t="n">
        <v>44691</v>
      </c>
      <c r="C4012" s="1" t="n">
        <v>45845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19096-2022</t>
        </is>
      </c>
      <c r="B4013" s="1" t="n">
        <v>44691</v>
      </c>
      <c r="C4013" s="1" t="n">
        <v>45845</v>
      </c>
      <c r="D4013" t="inlineStr">
        <is>
          <t>KRONOBERGS LÄN</t>
        </is>
      </c>
      <c r="E4013" t="inlineStr">
        <is>
          <t>VÄXJÖ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19072-2022</t>
        </is>
      </c>
      <c r="B4014" s="1" t="n">
        <v>44691</v>
      </c>
      <c r="C4014" s="1" t="n">
        <v>45845</v>
      </c>
      <c r="D4014" t="inlineStr">
        <is>
          <t>KRONOBERGS LÄN</t>
        </is>
      </c>
      <c r="E4014" t="inlineStr">
        <is>
          <t>VÄXJÖ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19332-2022</t>
        </is>
      </c>
      <c r="B4015" s="1" t="n">
        <v>44692</v>
      </c>
      <c r="C4015" s="1" t="n">
        <v>45845</v>
      </c>
      <c r="D4015" t="inlineStr">
        <is>
          <t>KRONOBERGS LÄN</t>
        </is>
      </c>
      <c r="E4015" t="inlineStr">
        <is>
          <t>MARKARYD</t>
        </is>
      </c>
      <c r="G4015" t="n">
        <v>0.2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19266-2022</t>
        </is>
      </c>
      <c r="B4016" s="1" t="n">
        <v>44692</v>
      </c>
      <c r="C4016" s="1" t="n">
        <v>45845</v>
      </c>
      <c r="D4016" t="inlineStr">
        <is>
          <t>KRONOBERGS LÄN</t>
        </is>
      </c>
      <c r="E4016" t="inlineStr">
        <is>
          <t>ALVESTA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19342-2022</t>
        </is>
      </c>
      <c r="B4017" s="1" t="n">
        <v>44692</v>
      </c>
      <c r="C4017" s="1" t="n">
        <v>45845</v>
      </c>
      <c r="D4017" t="inlineStr">
        <is>
          <t>KRONOBERGS LÄN</t>
        </is>
      </c>
      <c r="E4017" t="inlineStr">
        <is>
          <t>TINGSRYD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19472-2022</t>
        </is>
      </c>
      <c r="B4018" s="1" t="n">
        <v>44693</v>
      </c>
      <c r="C4018" s="1" t="n">
        <v>45845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19557-2022</t>
        </is>
      </c>
      <c r="B4019" s="1" t="n">
        <v>44693</v>
      </c>
      <c r="C4019" s="1" t="n">
        <v>45845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19495-2022</t>
        </is>
      </c>
      <c r="B4020" s="1" t="n">
        <v>44693</v>
      </c>
      <c r="C4020" s="1" t="n">
        <v>45845</v>
      </c>
      <c r="D4020" t="inlineStr">
        <is>
          <t>KRONOBERGS LÄN</t>
        </is>
      </c>
      <c r="E4020" t="inlineStr">
        <is>
          <t>LESSEBO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19554-2022</t>
        </is>
      </c>
      <c r="B4021" s="1" t="n">
        <v>44693</v>
      </c>
      <c r="C4021" s="1" t="n">
        <v>45845</v>
      </c>
      <c r="D4021" t="inlineStr">
        <is>
          <t>KRONOBERGS LÄN</t>
        </is>
      </c>
      <c r="E4021" t="inlineStr">
        <is>
          <t>ALVESTA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19501-2022</t>
        </is>
      </c>
      <c r="B4022" s="1" t="n">
        <v>44693</v>
      </c>
      <c r="C4022" s="1" t="n">
        <v>45845</v>
      </c>
      <c r="D4022" t="inlineStr">
        <is>
          <t>KRONOBERGS LÄN</t>
        </is>
      </c>
      <c r="E4022" t="inlineStr">
        <is>
          <t>LESSEBO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19538-2022</t>
        </is>
      </c>
      <c r="B4023" s="1" t="n">
        <v>44693</v>
      </c>
      <c r="C4023" s="1" t="n">
        <v>45845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7.7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19549-2022</t>
        </is>
      </c>
      <c r="B4024" s="1" t="n">
        <v>44693</v>
      </c>
      <c r="C4024" s="1" t="n">
        <v>45845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19698-2022</t>
        </is>
      </c>
      <c r="B4025" s="1" t="n">
        <v>44694</v>
      </c>
      <c r="C4025" s="1" t="n">
        <v>45845</v>
      </c>
      <c r="D4025" t="inlineStr">
        <is>
          <t>KRONOBERGS LÄN</t>
        </is>
      </c>
      <c r="E4025" t="inlineStr">
        <is>
          <t>LJUNGBY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19953-2022</t>
        </is>
      </c>
      <c r="B4026" s="1" t="n">
        <v>44697</v>
      </c>
      <c r="C4026" s="1" t="n">
        <v>45845</v>
      </c>
      <c r="D4026" t="inlineStr">
        <is>
          <t>KRONOBERGS LÄN</t>
        </is>
      </c>
      <c r="E4026" t="inlineStr">
        <is>
          <t>UPPVIDINGE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20008-2022</t>
        </is>
      </c>
      <c r="B4027" s="1" t="n">
        <v>44697</v>
      </c>
      <c r="C4027" s="1" t="n">
        <v>45845</v>
      </c>
      <c r="D4027" t="inlineStr">
        <is>
          <t>KRONOBERGS LÄN</t>
        </is>
      </c>
      <c r="E4027" t="inlineStr">
        <is>
          <t>MARKARYD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19969-2022</t>
        </is>
      </c>
      <c r="B4028" s="1" t="n">
        <v>44697</v>
      </c>
      <c r="C4028" s="1" t="n">
        <v>45845</v>
      </c>
      <c r="D4028" t="inlineStr">
        <is>
          <t>KRONOBERGS LÄN</t>
        </is>
      </c>
      <c r="E4028" t="inlineStr">
        <is>
          <t>TINGSRYD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19949-2022</t>
        </is>
      </c>
      <c r="B4029" s="1" t="n">
        <v>44697</v>
      </c>
      <c r="C4029" s="1" t="n">
        <v>45845</v>
      </c>
      <c r="D4029" t="inlineStr">
        <is>
          <t>KRONOBERGS LÄN</t>
        </is>
      </c>
      <c r="E4029" t="inlineStr">
        <is>
          <t>UPPVIDINGE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19942-2022</t>
        </is>
      </c>
      <c r="B4030" s="1" t="n">
        <v>44697</v>
      </c>
      <c r="C4030" s="1" t="n">
        <v>45845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19935-2022</t>
        </is>
      </c>
      <c r="B4031" s="1" t="n">
        <v>44697</v>
      </c>
      <c r="C4031" s="1" t="n">
        <v>45845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20114-2022</t>
        </is>
      </c>
      <c r="B4032" s="1" t="n">
        <v>44698</v>
      </c>
      <c r="C4032" s="1" t="n">
        <v>45845</v>
      </c>
      <c r="D4032" t="inlineStr">
        <is>
          <t>KRONOBERGS LÄN</t>
        </is>
      </c>
      <c r="E4032" t="inlineStr">
        <is>
          <t>TINGSRYD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20143-2022</t>
        </is>
      </c>
      <c r="B4033" s="1" t="n">
        <v>44698</v>
      </c>
      <c r="C4033" s="1" t="n">
        <v>45845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20120-2022</t>
        </is>
      </c>
      <c r="B4034" s="1" t="n">
        <v>44698</v>
      </c>
      <c r="C4034" s="1" t="n">
        <v>45845</v>
      </c>
      <c r="D4034" t="inlineStr">
        <is>
          <t>KRONOBERGS LÄN</t>
        </is>
      </c>
      <c r="E4034" t="inlineStr">
        <is>
          <t>ÄLMHULT</t>
        </is>
      </c>
      <c r="G4034" t="n">
        <v>11.9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20130-2022</t>
        </is>
      </c>
      <c r="B4035" s="1" t="n">
        <v>44698</v>
      </c>
      <c r="C4035" s="1" t="n">
        <v>45845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20110-2022</t>
        </is>
      </c>
      <c r="B4036" s="1" t="n">
        <v>44698</v>
      </c>
      <c r="C4036" s="1" t="n">
        <v>45845</v>
      </c>
      <c r="D4036" t="inlineStr">
        <is>
          <t>KRONOBERGS LÄN</t>
        </is>
      </c>
      <c r="E4036" t="inlineStr">
        <is>
          <t>TINGSRYD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20252-2022</t>
        </is>
      </c>
      <c r="B4037" s="1" t="n">
        <v>44698</v>
      </c>
      <c r="C4037" s="1" t="n">
        <v>45845</v>
      </c>
      <c r="D4037" t="inlineStr">
        <is>
          <t>KRONOBERGS LÄN</t>
        </is>
      </c>
      <c r="E4037" t="inlineStr">
        <is>
          <t>VÄXJÖ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20520-2022</t>
        </is>
      </c>
      <c r="B4038" s="1" t="n">
        <v>44700</v>
      </c>
      <c r="C4038" s="1" t="n">
        <v>45845</v>
      </c>
      <c r="D4038" t="inlineStr">
        <is>
          <t>KRONOBERGS LÄN</t>
        </is>
      </c>
      <c r="E4038" t="inlineStr">
        <is>
          <t>LJUNGBY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20571-2022</t>
        </is>
      </c>
      <c r="B4039" s="1" t="n">
        <v>44700</v>
      </c>
      <c r="C4039" s="1" t="n">
        <v>45845</v>
      </c>
      <c r="D4039" t="inlineStr">
        <is>
          <t>KRONOBERGS LÄN</t>
        </is>
      </c>
      <c r="E4039" t="inlineStr">
        <is>
          <t>MARKARYD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20664-2022</t>
        </is>
      </c>
      <c r="B4040" s="1" t="n">
        <v>44700</v>
      </c>
      <c r="C4040" s="1" t="n">
        <v>45845</v>
      </c>
      <c r="D4040" t="inlineStr">
        <is>
          <t>KRONOBERGS LÄN</t>
        </is>
      </c>
      <c r="E4040" t="inlineStr">
        <is>
          <t>MARKARYD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20658-2022</t>
        </is>
      </c>
      <c r="B4041" s="1" t="n">
        <v>44700</v>
      </c>
      <c r="C4041" s="1" t="n">
        <v>45845</v>
      </c>
      <c r="D4041" t="inlineStr">
        <is>
          <t>KRONOBERGS LÄN</t>
        </is>
      </c>
      <c r="E4041" t="inlineStr">
        <is>
          <t>MARKARYD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20662-2022</t>
        </is>
      </c>
      <c r="B4042" s="1" t="n">
        <v>44700</v>
      </c>
      <c r="C4042" s="1" t="n">
        <v>45845</v>
      </c>
      <c r="D4042" t="inlineStr">
        <is>
          <t>KRONOBERGS LÄN</t>
        </is>
      </c>
      <c r="E4042" t="inlineStr">
        <is>
          <t>TINGSRYD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20659-2022</t>
        </is>
      </c>
      <c r="B4043" s="1" t="n">
        <v>44700</v>
      </c>
      <c r="C4043" s="1" t="n">
        <v>45845</v>
      </c>
      <c r="D4043" t="inlineStr">
        <is>
          <t>KRONOBERGS LÄN</t>
        </is>
      </c>
      <c r="E4043" t="inlineStr">
        <is>
          <t>MARKARYD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20661-2022</t>
        </is>
      </c>
      <c r="B4044" s="1" t="n">
        <v>44700</v>
      </c>
      <c r="C4044" s="1" t="n">
        <v>45845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20878-2022</t>
        </is>
      </c>
      <c r="B4045" s="1" t="n">
        <v>44701</v>
      </c>
      <c r="C4045" s="1" t="n">
        <v>45845</v>
      </c>
      <c r="D4045" t="inlineStr">
        <is>
          <t>KRONOBERGS LÄN</t>
        </is>
      </c>
      <c r="E4045" t="inlineStr">
        <is>
          <t>MARKARYD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21014-2022</t>
        </is>
      </c>
      <c r="B4046" s="1" t="n">
        <v>44704</v>
      </c>
      <c r="C4046" s="1" t="n">
        <v>45845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21042-2022</t>
        </is>
      </c>
      <c r="B4047" s="1" t="n">
        <v>44704</v>
      </c>
      <c r="C4047" s="1" t="n">
        <v>45845</v>
      </c>
      <c r="D4047" t="inlineStr">
        <is>
          <t>KRONOBERGS LÄN</t>
        </is>
      </c>
      <c r="E4047" t="inlineStr">
        <is>
          <t>VÄXJÖ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21163-2022</t>
        </is>
      </c>
      <c r="B4048" s="1" t="n">
        <v>44704</v>
      </c>
      <c r="C4048" s="1" t="n">
        <v>45845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21266-2022</t>
        </is>
      </c>
      <c r="B4049" s="1" t="n">
        <v>44705</v>
      </c>
      <c r="C4049" s="1" t="n">
        <v>45845</v>
      </c>
      <c r="D4049" t="inlineStr">
        <is>
          <t>KRONOBERGS LÄN</t>
        </is>
      </c>
      <c r="E4049" t="inlineStr">
        <is>
          <t>VÄXJÖ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21250-2022</t>
        </is>
      </c>
      <c r="B4050" s="1" t="n">
        <v>44705</v>
      </c>
      <c r="C4050" s="1" t="n">
        <v>45845</v>
      </c>
      <c r="D4050" t="inlineStr">
        <is>
          <t>KRONOBERGS LÄN</t>
        </is>
      </c>
      <c r="E4050" t="inlineStr">
        <is>
          <t>UPPVIDINGE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21271-2022</t>
        </is>
      </c>
      <c r="B4051" s="1" t="n">
        <v>44705</v>
      </c>
      <c r="C4051" s="1" t="n">
        <v>45845</v>
      </c>
      <c r="D4051" t="inlineStr">
        <is>
          <t>KRONOBERGS LÄN</t>
        </is>
      </c>
      <c r="E4051" t="inlineStr">
        <is>
          <t>VÄXJÖ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21238-2022</t>
        </is>
      </c>
      <c r="B4052" s="1" t="n">
        <v>44705</v>
      </c>
      <c r="C4052" s="1" t="n">
        <v>45845</v>
      </c>
      <c r="D4052" t="inlineStr">
        <is>
          <t>KRONOBERGS LÄN</t>
        </is>
      </c>
      <c r="E4052" t="inlineStr">
        <is>
          <t>UPPVIDINGE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21274-2022</t>
        </is>
      </c>
      <c r="B4053" s="1" t="n">
        <v>44705</v>
      </c>
      <c r="C4053" s="1" t="n">
        <v>45845</v>
      </c>
      <c r="D4053" t="inlineStr">
        <is>
          <t>KRONOBERGS LÄN</t>
        </is>
      </c>
      <c r="E4053" t="inlineStr">
        <is>
          <t>VÄXJÖ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21234-2022</t>
        </is>
      </c>
      <c r="B4054" s="1" t="n">
        <v>44705</v>
      </c>
      <c r="C4054" s="1" t="n">
        <v>45845</v>
      </c>
      <c r="D4054" t="inlineStr">
        <is>
          <t>KRONOBERGS LÄN</t>
        </is>
      </c>
      <c r="E4054" t="inlineStr">
        <is>
          <t>TINGSRYD</t>
        </is>
      </c>
      <c r="G4054" t="n">
        <v>14.9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21564-2022</t>
        </is>
      </c>
      <c r="B4055" s="1" t="n">
        <v>44706</v>
      </c>
      <c r="C4055" s="1" t="n">
        <v>45845</v>
      </c>
      <c r="D4055" t="inlineStr">
        <is>
          <t>KRONOBERGS LÄN</t>
        </is>
      </c>
      <c r="E4055" t="inlineStr">
        <is>
          <t>ALVESTA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21568-2022</t>
        </is>
      </c>
      <c r="B4056" s="1" t="n">
        <v>44706</v>
      </c>
      <c r="C4056" s="1" t="n">
        <v>45845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21724-2022</t>
        </is>
      </c>
      <c r="B4057" s="1" t="n">
        <v>44706</v>
      </c>
      <c r="C4057" s="1" t="n">
        <v>45845</v>
      </c>
      <c r="D4057" t="inlineStr">
        <is>
          <t>KRONOBERGS LÄN</t>
        </is>
      </c>
      <c r="E4057" t="inlineStr">
        <is>
          <t>LJUNGBY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21745-2022</t>
        </is>
      </c>
      <c r="B4058" s="1" t="n">
        <v>44708</v>
      </c>
      <c r="C4058" s="1" t="n">
        <v>45845</v>
      </c>
      <c r="D4058" t="inlineStr">
        <is>
          <t>KRONOBERGS LÄN</t>
        </is>
      </c>
      <c r="E4058" t="inlineStr">
        <is>
          <t>LESSEBO</t>
        </is>
      </c>
      <c r="G4058" t="n">
        <v>9.699999999999999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21868-2022</t>
        </is>
      </c>
      <c r="B4059" s="1" t="n">
        <v>44711</v>
      </c>
      <c r="C4059" s="1" t="n">
        <v>45845</v>
      </c>
      <c r="D4059" t="inlineStr">
        <is>
          <t>KRONOBERGS LÄN</t>
        </is>
      </c>
      <c r="E4059" t="inlineStr">
        <is>
          <t>UPPVIDINGE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21872-2022</t>
        </is>
      </c>
      <c r="B4060" s="1" t="n">
        <v>44711</v>
      </c>
      <c r="C4060" s="1" t="n">
        <v>45845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21932-2022</t>
        </is>
      </c>
      <c r="B4061" s="1" t="n">
        <v>44711</v>
      </c>
      <c r="C4061" s="1" t="n">
        <v>45845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21938-2022</t>
        </is>
      </c>
      <c r="B4062" s="1" t="n">
        <v>44711</v>
      </c>
      <c r="C4062" s="1" t="n">
        <v>45845</v>
      </c>
      <c r="D4062" t="inlineStr">
        <is>
          <t>KRONOBERGS LÄN</t>
        </is>
      </c>
      <c r="E4062" t="inlineStr">
        <is>
          <t>TINGSRYD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21867-2022</t>
        </is>
      </c>
      <c r="B4063" s="1" t="n">
        <v>44711</v>
      </c>
      <c r="C4063" s="1" t="n">
        <v>45845</v>
      </c>
      <c r="D4063" t="inlineStr">
        <is>
          <t>KRONOBERGS LÄN</t>
        </is>
      </c>
      <c r="E4063" t="inlineStr">
        <is>
          <t>UPPVIDINGE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21960-2022</t>
        </is>
      </c>
      <c r="B4064" s="1" t="n">
        <v>44711</v>
      </c>
      <c r="C4064" s="1" t="n">
        <v>45845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22058-2022</t>
        </is>
      </c>
      <c r="B4065" s="1" t="n">
        <v>44711</v>
      </c>
      <c r="C4065" s="1" t="n">
        <v>45845</v>
      </c>
      <c r="D4065" t="inlineStr">
        <is>
          <t>KRONOBERGS LÄN</t>
        </is>
      </c>
      <c r="E4065" t="inlineStr">
        <is>
          <t>VÄXJÖ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22119-2022</t>
        </is>
      </c>
      <c r="B4066" s="1" t="n">
        <v>44712</v>
      </c>
      <c r="C4066" s="1" t="n">
        <v>45845</v>
      </c>
      <c r="D4066" t="inlineStr">
        <is>
          <t>KRONOBERGS LÄN</t>
        </is>
      </c>
      <c r="E4066" t="inlineStr">
        <is>
          <t>LJUNGBY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22171-2022</t>
        </is>
      </c>
      <c r="B4067" s="1" t="n">
        <v>44712</v>
      </c>
      <c r="C4067" s="1" t="n">
        <v>45845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22122-2022</t>
        </is>
      </c>
      <c r="B4068" s="1" t="n">
        <v>44712</v>
      </c>
      <c r="C4068" s="1" t="n">
        <v>45845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22123-2022</t>
        </is>
      </c>
      <c r="B4069" s="1" t="n">
        <v>44712</v>
      </c>
      <c r="C4069" s="1" t="n">
        <v>45845</v>
      </c>
      <c r="D4069" t="inlineStr">
        <is>
          <t>KRONOBERGS LÄN</t>
        </is>
      </c>
      <c r="E4069" t="inlineStr">
        <is>
          <t>LJUNGBY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22242-2022</t>
        </is>
      </c>
      <c r="B4070" s="1" t="n">
        <v>44712</v>
      </c>
      <c r="C4070" s="1" t="n">
        <v>45845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22296-2022</t>
        </is>
      </c>
      <c r="B4071" s="1" t="n">
        <v>44712</v>
      </c>
      <c r="C4071" s="1" t="n">
        <v>45845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22441-2022</t>
        </is>
      </c>
      <c r="B4072" s="1" t="n">
        <v>44713</v>
      </c>
      <c r="C4072" s="1" t="n">
        <v>45845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22384-2022</t>
        </is>
      </c>
      <c r="B4073" s="1" t="n">
        <v>44713</v>
      </c>
      <c r="C4073" s="1" t="n">
        <v>45845</v>
      </c>
      <c r="D4073" t="inlineStr">
        <is>
          <t>KRONOBERGS LÄN</t>
        </is>
      </c>
      <c r="E4073" t="inlineStr">
        <is>
          <t>TINGSRYD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22722-2022</t>
        </is>
      </c>
      <c r="B4074" s="1" t="n">
        <v>44714</v>
      </c>
      <c r="C4074" s="1" t="n">
        <v>45845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22649-2022</t>
        </is>
      </c>
      <c r="B4075" s="1" t="n">
        <v>44714</v>
      </c>
      <c r="C4075" s="1" t="n">
        <v>45845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8.4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22657-2022</t>
        </is>
      </c>
      <c r="B4076" s="1" t="n">
        <v>44714</v>
      </c>
      <c r="C4076" s="1" t="n">
        <v>45845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22796-2022</t>
        </is>
      </c>
      <c r="B4077" s="1" t="n">
        <v>44715</v>
      </c>
      <c r="C4077" s="1" t="n">
        <v>45845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22793-2022</t>
        </is>
      </c>
      <c r="B4078" s="1" t="n">
        <v>44715</v>
      </c>
      <c r="C4078" s="1" t="n">
        <v>45845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22800-2022</t>
        </is>
      </c>
      <c r="B4079" s="1" t="n">
        <v>44715</v>
      </c>
      <c r="C4079" s="1" t="n">
        <v>45845</v>
      </c>
      <c r="D4079" t="inlineStr">
        <is>
          <t>KRONOBERGS LÄN</t>
        </is>
      </c>
      <c r="E4079" t="inlineStr">
        <is>
          <t>LJUNGBY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23013-2022</t>
        </is>
      </c>
      <c r="B4080" s="1" t="n">
        <v>44719</v>
      </c>
      <c r="C4080" s="1" t="n">
        <v>45845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  <c r="U4080">
        <f>HYPERLINK("https://klasma.github.io/Logging_0760/knärot/A 23013-2022 karta knärot.png", "A 23013-2022")</f>
        <v/>
      </c>
      <c r="V4080">
        <f>HYPERLINK("https://klasma.github.io/Logging_0760/klagomål/A 23013-2022 FSC-klagomål.docx", "A 23013-2022")</f>
        <v/>
      </c>
      <c r="W4080">
        <f>HYPERLINK("https://klasma.github.io/Logging_0760/klagomålsmail/A 23013-2022 FSC-klagomål mail.docx", "A 23013-2022")</f>
        <v/>
      </c>
      <c r="X4080">
        <f>HYPERLINK("https://klasma.github.io/Logging_0760/tillsyn/A 23013-2022 tillsynsbegäran.docx", "A 23013-2022")</f>
        <v/>
      </c>
      <c r="Y4080">
        <f>HYPERLINK("https://klasma.github.io/Logging_0760/tillsynsmail/A 23013-2022 tillsynsbegäran mail.docx", "A 23013-2022")</f>
        <v/>
      </c>
    </row>
    <row r="4081" ht="15" customHeight="1">
      <c r="A4081" t="inlineStr">
        <is>
          <t>A 23463-2022</t>
        </is>
      </c>
      <c r="B4081" s="1" t="n">
        <v>44721</v>
      </c>
      <c r="C4081" s="1" t="n">
        <v>45845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23510-2022</t>
        </is>
      </c>
      <c r="B4082" s="1" t="n">
        <v>44721</v>
      </c>
      <c r="C4082" s="1" t="n">
        <v>45845</v>
      </c>
      <c r="D4082" t="inlineStr">
        <is>
          <t>KRONOBERGS LÄN</t>
        </is>
      </c>
      <c r="E4082" t="inlineStr">
        <is>
          <t>VÄXJÖ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23567-2022</t>
        </is>
      </c>
      <c r="B4083" s="1" t="n">
        <v>44721</v>
      </c>
      <c r="C4083" s="1" t="n">
        <v>45845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23565-2022</t>
        </is>
      </c>
      <c r="B4084" s="1" t="n">
        <v>44721</v>
      </c>
      <c r="C4084" s="1" t="n">
        <v>45845</v>
      </c>
      <c r="D4084" t="inlineStr">
        <is>
          <t>KRONOBERGS LÄN</t>
        </is>
      </c>
      <c r="E4084" t="inlineStr">
        <is>
          <t>ÄLMHULT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23460-2022</t>
        </is>
      </c>
      <c r="B4085" s="1" t="n">
        <v>44721</v>
      </c>
      <c r="C4085" s="1" t="n">
        <v>45845</v>
      </c>
      <c r="D4085" t="inlineStr">
        <is>
          <t>KRONOBERGS LÄN</t>
        </is>
      </c>
      <c r="E4085" t="inlineStr">
        <is>
          <t>UPPVIDINGE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23566-2022</t>
        </is>
      </c>
      <c r="B4086" s="1" t="n">
        <v>44721</v>
      </c>
      <c r="C4086" s="1" t="n">
        <v>45845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23634-2022</t>
        </is>
      </c>
      <c r="B4087" s="1" t="n">
        <v>44721</v>
      </c>
      <c r="C4087" s="1" t="n">
        <v>45845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23654-2022</t>
        </is>
      </c>
      <c r="B4088" s="1" t="n">
        <v>44721</v>
      </c>
      <c r="C4088" s="1" t="n">
        <v>45845</v>
      </c>
      <c r="D4088" t="inlineStr">
        <is>
          <t>KRONOBERGS LÄN</t>
        </is>
      </c>
      <c r="E4088" t="inlineStr">
        <is>
          <t>LJUNGBY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23806-2022</t>
        </is>
      </c>
      <c r="B4089" s="1" t="n">
        <v>44722</v>
      </c>
      <c r="C4089" s="1" t="n">
        <v>45845</v>
      </c>
      <c r="D4089" t="inlineStr">
        <is>
          <t>KRONOBERGS LÄN</t>
        </is>
      </c>
      <c r="E4089" t="inlineStr">
        <is>
          <t>TINGSRYD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23812-2022</t>
        </is>
      </c>
      <c r="B4090" s="1" t="n">
        <v>44722</v>
      </c>
      <c r="C4090" s="1" t="n">
        <v>45845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23830-2022</t>
        </is>
      </c>
      <c r="B4091" s="1" t="n">
        <v>44722</v>
      </c>
      <c r="C4091" s="1" t="n">
        <v>45845</v>
      </c>
      <c r="D4091" t="inlineStr">
        <is>
          <t>KRONOBERGS LÄN</t>
        </is>
      </c>
      <c r="E4091" t="inlineStr">
        <is>
          <t>TINGSRYD</t>
        </is>
      </c>
      <c r="G4091" t="n">
        <v>6.8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23924-2022</t>
        </is>
      </c>
      <c r="B4092" s="1" t="n">
        <v>44722</v>
      </c>
      <c r="C4092" s="1" t="n">
        <v>45845</v>
      </c>
      <c r="D4092" t="inlineStr">
        <is>
          <t>KRONOBERGS LÄN</t>
        </is>
      </c>
      <c r="E4092" t="inlineStr">
        <is>
          <t>LESSEBO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23927-2022</t>
        </is>
      </c>
      <c r="B4093" s="1" t="n">
        <v>44722</v>
      </c>
      <c r="C4093" s="1" t="n">
        <v>45845</v>
      </c>
      <c r="D4093" t="inlineStr">
        <is>
          <t>KRONOBERGS LÄN</t>
        </is>
      </c>
      <c r="E4093" t="inlineStr">
        <is>
          <t>LESSEBO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23923-2022</t>
        </is>
      </c>
      <c r="B4094" s="1" t="n">
        <v>44722</v>
      </c>
      <c r="C4094" s="1" t="n">
        <v>45845</v>
      </c>
      <c r="D4094" t="inlineStr">
        <is>
          <t>KRONOBERGS LÄN</t>
        </is>
      </c>
      <c r="E4094" t="inlineStr">
        <is>
          <t>LESSEBO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24448-2022</t>
        </is>
      </c>
      <c r="B4095" s="1" t="n">
        <v>44726</v>
      </c>
      <c r="C4095" s="1" t="n">
        <v>45845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24707-2022</t>
        </is>
      </c>
      <c r="B4096" s="1" t="n">
        <v>44727</v>
      </c>
      <c r="C4096" s="1" t="n">
        <v>45845</v>
      </c>
      <c r="D4096" t="inlineStr">
        <is>
          <t>KRONOBERGS LÄN</t>
        </is>
      </c>
      <c r="E4096" t="inlineStr">
        <is>
          <t>TINGSRYD</t>
        </is>
      </c>
      <c r="F4096" t="inlineStr">
        <is>
          <t>Sveaskog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24680-2022</t>
        </is>
      </c>
      <c r="B4097" s="1" t="n">
        <v>44727</v>
      </c>
      <c r="C4097" s="1" t="n">
        <v>45845</v>
      </c>
      <c r="D4097" t="inlineStr">
        <is>
          <t>KRONOBERGS LÄN</t>
        </is>
      </c>
      <c r="E4097" t="inlineStr">
        <is>
          <t>LESSEBO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24786-2022</t>
        </is>
      </c>
      <c r="B4098" s="1" t="n">
        <v>44728</v>
      </c>
      <c r="C4098" s="1" t="n">
        <v>45845</v>
      </c>
      <c r="D4098" t="inlineStr">
        <is>
          <t>KRONOBERGS LÄN</t>
        </is>
      </c>
      <c r="E4098" t="inlineStr">
        <is>
          <t>TINGSRYD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24774-2022</t>
        </is>
      </c>
      <c r="B4099" s="1" t="n">
        <v>44728</v>
      </c>
      <c r="C4099" s="1" t="n">
        <v>45845</v>
      </c>
      <c r="D4099" t="inlineStr">
        <is>
          <t>KRONOBERGS LÄN</t>
        </is>
      </c>
      <c r="E4099" t="inlineStr">
        <is>
          <t>TINGSRYD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24856-2022</t>
        </is>
      </c>
      <c r="B4100" s="1" t="n">
        <v>44728</v>
      </c>
      <c r="C4100" s="1" t="n">
        <v>45845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25199-2022</t>
        </is>
      </c>
      <c r="B4101" s="1" t="n">
        <v>44729</v>
      </c>
      <c r="C4101" s="1" t="n">
        <v>45845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25814-2022</t>
        </is>
      </c>
      <c r="B4102" s="1" t="n">
        <v>44729</v>
      </c>
      <c r="C4102" s="1" t="n">
        <v>45845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45845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45845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45845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45845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45845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45845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45845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45845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45845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45845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45845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45845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45845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45845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45845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45845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45845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45845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45845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45845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45845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45845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45845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45845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45845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45845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45845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45845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45845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45845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45845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45845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45845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45845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45845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45845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45845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45845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45845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45845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45845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45845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45845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45845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45845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45845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45845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45845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45845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45845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45845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45845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45845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45845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45845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45845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45845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45845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45845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45845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45845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45845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45845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45845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45845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45845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45845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45845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45845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45845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45845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45845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45845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45845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45845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45845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45845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45845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45845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45845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45845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45845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45845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45845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45845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45845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45845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45845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45845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45845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45845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45845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45845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45845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45845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45845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45845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45845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45845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45845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45845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45845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45845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45845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45845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45845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45845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45845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45845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45845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45845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45845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45845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45845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45845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45845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45845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45845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45845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45845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45845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45845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45845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45845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45845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45845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45845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45845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45845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45845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45845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45845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45845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45845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45845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45845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45845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45845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45845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45845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45845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45845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45845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45845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45845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45845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45845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45845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45845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45845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45845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45845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45845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45845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45845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45845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45845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45845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45845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45845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45845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45845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45845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45845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45845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45845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45845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45845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45845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45845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45845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45845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45845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45845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45845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45845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45845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45845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45845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45845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45845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45845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45845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45845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45845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45845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45845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45845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45845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45845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45845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45845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45845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45845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45845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45845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45845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45845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45845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45845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45845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45845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45845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45845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45845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45845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45845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45845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45845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45845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45845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45845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45845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45845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45845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45845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45845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45845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45845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45845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45845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45845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45845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45845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45845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45845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45845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45845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45845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45845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45845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45845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45845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45845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45845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45845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45845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45845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45845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45845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45845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45845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45845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45845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45845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45845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45845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45845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45845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45845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45845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45845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45845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45845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45845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45845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45845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45845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45845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45845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45845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45845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45845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45845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45845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45845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45845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45845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45845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45845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45845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45845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45845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45845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45845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45845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45845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45845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45845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45845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45845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45845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45845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45845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45845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45845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45845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45845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45845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45845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45845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45845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45845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45845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45845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45845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45845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45845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45845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45845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45845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45845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45845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45845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45845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45845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45845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45845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45845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45845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45845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45845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45845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45845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45845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45845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45845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45845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45845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45845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45845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45845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45845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45845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45845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45845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45845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45845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45845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45845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45845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45845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45845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45845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45845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45845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45845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45845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45845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45845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45845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45845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45845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45845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45845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45845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45845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45845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45845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45845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45845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45845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45845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45845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45845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45845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45845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45845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45845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45845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45845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45845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45845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45845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45845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45845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45845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45845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45845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45845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45845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45845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45845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45845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45845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45845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45845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45845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45845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45845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45845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45845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45845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45845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45845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45845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45845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45845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45845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45845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45845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45845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45845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45845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45845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45845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45845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45845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45845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45845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45845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45845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45845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45845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45845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45845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45845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45845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45845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45845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45845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45845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45845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45845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45845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45845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45845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45845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45845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45845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45845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45845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45845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45845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45845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45845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45845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45845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45845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45845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45845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45845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45845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45845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45845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45845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45845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45845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45845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45845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45845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45845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45845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45845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45845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45845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45845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45845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45845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45845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45845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45845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45845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45845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45845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45845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45845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45845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45845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45845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45845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45845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45845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45845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45845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45845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45845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45845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45845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45845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45845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45845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45845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45845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45845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45845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45845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45845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45845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45845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45845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45845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45845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45845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45845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45845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45845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45845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45845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45845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45845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45845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45845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45845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45845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45845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45845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45845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45845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45845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45845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45845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45845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45845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45845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45845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45845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45845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45845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45845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45845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45845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45845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45845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45845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45845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45845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45845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45845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45845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45845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45845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45845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45845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45845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45845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45845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45845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45845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45845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45845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45845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45845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45845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45845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45845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45845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45845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45845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45845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45845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45845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45845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45845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45845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45845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45845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45845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45845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45845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45845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45845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45845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45845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45845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45845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45845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45845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45845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45845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45845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45845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45845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45845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45845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45845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45845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45845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45845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45845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45845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45845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45845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45845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45845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45845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45845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45845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45845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45845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45845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45845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45845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45845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45845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45845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45845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45845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45845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45845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45845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45845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45845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45845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45845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45845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45845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45845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45845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45845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45845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45845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45845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45845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45845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45845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45845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45845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45845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45845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45845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45845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45845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45845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45845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45845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45845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45845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45845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45845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45845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45845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45845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45845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45845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45845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45845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45845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45845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45845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45845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45845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45845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45845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45845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45845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45845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45845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45845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45845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45845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45845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45845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45845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45845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45845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45845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45845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45845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45845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45845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45845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45845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45845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45845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45845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45845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45845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45845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45845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45845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45845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45845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45845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45845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45845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45845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45845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45845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45845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45845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45845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45845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45845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45845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45845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45845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45845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45845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45845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45845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45845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45845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45845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45845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45845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45845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45845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45845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45845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45845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45845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45845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45845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45845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45845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45845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45845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45845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45845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45845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45845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45845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45845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45845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45845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45845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45845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45845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45845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45845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45845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45845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45845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45845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45845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45845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45845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45845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45845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45845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45845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45845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45845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45845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45845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45845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45845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45845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45845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45845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45845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45845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45845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45845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45845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45845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45845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45845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45845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45845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45845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45845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45845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45845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45845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45845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45845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45845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45845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45845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45845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45845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45845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45845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45845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45845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45845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45845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45845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45845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45845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45845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45845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45845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45845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45845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45845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45845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45845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45845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45845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45845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45845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45845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45845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45845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45845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45845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45845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45845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45845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45845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45845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45845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45845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45845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45845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45845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45845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45845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45845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45845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45845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45845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45845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45845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45845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45845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45845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45845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45845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45845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45845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45845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45845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45845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45845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45845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45845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45845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45845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45845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45845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45845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45845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45845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45845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45845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45845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45845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45845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45845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45845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45845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45845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45845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45845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45845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45845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45845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45845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45845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45845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45845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45845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45845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45845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45845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45845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45845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45845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45845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45845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45845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45845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45845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45845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45845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45845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45845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45845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45845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45845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45845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45845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45845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45845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45845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45845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45845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45845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45845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45845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45845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45845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45845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45845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45845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45845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45845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45845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45845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45845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45845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45845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45845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45845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45845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45845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45845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45845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45845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45845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45845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45845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45845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45845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45845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45845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45845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45845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45845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45845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45845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45845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45845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45845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45845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45845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45845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45845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45845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45845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45845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45845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45845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45845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45845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45845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45845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45845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45845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45845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45845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45845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45845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45845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45845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45845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45845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45845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45845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45845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45845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45845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45845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45845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45845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45845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45845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45845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45845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45845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45845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45845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45845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45845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45845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45845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45845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45845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45845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45845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45845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45845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45845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45845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45845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45845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45845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45845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45845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45845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45845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45845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45845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45845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45845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45845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45845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45845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45845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45845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45845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45845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45845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45845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45845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45845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45845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45845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45845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45845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45845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45845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45845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45845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45845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45845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45845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45845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45845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45845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45845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45845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45845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45845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45845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45845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45845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45845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45845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45845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45845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45845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45845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45845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45845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45845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45845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45845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45845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45845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45845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45845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45845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45845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45845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45845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45845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45845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45845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45845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45845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45845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45845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45845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45845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45845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45845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45845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45845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45845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45845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45845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45845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45845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45845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45845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45845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45845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45845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45845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45845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45845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45845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45845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45845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45845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45845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45845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45845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45845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45845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45845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45845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45845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45845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45845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45845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45845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45845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45845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45845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45845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45845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45845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45845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45845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45845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45845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45845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45845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45845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45845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45845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45845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45845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45845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45845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45845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45845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45845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45845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45845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45845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45845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45845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45845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45845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45845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45845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45845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45845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45845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45845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45845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45845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45845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45845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45845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45845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45845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45845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45845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45845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45845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45845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45845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45845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45845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45845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45845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45845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45845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45845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45845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45845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45845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45845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45845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45845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45845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45845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45845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45845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45845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45845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45845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45845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45845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45845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45845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45845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45845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45845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45845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45845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45845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45845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45845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45845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45845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45845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45845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45845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45845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45845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45845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45845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45845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45845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45845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45845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45845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45845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45845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45845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45845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45845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45845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45845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45845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45845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45845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45845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45845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45845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45845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45845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45845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45845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45845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45845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45845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45845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45845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45845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45845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45845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45845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45845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45845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45845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45845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45845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45845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45845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45845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45845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45845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45845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45845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45845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45845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45845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45845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45845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45845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45845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45845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45845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45845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45845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45845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45845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45845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45845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45845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45845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45845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45845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45845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45845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45845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45845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45845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45845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45845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45845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45845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45845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45845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45845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45845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45845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45845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45845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45845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45845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45845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45845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45845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45845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45845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45845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45845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45845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45845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45845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45845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45845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45845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45845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45845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45845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45845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45845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45845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45845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45845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45845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45845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45845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45845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45845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45845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45845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45845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45845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45845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45845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45845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45845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45845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45845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45845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45845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45845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45845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45845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45845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45845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45845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45845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45845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45845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45845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45845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45845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45845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45845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45845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45845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45845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45845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45845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45845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45845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45845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45845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45845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45845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45845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45845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45845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45845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45845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45845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45845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45845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45845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45845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45845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45845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45845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45845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45845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45845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45845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45845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45845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45845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45845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45845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45845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45845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45845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45845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45845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45845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45845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45845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45845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45845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45845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45845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45845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45845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45845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45845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45845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45845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45845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45845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45845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45845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45845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45845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45845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45845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45845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45845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45845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45845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45845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45845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45845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45845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45845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45845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45845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45845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45845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45845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45845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45845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45845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45845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45845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45845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45845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45845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45845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45845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45845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45845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45845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45845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45845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45845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45845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45845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45845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45845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45845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45845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45845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45845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45845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45845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45845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45845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45845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45845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45845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45845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45845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45845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45845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45845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45845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45845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45845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45845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45845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45845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45845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45845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45845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45845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45845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45845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45845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45845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45845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45845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45845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45845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45845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45845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45845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45845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45845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45845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45845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45845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45845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45845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45845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45845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45845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45845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45845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45845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45845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45845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45845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45845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45845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45845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45845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45845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45845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45845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45845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45845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45845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45845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45845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45845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45845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45845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45845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45845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45845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45845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45845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45845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45845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45845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45845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45845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45845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45845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45845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45845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45845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45845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45845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45845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45845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45845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45845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45845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45845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45845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45845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45845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45845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45845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45845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45845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45845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45845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45845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45845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45845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45845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45845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45845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45845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45845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45845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45845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45845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45845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45845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45845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45845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45845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45845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45845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45845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45845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45845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45845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45845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45845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45845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45845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45845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45845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45845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45845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45845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45845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45845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45845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45845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45845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45845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45845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45845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45845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45845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45845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45845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45845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45845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45845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45845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45845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45845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45845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45845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45845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45845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45845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45845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45845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45845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45845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45845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45845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45845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45845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45845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45845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45845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45845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45845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45845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45845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45845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45845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45845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45845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45845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45845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45845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45845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45845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45845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45845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45845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45845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45845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45845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45845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45845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45845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45845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45845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45845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45845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45845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45845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45845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45845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45845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45845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45845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45845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45845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45845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45845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45845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45845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45845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45845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45845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45845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45845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45845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45845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45845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45845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45845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45845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45845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45845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45845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45845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45845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45845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45845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45845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45845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45845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45845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45845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45845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45845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45845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45845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45845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45845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45845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45845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45845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45845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45845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45845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45845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45845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45845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45845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45845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45845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45845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45845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45845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45845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45845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45845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45845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45845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45845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45845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45845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45845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45845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45845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45845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45845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45845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45845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45845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45845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45845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45845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45845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45845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45845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45845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45845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45845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45845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45845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45845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45845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45845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45845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45845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45845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45845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45845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45845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45845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45845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45845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45845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45845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45845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45845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45845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45845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45845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45845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45845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45845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45845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45845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45845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45845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45845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45845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45845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45845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45845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45845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45845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45845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45845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45845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45845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45845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45845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45845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45845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45845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45845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45845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45845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45845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45845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45845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45845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45845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45845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45845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45845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45845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45845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45845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45845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45845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45845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45845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45845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45845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45845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45845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45845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45845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45845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45845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45845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45845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45845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45845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45845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45845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45845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45845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45845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45845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45845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45845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45845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45845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45845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45845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45845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45845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45845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45845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45845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45845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45845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45845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45845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45845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45845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45845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45845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45845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45845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45845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45845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45845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45845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45845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45845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45845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45845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45845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45845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45845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45845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45845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45845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45845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45845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45845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45845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45845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45845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45845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45845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45845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45845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45845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45845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45845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45845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45845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45845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45845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45845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45845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45845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45845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45845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45845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45845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45845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45845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45845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45845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45845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45845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45845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45845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45845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45845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45845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45845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45845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45845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45845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45845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45845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45845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45845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45845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45845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45845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45845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45845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45845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45845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45845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45845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45845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45845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45845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45845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45845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45845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45845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45845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45845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45845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45845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45845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45845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45845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45845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45845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45845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45845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45845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45845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45845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45845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45845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45845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45845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45845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45845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45845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45845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45845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45845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45845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45845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45845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45845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45845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45845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45845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45845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45845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45845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45845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45845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45845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45845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45845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45845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45845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45845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45845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45845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45845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45845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45845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45845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45845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45845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45845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45845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45845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45845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45845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45845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45845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45845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45845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45845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45845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45845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45845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45845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45845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45845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45845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45845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45845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45845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45845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45845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45845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45845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45845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45845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45845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45845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45845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45845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45845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45845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45845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45845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45845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45845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45845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45845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45845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45845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45845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45845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45845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45845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45845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45845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45845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45845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45845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45845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45845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45845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45845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45845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45845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45845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45845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45845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45845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45845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45845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45845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45845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45845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45845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45845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45845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45845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45845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45845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45845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45845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45845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45845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45845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45845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45845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45845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45845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45845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45845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45845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45845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45845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45845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45845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45845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45845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45845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45845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45845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45845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45845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45845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45845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45845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45845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45845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45845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45845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45845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45845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45845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45845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45845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45845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45845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45845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45845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45845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45845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45845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45845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45845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45845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45845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45845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45845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45845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45845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45845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45845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45845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45845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45845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45845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45845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45845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45845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45845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45845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45845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45845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45845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45845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45845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45845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45845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45845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45845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45845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45845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45845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45845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45845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45845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45845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45845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45845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45845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45845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45845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45845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45845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45845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45845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45845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45845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45845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45845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45845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45845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45845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45845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45845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45845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45845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45845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45845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45845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45845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45845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45845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45845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45845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45845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45845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45845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45845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45845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45845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45845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45845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45845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45845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45845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45845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45845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45845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45845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45845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45845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45845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45845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45845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45845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45845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45845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45845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45845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45845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45845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45845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45845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45845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45845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45845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45845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45845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45845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45845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45845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45845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45845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45845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45845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45845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45845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45845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45845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45845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45845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45845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45845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45845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45845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45845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45845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45845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45845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45845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45845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45845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45845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45845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45845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45845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45845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45845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45845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45845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45845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45845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45845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45845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45845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45845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45845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45845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45845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45845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45845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45845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45845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45845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45845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45845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45845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45845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45845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45845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45845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45845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45845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45845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45845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45845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45845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45845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45845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45845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45845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45845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45845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45845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45845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45845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45845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45845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45845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45845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45845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45845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45845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45845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45845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45845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45845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45845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45845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45845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45845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45845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45845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45845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45845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45845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45845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45845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45845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45845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45845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45845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45845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45845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45845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45845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45845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45845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45845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45845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45845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45845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45845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45845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45845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45845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45845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45845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45845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45845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45845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45845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45845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45845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45845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45845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45845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45845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45845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45845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45845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45845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45845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45845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45845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45845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45845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45845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45845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45845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45845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45845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45845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45845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45845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45845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45845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45845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45845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45845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45845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45845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45845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45845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45845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45845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45845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45845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45845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45845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45845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45845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45845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45845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45845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45845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45845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45845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45845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45845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45845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45845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45845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45845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45845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45845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45845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45845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45845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45845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45845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45845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45845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45845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45845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45845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45845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45845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45845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45845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45845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45845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45845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45845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45845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45845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45845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45845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45845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45845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45845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45845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45845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45845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45845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45845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45845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45845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45845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45845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45845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45845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45845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45845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45845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45845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45845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45845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45845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45845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45845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45845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45845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45845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45845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45845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45845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45845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45845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45845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45845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45845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45845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45845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45845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45845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45845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45845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45845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45845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45845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45845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45845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45845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45845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45845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45845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45845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45845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45845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45845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45845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45845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45845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45845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45845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45845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45845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45845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45845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45845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45845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45845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45845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45845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45845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45845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45845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45845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45845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45845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45845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45845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45845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45845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45845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45845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45845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45845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45845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45845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45845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45845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45845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45845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45845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45845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45845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45845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45845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45845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45845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45845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45845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45845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45845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45845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45845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45845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45845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45845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45845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45845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45845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45845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45845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45845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45845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45845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45845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45845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45845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45845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45845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45845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45845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45845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45845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45845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45845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45845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45845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45845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45845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45845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45845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45845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45845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45845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45845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45845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45845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45845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45845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45845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45845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45845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45845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45845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45845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45845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45845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45845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45845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45845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45845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45845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45845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45845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45845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45845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45845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45845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45845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45845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45845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45845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45845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45845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45845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45845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45845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45845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45845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45845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45845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45845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45845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45845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45845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45845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45845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45845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45845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45845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45845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45845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45845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45845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45845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45845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45845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45845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45845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45845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45845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45845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45845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45845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45845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45845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45845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45845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45845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45845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45845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45845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45845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45845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45845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45845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45845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45845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45845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45845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45845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45845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45845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45845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45845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45845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45845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45845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45845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45845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45845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45845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45845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45845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45845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45845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45845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45845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45845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45845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45845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45845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45845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45845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45845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45845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45845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45845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45845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45845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45845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45845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45845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45845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45845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45845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45845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45845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45845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45845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45845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45845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45845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45845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45845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45845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45845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45845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45845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45845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45845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45845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45845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45845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45845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45845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45845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45845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45845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45845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45845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45845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45845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45845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45845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45845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45845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45845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45845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45845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45845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45845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45845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45845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45845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45845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45845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45845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45845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45845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45845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45845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45845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45845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45845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45845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45845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45845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45845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45845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45845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45845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45845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45845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45845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45845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45845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45845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45845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45845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45845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45845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45845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45845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45845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45845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45845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45845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45845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45845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45845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45845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45845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45845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45845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45845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45845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45845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45845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45845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45845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45845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45845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45845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45845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45845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45845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45845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45845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45845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45845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45845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45845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45845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45845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45845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45845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45845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45845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45845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45845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45845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45845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45845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45845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45845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45845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45845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45845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45845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45845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45845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45845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45845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45845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45845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45845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45845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45845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45845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45845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45845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45845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45845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45845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45845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45845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45845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45845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45845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45845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45845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45845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45845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45845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45845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45845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45845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45845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45845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45845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45845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45845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45845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45845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45845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45845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45845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45845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45845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45845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45845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45845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45845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45845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45845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45845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45845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45845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45845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45845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45845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45845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45845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45845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45845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45845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45845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45845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45845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45845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45845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45845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45845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45845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45845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45845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45845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45845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45845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45845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45845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45845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45845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45845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45845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45845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45845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45845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45845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45845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45845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45845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45845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45845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45845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45845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45845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45845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45845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45845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45845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45845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45845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45845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45845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45845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45845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45845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45845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45845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45845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45845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45845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45845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45845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45845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45845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45845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45845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45845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45845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45845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45845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45845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45845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45845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45845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45845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45845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45845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45845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45845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45845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45845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45845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45845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45845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45845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45845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45845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45845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45845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45845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45845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45845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45845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45845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45845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45845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45845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45845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45845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45845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45845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45845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45845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45845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45845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45845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45845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45845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45845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45845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45845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45845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45845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45845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45845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45845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45845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45845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45845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45845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45845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45845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45845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45845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45845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45845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45845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45845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45845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45845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45845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45845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45845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45845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45845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45845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45845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45845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45845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45845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45845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45845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45845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45845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45845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45845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45845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45845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45845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45845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45845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45845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45845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45845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45845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45845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45845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45845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45845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45845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45845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45845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45845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45845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45845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45845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45845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45845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45845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45845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45845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45845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45845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45845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45845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45845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45845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45845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45845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45845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45845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45845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45845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45845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45845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45845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45845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45845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45845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45845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45845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45845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45845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45845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45845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45845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45845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45845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45845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45845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45845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45845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45845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45845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45845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45845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45845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45845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45845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45845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45845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45845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45845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45845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45845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45845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45845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45845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45845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45845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45845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45845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45845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45845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45845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45845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45845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45845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45845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45845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45845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45845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45845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45845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45845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45845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45845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45845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45845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45845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45845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45845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45845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45845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45845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45845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45845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45845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45845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45845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45845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45845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45845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45845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45845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45845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45845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45845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45845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45845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45845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45845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45845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45845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45845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45845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45845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45845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45845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45845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45845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45845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45845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45845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45845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45845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45845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45845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45845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45845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45845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45845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45845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45845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45845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45845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45845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45845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45845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45845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45845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45845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45845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45845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45845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45845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45845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45845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45845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45845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45845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45845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45845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45845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45845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45845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45845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45845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45845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45845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45845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45845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45845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45845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45845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45845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45845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45845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45845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45845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45845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45845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45845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45845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45845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45845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45845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45845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45845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45845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45845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45845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45845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45845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45845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45845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45845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45845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45845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45845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45845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45845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45845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45845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45845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45845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45845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45845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45845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45845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45845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45845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45845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45845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45845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45845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45845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45845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45845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45845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45845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45845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45845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45845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45845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45845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45845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45845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45845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45845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45845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45845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45845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45845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45845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45845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45845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45845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45845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45845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45845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45845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45845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45845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45845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45845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45845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45845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45845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45845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45845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45845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45845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45845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45845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45845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45845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45845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45845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45845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45845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45845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45845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45845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45845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45845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45845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45845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45845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45845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45845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45845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45845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45845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45845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45845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45845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45845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45845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45845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45845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45845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45845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45845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45845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45845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45845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45845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45845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45845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45845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45845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45845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45845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45845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45845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45845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45845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45845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45845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45845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45845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45845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45845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45845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45845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45845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45845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45845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45845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45845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45845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45845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45845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45845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45845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45845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45845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45845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45845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45845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45845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45845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45845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45845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45845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45845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45845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45845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45845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45845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45845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45845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45845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45845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45845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45845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45845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45845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45845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45845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45845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45845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45845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45845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45845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45845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45845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45845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45845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45845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45845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45845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45845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45845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45845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45845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45845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45845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45845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45845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45845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45845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45845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45845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45845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45845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45845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45845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45845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45845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45845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45845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45845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45845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45845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45845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45845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45845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45845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45845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45845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45845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45845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45845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45845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45845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45845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45845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45845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45845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45845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45845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45845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45845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45845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45845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45845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45845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45845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45845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45845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45845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45845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45845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45845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45845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45845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45845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45845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45845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45845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45845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45845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45845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45845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45845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45845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45845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45845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45845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45845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45845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45845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45845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45845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45845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45845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45845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45845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45845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45845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45845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45845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45845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45845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45845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45845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45845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45845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45845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45845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45845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45845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45845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45845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45845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45845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45845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45845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45845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45845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45845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45845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45845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45845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45845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45845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45845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45845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45845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45845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45845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45845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45845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45845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45845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45845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45845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45845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45845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45845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45845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45845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45845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45845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45845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45845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45845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45845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45845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45845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45845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45845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45845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45845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45845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45845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45845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45845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45845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45845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45845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45845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45845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45845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45845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45845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45845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45845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45845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45845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45845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45845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45845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45845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45845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45845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45845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45845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45845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45845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45845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45845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45845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45845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45845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45845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45845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45845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45845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45845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45845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45845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45845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45845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45845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45845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45845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45845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45845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45845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45845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45845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45845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45845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45845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45845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45845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45845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45845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45845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45845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45845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45845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45845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45845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45845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45845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45845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45845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45845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45845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45845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45845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45845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45845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45845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45845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45845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45845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45845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45845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45845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45845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45845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45845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45845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45845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45845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45845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45845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45845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45845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45845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45845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45845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45845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45845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45845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45845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45845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45845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45845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45845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45845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45845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45845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45845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45845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45845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45845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45845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45845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45845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45845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45845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45845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45845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45845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45845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45845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45845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45845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45845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45845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45845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45845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45845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45845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45845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45845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45845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45845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45845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45845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45845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45845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45845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45845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45845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45845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45845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45845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45845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45845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45845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45845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45845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45845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45845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45845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45845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45845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45845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45845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45845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45845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45845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45845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45845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45845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45845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45845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45845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45845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45845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45845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45845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45845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45845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45845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45845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45845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45845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45845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45845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45845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45845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45845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45845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45845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45845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45845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45845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45845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45845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45845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45845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45845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45845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45845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45845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45845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45845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45845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45845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45845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45845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45845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45845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45845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45845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45845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45845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45845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45845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45845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45845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45845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45845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45845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45845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45845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45845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45845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45845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45845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45845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45845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45845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45845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45845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45845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45845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45845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45845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45845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45845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45845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45845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45845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45845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45845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45845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45845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45845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45845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45845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45845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45845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45845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45845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45845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45845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45845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45845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45845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45845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45845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45845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45845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45845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45845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45845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45845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45845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45845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45845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45845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45845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45845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45845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45845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45845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45845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45845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45845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45845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45845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45845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45845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45845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45845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45845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45845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45845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45845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45845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45845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45845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45845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45845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45845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45845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45845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45845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45845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45845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45845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45845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45845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45845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45845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45845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45845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45845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45845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45845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45845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45845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45845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45845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45845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45845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45845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45845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45845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45845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45845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45845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45845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45845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45845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45845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45845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45845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45845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45845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45845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45845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45845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45845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45845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45845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45845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45845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45845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45845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45845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45845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45845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45845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45845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45845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45845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45845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45845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45845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45845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45845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45845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45845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45845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45845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45845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45845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45845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45845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45845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45845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45845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45845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45845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45845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45845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45845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45845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45845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45845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45845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45845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45845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45845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45845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45845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45845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45845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45845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45845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45845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45845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45845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45845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45845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45845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45845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45845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45845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45845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45845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45845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45845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45845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45845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45845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45845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45845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45845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45845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45845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45845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45845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45845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45845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45845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45845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45845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45845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45845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45845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45845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45845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45845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45845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45845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45845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45845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45845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45845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45845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45845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45845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45845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45845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45845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45845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45845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45845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45845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45845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45845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45845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45845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45845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45845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45845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45845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45845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45845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45845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45845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45845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45845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45845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45845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45845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45845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45845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45845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45845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45845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45845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45845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45845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45845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45845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45845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45845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45845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45845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45845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45845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45845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45845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45845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45845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45845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45845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45845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45845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45845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45845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45845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45845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45845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45845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45845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45845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45845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45845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45845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45845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45845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45845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45845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45845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45845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45845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45845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45845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45845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45845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45845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45845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45845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45845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45845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45845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45845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45845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45845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45845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45845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45845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45845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45845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45845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45845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45845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45845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45845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45845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45845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45845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45845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45845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45845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45845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45845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45845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45845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45845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45845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45845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45845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45845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45845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45845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45845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45845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45845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45845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45845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45845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45845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45845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45845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45845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45845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45845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45845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45845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45845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45845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45845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45845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45845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45845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45845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45845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45845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45845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45845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45845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45845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45845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45845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45845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45845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45845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45845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45845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45845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45845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45845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45845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45845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45845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45845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45845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45845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45845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45845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45845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45845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45845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45845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45845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45845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45845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45845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45845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45845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45845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45845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45845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45845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45845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45845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45845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45845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45845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45845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45845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45845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45845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45845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45845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45845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45845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45845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45845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45845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45845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45845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45845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45845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45845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45845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45845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45845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45845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45845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45845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45845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45845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45845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45845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45845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45845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45845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45845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45845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45845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45845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45845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45845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45845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45845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45845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45845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45845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45845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45845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45845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45845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45845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45845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45845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45845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45845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45845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45845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45845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45845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45845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45845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45845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45845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45845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45845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45845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45845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45845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45845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45845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45845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45845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45845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45845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45845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45845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45845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45845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45845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45845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45845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45845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45845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45845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45845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45845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45845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45845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45845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45845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45845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45845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45845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45845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45845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45845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45845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45845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45845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45845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45845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45845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45845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45845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45845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45845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45845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45845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45845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45845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45845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45845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45845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45845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45845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45845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45845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45845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45845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45845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45845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45845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45845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45845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45845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45845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45845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45845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45845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45845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45845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45845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45845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45845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45845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45845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45845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45845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45845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45845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45845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45845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45845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45845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45845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45845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45845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45845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45845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45845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45845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45845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45845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45845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45845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45845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45845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45845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45845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45845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45845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45845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45845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45845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45845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45845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45845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45845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45845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45845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45845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45845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45845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45845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45845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45845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45845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45845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45845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45845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45845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45845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45845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45845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45845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45845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45845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45845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45845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45845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45845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45845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45845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45845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45845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45845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45845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45845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45845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45845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45845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45845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45845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45845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45845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45845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45845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45845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45845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45845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45845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45845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45845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45845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45845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45845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45845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45845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45845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45845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45845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45845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45845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45845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45845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45845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45845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45845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45845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45845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45845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45845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45845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45845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45845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45845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45845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45845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45845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45845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45845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45845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45845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45845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45845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45845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45845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45845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45845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45845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45845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45845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45845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45845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45845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45845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45845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45845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45845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45845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45845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45845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45845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45845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45845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45845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45845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45845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45845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45845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45845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45845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45845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45845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45845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45845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45845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45845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45845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45845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45845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45845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45845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45845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45845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45845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45845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45845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45845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45845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45845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45845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45845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45845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45845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45845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45845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45845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45845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45845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45845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45845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45845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45845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45845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45845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45845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45845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45845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45845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45845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45845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45845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45845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45845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45845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45845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45845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45845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45845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45845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45845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45845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45845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45845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45845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45845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45845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45845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45845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45845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45845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45845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45845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45845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45845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45845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45845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45845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45845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45845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45845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45845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45845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45845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45845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45845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45845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45845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45845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45845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45845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45845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45845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45845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45845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45845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45845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45845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45845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45845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45845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45845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45845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45845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45845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45845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45845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45845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45845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45845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45845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45845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45845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45845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45845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45845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45845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45845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45845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45845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45845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45845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45845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45845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45845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45845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45845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45845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45845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45845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45845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45845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45845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45845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45845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45845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45845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45845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45845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45845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45845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45845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45845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45845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45845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45845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45845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45845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45845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45845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45845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45845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45845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45845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45845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45845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45845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45845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45845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45845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45845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45845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45845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45845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45845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45845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45845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45845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45845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45845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45845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45845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45845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45845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45845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45845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45845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45845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45845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45845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45845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45845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45845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45845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45845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45845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45845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45845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45845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45845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45845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45845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45845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45845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45845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45845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45845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45845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45845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45845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45845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45845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45845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45845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45845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45845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45845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45845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45845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45845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45845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45845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45845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45845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45845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45845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45845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45845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45845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45845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45845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45845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45845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45845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45845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45845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45845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45845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45845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45845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45845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45845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45845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45845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45845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45845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45845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45845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45845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45845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45845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45845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45845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45845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45845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45845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45845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45845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45845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45845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45845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45845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45845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45845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45845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45845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45845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45845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45845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45845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45845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45845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45845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45845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45845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45845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45845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45845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45845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45845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45845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45845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45845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45845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45845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45845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45845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45845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45845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45845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45845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45845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45845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45845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45845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45845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45845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45845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45845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45845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45845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45845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45845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45845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45845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45845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45845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45845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45845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45845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45845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45845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45845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45845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45845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45845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45845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45845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45845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45845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45845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45845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45845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45845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45845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45845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45845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45845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45845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45845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45845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45845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45845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45845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45845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45845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45845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45845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45845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45845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45845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45845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45845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45845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45845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45845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45845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45845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45845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45845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45845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45845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45845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45845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45845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45845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45845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45845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45845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45845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45845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45845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45845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45845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45845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45845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45845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45845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45845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45845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45845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45845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45845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45845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45845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45845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45845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45845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45845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45845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45845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45845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45845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45845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45845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45845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45845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45845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45845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45845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45845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45845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45845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45845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45845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45845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45845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45845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45845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45845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45845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45845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45845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45845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45845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45845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45845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45845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45845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45845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45845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45845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45845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45845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45845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45845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45845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45845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45845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45845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45845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45845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45845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45845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45845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45845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45845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45845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45845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45845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45845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45845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45845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45845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45845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45845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45845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45845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45845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45845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45845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45845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45845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45845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45845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45845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45845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45845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45845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45845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45845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45845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45845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45845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45845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45845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45845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45845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45845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45845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45845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45845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45845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45845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45845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45845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45845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45845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45845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45845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45845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45845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45845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45845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45845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45845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45845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45845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45845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45845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45845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45845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45845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45845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45845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45845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45845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45845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45845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45845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45845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45845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45845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45845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45845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45845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45845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45845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45845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45845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45845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45845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45845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45845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45845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45845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45845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45845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45845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45845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45845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45845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45845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45845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45845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45845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45845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45845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45845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45845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45845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45845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45845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45845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45845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45845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45845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45845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45845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45845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45845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45845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45845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45845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45845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45845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45845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45845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45845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45845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45845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45845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45845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45845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45845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45845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45845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45845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45845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45845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45845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45845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45845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45845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45845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45845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45845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45845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45845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45845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45845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45845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45845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45845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45845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45845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45845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45845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45845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45845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45845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45845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45845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45845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45845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45845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45845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45845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45845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45845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45845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45845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45845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45845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45845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45845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45845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45845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45845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45845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45845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45845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45845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45845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45845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45845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45845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45845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45845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45845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45845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45845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45845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45845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45845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45845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45845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45845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45845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45845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45845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45845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45845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45845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45845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45845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45845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45845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45845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45845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45845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45845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45845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45845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45845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45845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45845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45845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45845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45845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45845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45845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45845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45845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45845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45845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45845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45845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45845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45845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45845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45845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45845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45845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45845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45845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45845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45845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45845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45845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45845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45845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45845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45845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45845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45845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45845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45845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45845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45845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45845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45845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45845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45845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45845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45845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45845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45845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45845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45845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45845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45845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45845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45845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45845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45845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45845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45845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45845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45845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45845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45845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45845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45845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45845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45845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45845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45845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45845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45845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45845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45845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45845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45845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45845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45845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45845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45845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45845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45845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45845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45845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45845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45845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45845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45845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45845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45845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45845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45845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45845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45845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45845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45845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45845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45845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45845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45845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45845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45845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45845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45845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45845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45845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45845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45845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45845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45845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45845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45845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45845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45845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45845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45845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45845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45845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45845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45845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45845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45845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45845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45845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45845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45845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45845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45845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45845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45845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45845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45845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45845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45845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45845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45845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45845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45845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45845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45845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45845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45845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45845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45845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45845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45845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45845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45845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45845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45845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45845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45845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45845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45845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45845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45845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45845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45845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45845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45845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45845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45845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45845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45845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45845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45845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45845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45845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45845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45845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45845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45845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45845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45845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45845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45845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45845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45845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45845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45845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45845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45845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45845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45845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45845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45845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45845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45845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45845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45845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45845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45845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45845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45845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45845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45845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45845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45845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45845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45845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45845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45845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45845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45845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45845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45845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45845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45845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45845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45845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45845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45845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45845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45845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45845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45845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45845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45845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45845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45845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45845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45845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45845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45845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45845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45845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45845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45845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45845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45845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45845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45845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45845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45845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45845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45845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45845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45845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45845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45845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45845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45845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45845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45845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45845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45845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45845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45845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45845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45845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45845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45845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45845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45845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45845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45845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45845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45845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45845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45845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45845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45845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45845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45845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45845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45845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45845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45845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45845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45845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45845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45845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45845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45845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45845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45845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45845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45845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45845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45845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45845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45845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45845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45845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45845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45845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45845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45845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45845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45845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45845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45845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45845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45845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45845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45845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45845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45845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45845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45845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45845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45845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45845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45845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45845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45845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45845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45845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45845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45845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45845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45845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45845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45845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45845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45845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45845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45845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45845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45845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45845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45845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45845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45845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45845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45845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45845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45845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45845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45845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45845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45845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45845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45845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45845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45845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45845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45845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45845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45845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45845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45845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45845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45845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45845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45845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45845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45845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45845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45845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45845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45845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45845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45845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45845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45845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45845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45845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45845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45845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45845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45845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45845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45845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45845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45845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45845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45845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45845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45845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45845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45845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45845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45845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45845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45845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45845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45845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45845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45845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45845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45845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45845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45845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45845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45845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45845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45845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45845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45845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45845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45845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45845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45845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45845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45845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45845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45845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45845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45845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45845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45845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45845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45845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45845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45845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45845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45845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45845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45845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45845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45845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45845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45845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45845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45845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45845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45845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45845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45845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45845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45845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45845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45845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45845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45845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45845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45845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45845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45845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45845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45845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45845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45845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45845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45845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45845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45845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45845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45845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45845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45845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45845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45845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45845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45845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45845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45845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45845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45845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45845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45845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45845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45845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45845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45845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45845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45845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45845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45845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45845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45845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45845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45845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45845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45845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45845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45845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45845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45845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45845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45845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45845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45845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45845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45845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45845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45845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45845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45845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45845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45845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45845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45845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45845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45845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45845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45845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45845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45845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45845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45845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45845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45845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45845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45845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45845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45845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45845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45845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45845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45845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45845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45845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45845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45845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45845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45845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45845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45845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45845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45845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45845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45845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45845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45845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45845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45845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45845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45845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45845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45845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45845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45845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45845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45845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45845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45845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45845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45845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45845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45845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45845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45845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45845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45845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45845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45845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45845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45845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45845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45845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45845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45845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45845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45845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45845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45845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45845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45845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45845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45845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45845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45845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45845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45845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45845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45845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45845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45845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45845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45845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45845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45845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45845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45845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45845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45845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45845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45845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45845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45845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45845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45845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45845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45845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45845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45845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45845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45845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45845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45845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45845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45845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45845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45845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45845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45845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45845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45845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45845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45845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45845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45845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45845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45845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45845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45845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45845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45845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45845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45845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45845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45845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45845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45845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45845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45845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45845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45845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45845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45845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45845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45845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45845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45845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45845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45845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45845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45845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45845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45845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45845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45845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45845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45845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45845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45845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45845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45845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45845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45845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45845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45845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45845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45845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45845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45845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45845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45845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45845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45845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45845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45845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45845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45845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45845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45845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45845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45845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45845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45845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45845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45845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45845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45845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45845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45845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45845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45845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45845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45845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45845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45845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45845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45845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45845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45845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45845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45845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45845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45845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45845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45845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45845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45845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45845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45845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45845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45845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45845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45845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45845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45845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45845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45845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45845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45845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45845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45845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45845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45845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45845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45845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45845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45845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45845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45845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45845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45845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45845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45845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45845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45845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45845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45845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45845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45845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45845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45845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45845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45845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45845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45845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45845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45845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45845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45845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45845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45845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45845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45845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45845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45845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45845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45845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45845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45845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45845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45845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45845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45845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45845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45845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45845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45845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45845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45845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45845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45845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45845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45845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45845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45845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45845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45845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45845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45845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45845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45845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45845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45845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45845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45845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45845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45845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45845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45845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45845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45845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45845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45845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45845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45845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45845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45845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45845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45845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45845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45845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45845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45845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45845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45845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45845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45845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45845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45845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45845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45845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45845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45845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45845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45845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45845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45845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45845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45845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45845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45845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45845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45845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45845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45845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45845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45845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45845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45845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45845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45845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45845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45845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45845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45845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45845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45845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45845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45845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45845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45845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45845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45845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45845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45845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45845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45845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45845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45845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45845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45845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45845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45845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45845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45845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45845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45845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45845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45845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45845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45845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45845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45845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45845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45845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45845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45845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45845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45845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45845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45845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45845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45845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45845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45845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45845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45845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45845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45845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45845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45845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45845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45845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45845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45845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45845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45845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45845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45845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45845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45845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45845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45845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45845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45845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45845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45845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45845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45845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45845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45845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45845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45845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45845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45845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45845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45845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45845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45845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45845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45845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45845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45845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45845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45845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45845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45845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45845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45845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45845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45845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45845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45845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45845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45845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45845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45845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45845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45845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45845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45845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45845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45845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45845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45845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45845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45845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45845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45845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45845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45845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45845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45845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45845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45845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45845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45845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45845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45845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45845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45845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45845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45845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45845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45845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45845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45845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45845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45845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45845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45845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45845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45845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45845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45845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45845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45845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45845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45845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45845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45845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45845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45845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45845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45845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45845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45845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45845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45845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45845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45845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45845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45845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45845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45845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45845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45845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45845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45845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45845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45845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45845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45845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45845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45845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45845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45845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45845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45845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45845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45845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45845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45845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45845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45845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45845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45845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45845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45845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45845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45845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45845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45845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45845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45845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45845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45845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45845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45845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45845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45845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45845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45845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45845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45845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45845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45845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45845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45845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45845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45845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45845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45845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45845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45845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45845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45845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45845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45845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45845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45845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45845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45845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45845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45845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45845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45845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45845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45845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45845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45845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45845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45845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45845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45845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45845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45845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45845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45845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45845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45845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45845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45845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45845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45845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45845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45845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45845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45845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45845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45845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45845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45845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45845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45845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45845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45845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45845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45845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45845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45845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45845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45845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45845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45845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45845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45845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45845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45845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45845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45845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45845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45845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45845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45845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45845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45845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45845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45845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45845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45845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45845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45845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45845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45845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45845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45845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45845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45845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45845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45845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45845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45845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45845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45845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45845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45845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45845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45845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45845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45845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45845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45845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45845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45845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45845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45845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45845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45845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45845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45845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45845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45845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45845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45845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45845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45845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45845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45845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45845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45845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45845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45845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45845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45845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45845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45845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45845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45845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45845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45845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45845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45845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45845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45845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45845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45845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45845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45845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45845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45845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45845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45845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45845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45845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45845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45845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45845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45845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45845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45845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45845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45845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45845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45845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45845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45845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45845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45845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45845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45845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45845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45845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45845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45845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45845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45845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45845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45845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45845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45845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45845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45845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45845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45845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45845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45845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45845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45845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45845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45845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45845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45845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45845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45845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45845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45845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45845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45845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45845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45845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45845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45845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45845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45845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45845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45845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45845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45845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45845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45845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45845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45845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45845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45845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45845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45845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45845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45845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45845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45845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45845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45845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45845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45845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45845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45845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45845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45845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45845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45845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45845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45845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45845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45845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45845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45845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45845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45845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45845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45845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45845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45845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45845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45845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45845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45845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45845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45845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45845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45845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45845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45845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45845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45845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45845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45845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45845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45845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45845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45845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45845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45845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45845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45845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45845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45845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45845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45845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45845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45845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45845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45845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45845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45845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45845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45845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45845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45845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45845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45845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45845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45845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45845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45845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45845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45845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45845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45845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45845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45845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45845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45845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45845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45845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45845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45845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45845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45845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45845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45845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45845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45845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45845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45845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45845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45845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45845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45845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45845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45845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45845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45845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45845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45845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45845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45845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45845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45845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45845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45845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45845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45845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45845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45845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45845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45845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45845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45845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45845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45845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45845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45845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45845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45845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45845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45845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45845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45845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45845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45845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45845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45845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45845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45845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45845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45845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45845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45845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45845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45845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45845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45845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45845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45845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45845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45845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45845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45845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45845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45845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45845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45845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45845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45845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45845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45845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45845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45845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45845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45845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45845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45845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45845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45845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45845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45845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45845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45845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45845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45845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45845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45845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45845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45845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45845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45845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45845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45845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45845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45845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45845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45845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45845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45845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45845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45845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45845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45845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45845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45845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45845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45845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45845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45845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45845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45845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45845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45845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45845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45845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45845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45845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45845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45845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45845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45845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45845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45845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45845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45845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45845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45845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45845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45845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45845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45845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45845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45845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45845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45845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45845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45845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45845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45845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45845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45845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45845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45845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45845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45845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45845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45845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45845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45845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45845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45845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45845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45845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45845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45845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45845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45845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45845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45845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45845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45845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45845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45845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45845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45845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45845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45845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45845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45845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45845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45845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45845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45845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45845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45845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45845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45845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45845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45845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45845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45845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45845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45845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45845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45845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45845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45845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45845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45845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45845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45845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45845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45845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45845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45845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45845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45845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45845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45845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45845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45845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45845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45845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45845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45845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45845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45845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45845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45845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45845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45845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45845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45845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45845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45845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45845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45845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45845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45845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45845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45845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45845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45845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45845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45845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45845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45845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45845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45845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45845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45845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45845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45845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45845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45845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45845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45845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45845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45845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45845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45845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45845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45845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45845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45845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45845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45845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45845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45845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45845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45845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45845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45845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45845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45845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45845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45845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45845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45845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45845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45845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45845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45845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45845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45845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45845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45845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45845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45845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45845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45845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45845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45845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45845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45845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45845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45845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45845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45845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45845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45845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45845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45845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45845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45845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45845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45845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45845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45845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45845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45845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45845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45845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45845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45845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45845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45845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45845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45845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45845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45845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45845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45845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45845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45845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45845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45845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45845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45845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45845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45845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45845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45845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45845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45845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45845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45845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45845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45845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45845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45845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45845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45845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45845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45845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45845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45845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45845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45845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45845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45845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45845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45845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45845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45845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45845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45845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45845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45845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45845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45845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45845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45845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45845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45845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45845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45845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45845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45845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45845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45845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45845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45845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45845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45845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45845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45845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45845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45845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45845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45845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45845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45845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45845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45845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45845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45845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45845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45845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45845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45845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45845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45845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45845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45845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45845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45845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45845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45845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45845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45845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45845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45845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45845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45845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45845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45845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45845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45845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45845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45845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45845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45845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45845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45845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45845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45845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45845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45845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45845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45845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45845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45845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45845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45845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45845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45845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45845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45845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45845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45845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45845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45845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45845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45845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45845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45845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45845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45845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45845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45845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45845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45845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45845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45845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45845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45845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45845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45845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45845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45845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45845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45845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45845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45845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45845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45845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45845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45845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45845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45845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45845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45845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45845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45845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45845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45845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45845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45845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45845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45845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45845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45845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45845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45845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45845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45845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45845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45845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45845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45845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45845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45845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45845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45845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45845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45845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45845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45845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45845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45845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45845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45845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45845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45845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45845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45845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45845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45845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45845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45845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45845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45845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45845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45845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45845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45845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45845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45845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45845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45845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45845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45845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45845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45845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45845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45845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45845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45845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45845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45845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45845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45845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45845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45845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45845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45845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45845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45845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45845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45845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45845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45845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45845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45845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45845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45845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45845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45845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45845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45845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45845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45845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45845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45845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45845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45845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45845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45845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45845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45845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45845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45845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45845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45845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45845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45845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45845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45845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45845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45845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45845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45845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45845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45845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45845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45845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45845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45845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45845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45845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45845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45845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45845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45845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45845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45845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45845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45845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45845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45845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45845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45845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45845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45845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45845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45845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45845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45845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45845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45845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45845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45845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45845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45845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45845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45845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45845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45845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45845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45845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45845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45845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45845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45845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45845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45845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45845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45845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45845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45845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45845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45845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45845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45845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45845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45845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45845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45845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45845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45845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45845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45845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45845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45845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45845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45845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45845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45845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45845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45845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45845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45845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45845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45845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45845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45845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45845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45845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45845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45845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45845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45845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45845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45845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45845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45845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45845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45845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45845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45845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45845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45845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45845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45845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45845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45845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45845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45845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45845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45845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45845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45845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45845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45845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45845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45845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45845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45845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45845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45845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45845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27972-2025</t>
        </is>
      </c>
      <c r="B10786" s="1" t="n">
        <v>45817</v>
      </c>
      <c r="C10786" s="1" t="n">
        <v>45845</v>
      </c>
      <c r="D10786" t="inlineStr">
        <is>
          <t>KRONOBERGS LÄN</t>
        </is>
      </c>
      <c r="E10786" t="inlineStr">
        <is>
          <t>LJUNGBY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45845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28081-2025</t>
        </is>
      </c>
      <c r="B10788" s="1" t="n">
        <v>45817</v>
      </c>
      <c r="C10788" s="1" t="n">
        <v>45845</v>
      </c>
      <c r="D10788" t="inlineStr">
        <is>
          <t>KRONOBERGS LÄN</t>
        </is>
      </c>
      <c r="E10788" t="inlineStr">
        <is>
          <t>VÄXJÖ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27846-2025</t>
        </is>
      </c>
      <c r="B10789" s="1" t="n">
        <v>45817</v>
      </c>
      <c r="C10789" s="1" t="n">
        <v>45845</v>
      </c>
      <c r="D10789" t="inlineStr">
        <is>
          <t>KRONOBERGS LÄN</t>
        </is>
      </c>
      <c r="E10789" t="inlineStr">
        <is>
          <t>LJUNGBY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27849-2025</t>
        </is>
      </c>
      <c r="B10790" s="1" t="n">
        <v>45817</v>
      </c>
      <c r="C10790" s="1" t="n">
        <v>45845</v>
      </c>
      <c r="D10790" t="inlineStr">
        <is>
          <t>KRONOBERGS LÄN</t>
        </is>
      </c>
      <c r="E10790" t="inlineStr">
        <is>
          <t>LJUNGBY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28035-2025</t>
        </is>
      </c>
      <c r="B10791" s="1" t="n">
        <v>45817</v>
      </c>
      <c r="C10791" s="1" t="n">
        <v>45845</v>
      </c>
      <c r="D10791" t="inlineStr">
        <is>
          <t>KRONOBERGS LÄN</t>
        </is>
      </c>
      <c r="E10791" t="inlineStr">
        <is>
          <t>ÄLMHULT</t>
        </is>
      </c>
      <c r="G10791" t="n">
        <v>6.2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28036-2025</t>
        </is>
      </c>
      <c r="B10792" s="1" t="n">
        <v>45817</v>
      </c>
      <c r="C10792" s="1" t="n">
        <v>45845</v>
      </c>
      <c r="D10792" t="inlineStr">
        <is>
          <t>KRONOBERGS LÄN</t>
        </is>
      </c>
      <c r="E10792" t="inlineStr">
        <is>
          <t>VÄXJÖ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28177-2025</t>
        </is>
      </c>
      <c r="B10793" s="1" t="n">
        <v>45818</v>
      </c>
      <c r="C10793" s="1" t="n">
        <v>45845</v>
      </c>
      <c r="D10793" t="inlineStr">
        <is>
          <t>KRONOBERGS LÄN</t>
        </is>
      </c>
      <c r="E10793" t="inlineStr">
        <is>
          <t>ÄLMHULT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28225-2025</t>
        </is>
      </c>
      <c r="B10794" s="1" t="n">
        <v>45818</v>
      </c>
      <c r="C10794" s="1" t="n">
        <v>45845</v>
      </c>
      <c r="D10794" t="inlineStr">
        <is>
          <t>KRONOBERGS LÄN</t>
        </is>
      </c>
      <c r="E10794" t="inlineStr">
        <is>
          <t>ALVESTA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28148-2025</t>
        </is>
      </c>
      <c r="B10795" s="1" t="n">
        <v>45818</v>
      </c>
      <c r="C10795" s="1" t="n">
        <v>45845</v>
      </c>
      <c r="D10795" t="inlineStr">
        <is>
          <t>KRONOBERGS LÄN</t>
        </is>
      </c>
      <c r="E10795" t="inlineStr">
        <is>
          <t>UPPVIDINGE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28227-2025</t>
        </is>
      </c>
      <c r="B10796" s="1" t="n">
        <v>45818</v>
      </c>
      <c r="C10796" s="1" t="n">
        <v>45845</v>
      </c>
      <c r="D10796" t="inlineStr">
        <is>
          <t>KRONOBERGS LÄN</t>
        </is>
      </c>
      <c r="E10796" t="inlineStr">
        <is>
          <t>LJUNGBY</t>
        </is>
      </c>
      <c r="G10796" t="n">
        <v>3.6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28334-2025</t>
        </is>
      </c>
      <c r="B10797" s="1" t="n">
        <v>45818</v>
      </c>
      <c r="C10797" s="1" t="n">
        <v>45845</v>
      </c>
      <c r="D10797" t="inlineStr">
        <is>
          <t>KRONOBERGS LÄN</t>
        </is>
      </c>
      <c r="E10797" t="inlineStr">
        <is>
          <t>LJUNGBY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28292-2025</t>
        </is>
      </c>
      <c r="B10798" s="1" t="n">
        <v>45818</v>
      </c>
      <c r="C10798" s="1" t="n">
        <v>45845</v>
      </c>
      <c r="D10798" t="inlineStr">
        <is>
          <t>KRONOBERGS LÄN</t>
        </is>
      </c>
      <c r="E10798" t="inlineStr">
        <is>
          <t>MARKARYD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28301-2025</t>
        </is>
      </c>
      <c r="B10799" s="1" t="n">
        <v>45818</v>
      </c>
      <c r="C10799" s="1" t="n">
        <v>45845</v>
      </c>
      <c r="D10799" t="inlineStr">
        <is>
          <t>KRONOBERGS LÄN</t>
        </is>
      </c>
      <c r="E10799" t="inlineStr">
        <is>
          <t>ÄLMHULT</t>
        </is>
      </c>
      <c r="G10799" t="n">
        <v>4.3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45845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45845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28335-2025</t>
        </is>
      </c>
      <c r="B10802" s="1" t="n">
        <v>45818</v>
      </c>
      <c r="C10802" s="1" t="n">
        <v>45845</v>
      </c>
      <c r="D10802" t="inlineStr">
        <is>
          <t>KRONOBERGS LÄN</t>
        </is>
      </c>
      <c r="E10802" t="inlineStr">
        <is>
          <t>LJUNGBY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28176-2025</t>
        </is>
      </c>
      <c r="B10803" s="1" t="n">
        <v>45818</v>
      </c>
      <c r="C10803" s="1" t="n">
        <v>45845</v>
      </c>
      <c r="D10803" t="inlineStr">
        <is>
          <t>KRONOBERGS LÄN</t>
        </is>
      </c>
      <c r="E10803" t="inlineStr">
        <is>
          <t>VÄXJÖ</t>
        </is>
      </c>
      <c r="G10803" t="n">
        <v>2.3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28165-2025</t>
        </is>
      </c>
      <c r="B10804" s="1" t="n">
        <v>45818</v>
      </c>
      <c r="C10804" s="1" t="n">
        <v>45845</v>
      </c>
      <c r="D10804" t="inlineStr">
        <is>
          <t>KRONOBERGS LÄN</t>
        </is>
      </c>
      <c r="E10804" t="inlineStr">
        <is>
          <t>VÄXJÖ</t>
        </is>
      </c>
      <c r="G10804" t="n">
        <v>3.5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28665-2025</t>
        </is>
      </c>
      <c r="B10805" s="1" t="n">
        <v>45819</v>
      </c>
      <c r="C10805" s="1" t="n">
        <v>45845</v>
      </c>
      <c r="D10805" t="inlineStr">
        <is>
          <t>KRONOBERGS LÄN</t>
        </is>
      </c>
      <c r="E10805" t="inlineStr">
        <is>
          <t>ÄLMHULT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28641-2025</t>
        </is>
      </c>
      <c r="B10806" s="1" t="n">
        <v>45819</v>
      </c>
      <c r="C10806" s="1" t="n">
        <v>45845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45845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28391-2025</t>
        </is>
      </c>
      <c r="B10808" s="1" t="n">
        <v>45819</v>
      </c>
      <c r="C10808" s="1" t="n">
        <v>45845</v>
      </c>
      <c r="D10808" t="inlineStr">
        <is>
          <t>KRONOBERGS LÄN</t>
        </is>
      </c>
      <c r="E10808" t="inlineStr">
        <is>
          <t>UPPVIDINGE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28666-2025</t>
        </is>
      </c>
      <c r="B10809" s="1" t="n">
        <v>45819</v>
      </c>
      <c r="C10809" s="1" t="n">
        <v>45845</v>
      </c>
      <c r="D10809" t="inlineStr">
        <is>
          <t>KRONOBERGS LÄN</t>
        </is>
      </c>
      <c r="E10809" t="inlineStr">
        <is>
          <t>ÄLMHULT</t>
        </is>
      </c>
      <c r="G10809" t="n">
        <v>5.6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45845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45845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45845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28889-2025</t>
        </is>
      </c>
      <c r="B10813" s="1" t="n">
        <v>45820</v>
      </c>
      <c r="C10813" s="1" t="n">
        <v>45845</v>
      </c>
      <c r="D10813" t="inlineStr">
        <is>
          <t>KRONOBERGS LÄN</t>
        </is>
      </c>
      <c r="E10813" t="inlineStr">
        <is>
          <t>LJUNGBY</t>
        </is>
      </c>
      <c r="F10813" t="inlineStr">
        <is>
          <t>Kyrkan</t>
        </is>
      </c>
      <c r="G10813" t="n">
        <v>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45845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28947-2025</t>
        </is>
      </c>
      <c r="B10815" s="1" t="n">
        <v>45820</v>
      </c>
      <c r="C10815" s="1" t="n">
        <v>45845</v>
      </c>
      <c r="D10815" t="inlineStr">
        <is>
          <t>KRONOBERGS LÄN</t>
        </is>
      </c>
      <c r="E10815" t="inlineStr">
        <is>
          <t>TINGSRYD</t>
        </is>
      </c>
      <c r="F10815" t="inlineStr">
        <is>
          <t>Sveaskog</t>
        </is>
      </c>
      <c r="G10815" t="n">
        <v>1.8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28794-2025</t>
        </is>
      </c>
      <c r="B10816" s="1" t="n">
        <v>45820</v>
      </c>
      <c r="C10816" s="1" t="n">
        <v>45845</v>
      </c>
      <c r="D10816" t="inlineStr">
        <is>
          <t>KRONOBERGS LÄN</t>
        </is>
      </c>
      <c r="E10816" t="inlineStr">
        <is>
          <t>LESSEBO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28801-2025</t>
        </is>
      </c>
      <c r="B10817" s="1" t="n">
        <v>45820</v>
      </c>
      <c r="C10817" s="1" t="n">
        <v>45845</v>
      </c>
      <c r="D10817" t="inlineStr">
        <is>
          <t>KRONOBERGS LÄN</t>
        </is>
      </c>
      <c r="E10817" t="inlineStr">
        <is>
          <t>VÄXJÖ</t>
        </is>
      </c>
      <c r="G10817" t="n">
        <v>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28732-2025</t>
        </is>
      </c>
      <c r="B10818" s="1" t="n">
        <v>45820</v>
      </c>
      <c r="C10818" s="1" t="n">
        <v>45845</v>
      </c>
      <c r="D10818" t="inlineStr">
        <is>
          <t>KRONOBERGS LÄN</t>
        </is>
      </c>
      <c r="E10818" t="inlineStr">
        <is>
          <t>TINGSRYD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45845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45845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29163-2025</t>
        </is>
      </c>
      <c r="B10821" s="1" t="n">
        <v>45821</v>
      </c>
      <c r="C10821" s="1" t="n">
        <v>45845</v>
      </c>
      <c r="D10821" t="inlineStr">
        <is>
          <t>KRONOBERGS LÄN</t>
        </is>
      </c>
      <c r="E10821" t="inlineStr">
        <is>
          <t>ALVESTA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45845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29399-2025</t>
        </is>
      </c>
      <c r="B10823" s="1" t="n">
        <v>45824</v>
      </c>
      <c r="C10823" s="1" t="n">
        <v>45845</v>
      </c>
      <c r="D10823" t="inlineStr">
        <is>
          <t>KRONOBERGS LÄN</t>
        </is>
      </c>
      <c r="E10823" t="inlineStr">
        <is>
          <t>ALVESTA</t>
        </is>
      </c>
      <c r="G10823" t="n">
        <v>5.7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29326-2025</t>
        </is>
      </c>
      <c r="B10824" s="1" t="n">
        <v>45824</v>
      </c>
      <c r="C10824" s="1" t="n">
        <v>45845</v>
      </c>
      <c r="D10824" t="inlineStr">
        <is>
          <t>KRONOBERGS LÄN</t>
        </is>
      </c>
      <c r="E10824" t="inlineStr">
        <is>
          <t>VÄXJÖ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29331-2025</t>
        </is>
      </c>
      <c r="B10825" s="1" t="n">
        <v>45824</v>
      </c>
      <c r="C10825" s="1" t="n">
        <v>45845</v>
      </c>
      <c r="D10825" t="inlineStr">
        <is>
          <t>KRONOBERGS LÄN</t>
        </is>
      </c>
      <c r="E10825" t="inlineStr">
        <is>
          <t>UPPVIDINGE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29406-2025</t>
        </is>
      </c>
      <c r="B10826" s="1" t="n">
        <v>45824</v>
      </c>
      <c r="C10826" s="1" t="n">
        <v>45845</v>
      </c>
      <c r="D10826" t="inlineStr">
        <is>
          <t>KRONOBERGS LÄN</t>
        </is>
      </c>
      <c r="E10826" t="inlineStr">
        <is>
          <t>LJUNGBY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29313-2025</t>
        </is>
      </c>
      <c r="B10827" s="1" t="n">
        <v>45824</v>
      </c>
      <c r="C10827" s="1" t="n">
        <v>45845</v>
      </c>
      <c r="D10827" t="inlineStr">
        <is>
          <t>KRONOBERGS LÄN</t>
        </is>
      </c>
      <c r="E10827" t="inlineStr">
        <is>
          <t>ALVESTA</t>
        </is>
      </c>
      <c r="G10827" t="n">
        <v>2.7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29324-2025</t>
        </is>
      </c>
      <c r="B10828" s="1" t="n">
        <v>45824</v>
      </c>
      <c r="C10828" s="1" t="n">
        <v>45845</v>
      </c>
      <c r="D10828" t="inlineStr">
        <is>
          <t>KRONOBERGS LÄN</t>
        </is>
      </c>
      <c r="E10828" t="inlineStr">
        <is>
          <t>VÄXJÖ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29479-2025</t>
        </is>
      </c>
      <c r="B10829" s="1" t="n">
        <v>45824</v>
      </c>
      <c r="C10829" s="1" t="n">
        <v>45845</v>
      </c>
      <c r="D10829" t="inlineStr">
        <is>
          <t>KRONOBERGS LÄN</t>
        </is>
      </c>
      <c r="E10829" t="inlineStr">
        <is>
          <t>ÄLMHULT</t>
        </is>
      </c>
      <c r="G10829" t="n">
        <v>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29322-2025</t>
        </is>
      </c>
      <c r="B10830" s="1" t="n">
        <v>45824</v>
      </c>
      <c r="C10830" s="1" t="n">
        <v>45845</v>
      </c>
      <c r="D10830" t="inlineStr">
        <is>
          <t>KRONOBERGS LÄN</t>
        </is>
      </c>
      <c r="E10830" t="inlineStr">
        <is>
          <t>MARKARYD</t>
        </is>
      </c>
      <c r="G10830" t="n">
        <v>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45845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29356-2025</t>
        </is>
      </c>
      <c r="B10832" s="1" t="n">
        <v>45824</v>
      </c>
      <c r="C10832" s="1" t="n">
        <v>45845</v>
      </c>
      <c r="D10832" t="inlineStr">
        <is>
          <t>KRONOBERGS LÄN</t>
        </is>
      </c>
      <c r="E10832" t="inlineStr">
        <is>
          <t>LJUNGBY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29461-2025</t>
        </is>
      </c>
      <c r="B10833" s="1" t="n">
        <v>45824</v>
      </c>
      <c r="C10833" s="1" t="n">
        <v>45845</v>
      </c>
      <c r="D10833" t="inlineStr">
        <is>
          <t>KRONOBERGS LÄN</t>
        </is>
      </c>
      <c r="E10833" t="inlineStr">
        <is>
          <t>ALVESTA</t>
        </is>
      </c>
      <c r="G10833" t="n">
        <v>6.3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29408-2025</t>
        </is>
      </c>
      <c r="B10834" s="1" t="n">
        <v>45824</v>
      </c>
      <c r="C10834" s="1" t="n">
        <v>45845</v>
      </c>
      <c r="D10834" t="inlineStr">
        <is>
          <t>KRONOBERGS LÄN</t>
        </is>
      </c>
      <c r="E10834" t="inlineStr">
        <is>
          <t>LJUNGBY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29734-2025</t>
        </is>
      </c>
      <c r="B10835" s="1" t="n">
        <v>45825</v>
      </c>
      <c r="C10835" s="1" t="n">
        <v>45845</v>
      </c>
      <c r="D10835" t="inlineStr">
        <is>
          <t>KRONOBERGS LÄN</t>
        </is>
      </c>
      <c r="E10835" t="inlineStr">
        <is>
          <t>UPPVIDINGE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45845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29803-2025</t>
        </is>
      </c>
      <c r="B10837" s="1" t="n">
        <v>45825</v>
      </c>
      <c r="C10837" s="1" t="n">
        <v>45845</v>
      </c>
      <c r="D10837" t="inlineStr">
        <is>
          <t>KRONOBERGS LÄN</t>
        </is>
      </c>
      <c r="E10837" t="inlineStr">
        <is>
          <t>TINGSRYD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29582-2025</t>
        </is>
      </c>
      <c r="B10838" s="1" t="n">
        <v>45825</v>
      </c>
      <c r="C10838" s="1" t="n">
        <v>45845</v>
      </c>
      <c r="D10838" t="inlineStr">
        <is>
          <t>KRONOBERGS LÄN</t>
        </is>
      </c>
      <c r="E10838" t="inlineStr">
        <is>
          <t>VÄXJÖ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29592-2025</t>
        </is>
      </c>
      <c r="B10839" s="1" t="n">
        <v>45825</v>
      </c>
      <c r="C10839" s="1" t="n">
        <v>45845</v>
      </c>
      <c r="D10839" t="inlineStr">
        <is>
          <t>KRONOBERGS LÄN</t>
        </is>
      </c>
      <c r="E10839" t="inlineStr">
        <is>
          <t>UPPVIDINGE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29602-2025</t>
        </is>
      </c>
      <c r="B10840" s="1" t="n">
        <v>45825</v>
      </c>
      <c r="C10840" s="1" t="n">
        <v>45845</v>
      </c>
      <c r="D10840" t="inlineStr">
        <is>
          <t>KRONOBERGS LÄN</t>
        </is>
      </c>
      <c r="E10840" t="inlineStr">
        <is>
          <t>TINGSRYD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29629-2025</t>
        </is>
      </c>
      <c r="B10841" s="1" t="n">
        <v>45825</v>
      </c>
      <c r="C10841" s="1" t="n">
        <v>45845</v>
      </c>
      <c r="D10841" t="inlineStr">
        <is>
          <t>KRONOBERGS LÄN</t>
        </is>
      </c>
      <c r="E10841" t="inlineStr">
        <is>
          <t>TINGSRYD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29749-2025</t>
        </is>
      </c>
      <c r="B10842" s="1" t="n">
        <v>45825</v>
      </c>
      <c r="C10842" s="1" t="n">
        <v>45845</v>
      </c>
      <c r="D10842" t="inlineStr">
        <is>
          <t>KRONOBERGS LÄN</t>
        </is>
      </c>
      <c r="E10842" t="inlineStr">
        <is>
          <t>ALVESTA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29804-2025</t>
        </is>
      </c>
      <c r="B10843" s="1" t="n">
        <v>45825</v>
      </c>
      <c r="C10843" s="1" t="n">
        <v>45845</v>
      </c>
      <c r="D10843" t="inlineStr">
        <is>
          <t>KRONOBERGS LÄN</t>
        </is>
      </c>
      <c r="E10843" t="inlineStr">
        <is>
          <t>TINGSRYD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45845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29643-2025</t>
        </is>
      </c>
      <c r="B10845" s="1" t="n">
        <v>45825</v>
      </c>
      <c r="C10845" s="1" t="n">
        <v>45845</v>
      </c>
      <c r="D10845" t="inlineStr">
        <is>
          <t>KRONOBERGS LÄN</t>
        </is>
      </c>
      <c r="E10845" t="inlineStr">
        <is>
          <t>UPPVIDINGE</t>
        </is>
      </c>
      <c r="G10845" t="n">
        <v>3.8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29799-2025</t>
        </is>
      </c>
      <c r="B10846" s="1" t="n">
        <v>45825</v>
      </c>
      <c r="C10846" s="1" t="n">
        <v>45845</v>
      </c>
      <c r="D10846" t="inlineStr">
        <is>
          <t>KRONOBERGS LÄN</t>
        </is>
      </c>
      <c r="E10846" t="inlineStr">
        <is>
          <t>VÄXJÖ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29659-2025</t>
        </is>
      </c>
      <c r="B10847" s="1" t="n">
        <v>45825</v>
      </c>
      <c r="C10847" s="1" t="n">
        <v>45845</v>
      </c>
      <c r="D10847" t="inlineStr">
        <is>
          <t>KRONOBERGS LÄN</t>
        </is>
      </c>
      <c r="E10847" t="inlineStr">
        <is>
          <t>LESSEBO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29980-2025</t>
        </is>
      </c>
      <c r="B10848" s="1" t="n">
        <v>45826</v>
      </c>
      <c r="C10848" s="1" t="n">
        <v>45845</v>
      </c>
      <c r="D10848" t="inlineStr">
        <is>
          <t>KRONOBERGS LÄN</t>
        </is>
      </c>
      <c r="E10848" t="inlineStr">
        <is>
          <t>UPPVIDINGE</t>
        </is>
      </c>
      <c r="G10848" t="n">
        <v>4.1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29992-2025</t>
        </is>
      </c>
      <c r="B10849" s="1" t="n">
        <v>45826</v>
      </c>
      <c r="C10849" s="1" t="n">
        <v>45845</v>
      </c>
      <c r="D10849" t="inlineStr">
        <is>
          <t>KRONOBERGS LÄN</t>
        </is>
      </c>
      <c r="E10849" t="inlineStr">
        <is>
          <t>UPPVIDINGE</t>
        </is>
      </c>
      <c r="G10849" t="n">
        <v>5.5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30130-2025</t>
        </is>
      </c>
      <c r="B10850" s="1" t="n">
        <v>45826</v>
      </c>
      <c r="C10850" s="1" t="n">
        <v>45845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4.4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30127-2025</t>
        </is>
      </c>
      <c r="B10851" s="1" t="n">
        <v>45826</v>
      </c>
      <c r="C10851" s="1" t="n">
        <v>45845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6.5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30128-2025</t>
        </is>
      </c>
      <c r="B10852" s="1" t="n">
        <v>45826</v>
      </c>
      <c r="C10852" s="1" t="n">
        <v>45845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30126-2025</t>
        </is>
      </c>
      <c r="B10853" s="1" t="n">
        <v>45826</v>
      </c>
      <c r="C10853" s="1" t="n">
        <v>45845</v>
      </c>
      <c r="D10853" t="inlineStr">
        <is>
          <t>KRONOBERGS LÄN</t>
        </is>
      </c>
      <c r="E10853" t="inlineStr">
        <is>
          <t>MARKARYD</t>
        </is>
      </c>
      <c r="F10853" t="inlineStr">
        <is>
          <t>Kyrkan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30129-2025</t>
        </is>
      </c>
      <c r="B10854" s="1" t="n">
        <v>45826</v>
      </c>
      <c r="C10854" s="1" t="n">
        <v>45845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29989-2025</t>
        </is>
      </c>
      <c r="B10855" s="1" t="n">
        <v>45826</v>
      </c>
      <c r="C10855" s="1" t="n">
        <v>45845</v>
      </c>
      <c r="D10855" t="inlineStr">
        <is>
          <t>KRONOBERGS LÄN</t>
        </is>
      </c>
      <c r="E10855" t="inlineStr">
        <is>
          <t>UPPVIDINGE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29893-2025</t>
        </is>
      </c>
      <c r="B10856" s="1" t="n">
        <v>45826</v>
      </c>
      <c r="C10856" s="1" t="n">
        <v>45845</v>
      </c>
      <c r="D10856" t="inlineStr">
        <is>
          <t>KRONOBERGS LÄN</t>
        </is>
      </c>
      <c r="E10856" t="inlineStr">
        <is>
          <t>UPPVIDINGE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30131-2025</t>
        </is>
      </c>
      <c r="B10857" s="1" t="n">
        <v>45826</v>
      </c>
      <c r="C10857" s="1" t="n">
        <v>45845</v>
      </c>
      <c r="D10857" t="inlineStr">
        <is>
          <t>KRONOBERGS LÄN</t>
        </is>
      </c>
      <c r="E10857" t="inlineStr">
        <is>
          <t>ALVESTA</t>
        </is>
      </c>
      <c r="F10857" t="inlineStr">
        <is>
          <t>Kyrkan</t>
        </is>
      </c>
      <c r="G10857" t="n">
        <v>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30132-2025</t>
        </is>
      </c>
      <c r="B10858" s="1" t="n">
        <v>45826</v>
      </c>
      <c r="C10858" s="1" t="n">
        <v>45845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3.1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30103-2025</t>
        </is>
      </c>
      <c r="B10859" s="1" t="n">
        <v>45826</v>
      </c>
      <c r="C10859" s="1" t="n">
        <v>45845</v>
      </c>
      <c r="D10859" t="inlineStr">
        <is>
          <t>KRONOBERGS LÄN</t>
        </is>
      </c>
      <c r="E10859" t="inlineStr">
        <is>
          <t>LJUNGBY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30144-2025</t>
        </is>
      </c>
      <c r="B10860" s="1" t="n">
        <v>45827</v>
      </c>
      <c r="C10860" s="1" t="n">
        <v>45845</v>
      </c>
      <c r="D10860" t="inlineStr">
        <is>
          <t>KRONOBERGS LÄN</t>
        </is>
      </c>
      <c r="E10860" t="inlineStr">
        <is>
          <t>MARKARYD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30110-2025</t>
        </is>
      </c>
      <c r="B10861" s="1" t="n">
        <v>45826</v>
      </c>
      <c r="C10861" s="1" t="n">
        <v>45845</v>
      </c>
      <c r="D10861" t="inlineStr">
        <is>
          <t>KRONOBERGS LÄN</t>
        </is>
      </c>
      <c r="E10861" t="inlineStr">
        <is>
          <t>LJUNGBY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29915-2025</t>
        </is>
      </c>
      <c r="B10862" s="1" t="n">
        <v>45826</v>
      </c>
      <c r="C10862" s="1" t="n">
        <v>45845</v>
      </c>
      <c r="D10862" t="inlineStr">
        <is>
          <t>KRONOBERGS LÄN</t>
        </is>
      </c>
      <c r="E10862" t="inlineStr">
        <is>
          <t>LJUNGBY</t>
        </is>
      </c>
      <c r="G10862" t="n">
        <v>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29959-2025</t>
        </is>
      </c>
      <c r="B10863" s="1" t="n">
        <v>45826</v>
      </c>
      <c r="C10863" s="1" t="n">
        <v>45845</v>
      </c>
      <c r="D10863" t="inlineStr">
        <is>
          <t>KRONOBERGS LÄN</t>
        </is>
      </c>
      <c r="E10863" t="inlineStr">
        <is>
          <t>LJUNGBY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30337-2025</t>
        </is>
      </c>
      <c r="B10864" s="1" t="n">
        <v>45827</v>
      </c>
      <c r="C10864" s="1" t="n">
        <v>45845</v>
      </c>
      <c r="D10864" t="inlineStr">
        <is>
          <t>KRONOBERGS LÄN</t>
        </is>
      </c>
      <c r="E10864" t="inlineStr">
        <is>
          <t>ÄLMHULT</t>
        </is>
      </c>
      <c r="G10864" t="n">
        <v>2.3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30367-2025</t>
        </is>
      </c>
      <c r="B10865" s="1" t="n">
        <v>45827</v>
      </c>
      <c r="C10865" s="1" t="n">
        <v>45845</v>
      </c>
      <c r="D10865" t="inlineStr">
        <is>
          <t>KRONOBERGS LÄN</t>
        </is>
      </c>
      <c r="E10865" t="inlineStr">
        <is>
          <t>VÄXJÖ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30410-2025</t>
        </is>
      </c>
      <c r="B10866" s="1" t="n">
        <v>45827</v>
      </c>
      <c r="C10866" s="1" t="n">
        <v>45845</v>
      </c>
      <c r="D10866" t="inlineStr">
        <is>
          <t>KRONOBERGS LÄN</t>
        </is>
      </c>
      <c r="E10866" t="inlineStr">
        <is>
          <t>ÄLMHULT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30419-2025</t>
        </is>
      </c>
      <c r="B10867" s="1" t="n">
        <v>45827</v>
      </c>
      <c r="C10867" s="1" t="n">
        <v>45845</v>
      </c>
      <c r="D10867" t="inlineStr">
        <is>
          <t>KRONOBERGS LÄN</t>
        </is>
      </c>
      <c r="E10867" t="inlineStr">
        <is>
          <t>MARKARYD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30222-2025</t>
        </is>
      </c>
      <c r="B10868" s="1" t="n">
        <v>45827</v>
      </c>
      <c r="C10868" s="1" t="n">
        <v>45845</v>
      </c>
      <c r="D10868" t="inlineStr">
        <is>
          <t>KRONOBERGS LÄN</t>
        </is>
      </c>
      <c r="E10868" t="inlineStr">
        <is>
          <t>ALVESTA</t>
        </is>
      </c>
      <c r="G10868" t="n">
        <v>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30223-2025</t>
        </is>
      </c>
      <c r="B10869" s="1" t="n">
        <v>45827</v>
      </c>
      <c r="C10869" s="1" t="n">
        <v>45845</v>
      </c>
      <c r="D10869" t="inlineStr">
        <is>
          <t>KRONOBERGS LÄN</t>
        </is>
      </c>
      <c r="E10869" t="inlineStr">
        <is>
          <t>ALVESTA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30230-2025</t>
        </is>
      </c>
      <c r="B10870" s="1" t="n">
        <v>45827</v>
      </c>
      <c r="C10870" s="1" t="n">
        <v>45845</v>
      </c>
      <c r="D10870" t="inlineStr">
        <is>
          <t>KRONOBERGS LÄN</t>
        </is>
      </c>
      <c r="E10870" t="inlineStr">
        <is>
          <t>TINGSRYD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45845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45845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30191-2025</t>
        </is>
      </c>
      <c r="B10873" s="1" t="n">
        <v>45827</v>
      </c>
      <c r="C10873" s="1" t="n">
        <v>45845</v>
      </c>
      <c r="D10873" t="inlineStr">
        <is>
          <t>KRONOBERGS LÄN</t>
        </is>
      </c>
      <c r="E10873" t="inlineStr">
        <is>
          <t>ALVESTA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30321-2025</t>
        </is>
      </c>
      <c r="B10874" s="1" t="n">
        <v>45827</v>
      </c>
      <c r="C10874" s="1" t="n">
        <v>45845</v>
      </c>
      <c r="D10874" t="inlineStr">
        <is>
          <t>KRONOBERGS LÄN</t>
        </is>
      </c>
      <c r="E10874" t="inlineStr">
        <is>
          <t>VÄXJÖ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30322-2025</t>
        </is>
      </c>
      <c r="B10875" s="1" t="n">
        <v>45827</v>
      </c>
      <c r="C10875" s="1" t="n">
        <v>45845</v>
      </c>
      <c r="D10875" t="inlineStr">
        <is>
          <t>KRONOBERGS LÄN</t>
        </is>
      </c>
      <c r="E10875" t="inlineStr">
        <is>
          <t>ÄLMHULT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30683-2025</t>
        </is>
      </c>
      <c r="B10876" s="1" t="n">
        <v>45831</v>
      </c>
      <c r="C10876" s="1" t="n">
        <v>45845</v>
      </c>
      <c r="D10876" t="inlineStr">
        <is>
          <t>KRONOBERGS LÄN</t>
        </is>
      </c>
      <c r="E10876" t="inlineStr">
        <is>
          <t>VÄXJÖ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30720-2025</t>
        </is>
      </c>
      <c r="B10877" s="1" t="n">
        <v>45831</v>
      </c>
      <c r="C10877" s="1" t="n">
        <v>45845</v>
      </c>
      <c r="D10877" t="inlineStr">
        <is>
          <t>KRONOBERGS LÄN</t>
        </is>
      </c>
      <c r="E10877" t="inlineStr">
        <is>
          <t>LJUNGBY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45845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30771-2025</t>
        </is>
      </c>
      <c r="B10879" s="1" t="n">
        <v>45831</v>
      </c>
      <c r="C10879" s="1" t="n">
        <v>45845</v>
      </c>
      <c r="D10879" t="inlineStr">
        <is>
          <t>KRONOBERGS LÄN</t>
        </is>
      </c>
      <c r="E10879" t="inlineStr">
        <is>
          <t>LESSEBO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30547-2025</t>
        </is>
      </c>
      <c r="B10880" s="1" t="n">
        <v>45831</v>
      </c>
      <c r="C10880" s="1" t="n">
        <v>45845</v>
      </c>
      <c r="D10880" t="inlineStr">
        <is>
          <t>KRONOBERGS LÄN</t>
        </is>
      </c>
      <c r="E10880" t="inlineStr">
        <is>
          <t>UPPVIDINGE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30643-2025</t>
        </is>
      </c>
      <c r="B10881" s="1" t="n">
        <v>45831</v>
      </c>
      <c r="C10881" s="1" t="n">
        <v>45845</v>
      </c>
      <c r="D10881" t="inlineStr">
        <is>
          <t>KRONOBERGS LÄN</t>
        </is>
      </c>
      <c r="E10881" t="inlineStr">
        <is>
          <t>VÄXJÖ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30521-2025</t>
        </is>
      </c>
      <c r="B10882" s="1" t="n">
        <v>45831</v>
      </c>
      <c r="C10882" s="1" t="n">
        <v>45845</v>
      </c>
      <c r="D10882" t="inlineStr">
        <is>
          <t>KRONOBERGS LÄN</t>
        </is>
      </c>
      <c r="E10882" t="inlineStr">
        <is>
          <t>LJUNGBY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30627-2025</t>
        </is>
      </c>
      <c r="B10883" s="1" t="n">
        <v>45831</v>
      </c>
      <c r="C10883" s="1" t="n">
        <v>45845</v>
      </c>
      <c r="D10883" t="inlineStr">
        <is>
          <t>KRONOBERGS LÄN</t>
        </is>
      </c>
      <c r="E10883" t="inlineStr">
        <is>
          <t>VÄXJÖ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30529-2025</t>
        </is>
      </c>
      <c r="B10884" s="1" t="n">
        <v>45831</v>
      </c>
      <c r="C10884" s="1" t="n">
        <v>45845</v>
      </c>
      <c r="D10884" t="inlineStr">
        <is>
          <t>KRONOBERGS LÄN</t>
        </is>
      </c>
      <c r="E10884" t="inlineStr">
        <is>
          <t>LJUNGBY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30522-2025</t>
        </is>
      </c>
      <c r="B10885" s="1" t="n">
        <v>45831</v>
      </c>
      <c r="C10885" s="1" t="n">
        <v>45845</v>
      </c>
      <c r="D10885" t="inlineStr">
        <is>
          <t>KRONOBERGS LÄN</t>
        </is>
      </c>
      <c r="E10885" t="inlineStr">
        <is>
          <t>LESSEBO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30741-2025</t>
        </is>
      </c>
      <c r="B10886" s="1" t="n">
        <v>45831</v>
      </c>
      <c r="C10886" s="1" t="n">
        <v>45845</v>
      </c>
      <c r="D10886" t="inlineStr">
        <is>
          <t>KRONOBERGS LÄN</t>
        </is>
      </c>
      <c r="E10886" t="inlineStr">
        <is>
          <t>LJUNGBY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30745-2025</t>
        </is>
      </c>
      <c r="B10887" s="1" t="n">
        <v>45831</v>
      </c>
      <c r="C10887" s="1" t="n">
        <v>45845</v>
      </c>
      <c r="D10887" t="inlineStr">
        <is>
          <t>KRONOBERGS LÄN</t>
        </is>
      </c>
      <c r="E10887" t="inlineStr">
        <is>
          <t>UPPVIDINGE</t>
        </is>
      </c>
      <c r="G10887" t="n">
        <v>3.1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30854-2025</t>
        </is>
      </c>
      <c r="B10888" s="1" t="n">
        <v>45831</v>
      </c>
      <c r="C10888" s="1" t="n">
        <v>45845</v>
      </c>
      <c r="D10888" t="inlineStr">
        <is>
          <t>KRONOBERGS LÄN</t>
        </is>
      </c>
      <c r="E10888" t="inlineStr">
        <is>
          <t>LJUNGBY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30801-2025</t>
        </is>
      </c>
      <c r="B10889" s="1" t="n">
        <v>45831</v>
      </c>
      <c r="C10889" s="1" t="n">
        <v>45845</v>
      </c>
      <c r="D10889" t="inlineStr">
        <is>
          <t>KRONOBERGS LÄN</t>
        </is>
      </c>
      <c r="E10889" t="inlineStr">
        <is>
          <t>ÄLMHULT</t>
        </is>
      </c>
      <c r="G10889" t="n">
        <v>2.6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30818-2025</t>
        </is>
      </c>
      <c r="B10890" s="1" t="n">
        <v>45831</v>
      </c>
      <c r="C10890" s="1" t="n">
        <v>45845</v>
      </c>
      <c r="D10890" t="inlineStr">
        <is>
          <t>KRONOBERGS LÄN</t>
        </is>
      </c>
      <c r="E10890" t="inlineStr">
        <is>
          <t>ÄLMHULT</t>
        </is>
      </c>
      <c r="G10890" t="n">
        <v>3.3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31094-2025</t>
        </is>
      </c>
      <c r="B10891" s="1" t="n">
        <v>45831</v>
      </c>
      <c r="C10891" s="1" t="n">
        <v>45845</v>
      </c>
      <c r="D10891" t="inlineStr">
        <is>
          <t>KRONOBERGS LÄN</t>
        </is>
      </c>
      <c r="E10891" t="inlineStr">
        <is>
          <t>ALVESTA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30662-2025</t>
        </is>
      </c>
      <c r="B10892" s="1" t="n">
        <v>45831</v>
      </c>
      <c r="C10892" s="1" t="n">
        <v>45845</v>
      </c>
      <c r="D10892" t="inlineStr">
        <is>
          <t>KRONOBERGS LÄN</t>
        </is>
      </c>
      <c r="E10892" t="inlineStr">
        <is>
          <t>UPPVIDINGE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30561-2025</t>
        </is>
      </c>
      <c r="B10893" s="1" t="n">
        <v>45831</v>
      </c>
      <c r="C10893" s="1" t="n">
        <v>45845</v>
      </c>
      <c r="D10893" t="inlineStr">
        <is>
          <t>KRONOBERGS LÄN</t>
        </is>
      </c>
      <c r="E10893" t="inlineStr">
        <is>
          <t>LJUNGBY</t>
        </is>
      </c>
      <c r="G10893" t="n">
        <v>7.1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30599-2025</t>
        </is>
      </c>
      <c r="B10894" s="1" t="n">
        <v>45831</v>
      </c>
      <c r="C10894" s="1" t="n">
        <v>45845</v>
      </c>
      <c r="D10894" t="inlineStr">
        <is>
          <t>KRONOBERGS LÄN</t>
        </is>
      </c>
      <c r="E10894" t="inlineStr">
        <is>
          <t>VÄXJÖ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30538-2025</t>
        </is>
      </c>
      <c r="B10895" s="1" t="n">
        <v>45831</v>
      </c>
      <c r="C10895" s="1" t="n">
        <v>45845</v>
      </c>
      <c r="D10895" t="inlineStr">
        <is>
          <t>KRONOBERGS LÄN</t>
        </is>
      </c>
      <c r="E10895" t="inlineStr">
        <is>
          <t>LJUNGBY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30545-2025</t>
        </is>
      </c>
      <c r="B10896" s="1" t="n">
        <v>45831</v>
      </c>
      <c r="C10896" s="1" t="n">
        <v>45845</v>
      </c>
      <c r="D10896" t="inlineStr">
        <is>
          <t>KRONOBERGS LÄN</t>
        </is>
      </c>
      <c r="E10896" t="inlineStr">
        <is>
          <t>UPPVIDINGE</t>
        </is>
      </c>
      <c r="G10896" t="n">
        <v>3.7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30666-2025</t>
        </is>
      </c>
      <c r="B10897" s="1" t="n">
        <v>45831</v>
      </c>
      <c r="C10897" s="1" t="n">
        <v>45845</v>
      </c>
      <c r="D10897" t="inlineStr">
        <is>
          <t>KRONOBERGS LÄN</t>
        </is>
      </c>
      <c r="E10897" t="inlineStr">
        <is>
          <t>VÄXJÖ</t>
        </is>
      </c>
      <c r="G10897" t="n">
        <v>2.1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30857-2025</t>
        </is>
      </c>
      <c r="B10898" s="1" t="n">
        <v>45831</v>
      </c>
      <c r="C10898" s="1" t="n">
        <v>45845</v>
      </c>
      <c r="D10898" t="inlineStr">
        <is>
          <t>KRONOBERGS LÄN</t>
        </is>
      </c>
      <c r="E10898" t="inlineStr">
        <is>
          <t>LJUNGBY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30815-2025</t>
        </is>
      </c>
      <c r="B10899" s="1" t="n">
        <v>45831</v>
      </c>
      <c r="C10899" s="1" t="n">
        <v>45845</v>
      </c>
      <c r="D10899" t="inlineStr">
        <is>
          <t>KRONOBERGS LÄN</t>
        </is>
      </c>
      <c r="E10899" t="inlineStr">
        <is>
          <t>UPPVIDINGE</t>
        </is>
      </c>
      <c r="G10899" t="n">
        <v>2.2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30523-2025</t>
        </is>
      </c>
      <c r="B10900" s="1" t="n">
        <v>45831</v>
      </c>
      <c r="C10900" s="1" t="n">
        <v>45845</v>
      </c>
      <c r="D10900" t="inlineStr">
        <is>
          <t>KRONOBERGS LÄN</t>
        </is>
      </c>
      <c r="E10900" t="inlineStr">
        <is>
          <t>LJUNGBY</t>
        </is>
      </c>
      <c r="G10900" t="n">
        <v>0.5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30527-2025</t>
        </is>
      </c>
      <c r="B10901" s="1" t="n">
        <v>45831</v>
      </c>
      <c r="C10901" s="1" t="n">
        <v>45845</v>
      </c>
      <c r="D10901" t="inlineStr">
        <is>
          <t>KRONOBERGS LÄN</t>
        </is>
      </c>
      <c r="E10901" t="inlineStr">
        <is>
          <t>LESSEBO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30533-2025</t>
        </is>
      </c>
      <c r="B10902" s="1" t="n">
        <v>45831</v>
      </c>
      <c r="C10902" s="1" t="n">
        <v>45845</v>
      </c>
      <c r="D10902" t="inlineStr">
        <is>
          <t>KRONOBERGS LÄN</t>
        </is>
      </c>
      <c r="E10902" t="inlineStr">
        <is>
          <t>UPPVIDINGE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30549-2025</t>
        </is>
      </c>
      <c r="B10903" s="1" t="n">
        <v>45831</v>
      </c>
      <c r="C10903" s="1" t="n">
        <v>45845</v>
      </c>
      <c r="D10903" t="inlineStr">
        <is>
          <t>KRONOBERGS LÄN</t>
        </is>
      </c>
      <c r="E10903" t="inlineStr">
        <is>
          <t>LJUNGBY</t>
        </is>
      </c>
      <c r="G10903" t="n">
        <v>2.9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30840-2025</t>
        </is>
      </c>
      <c r="B10904" s="1" t="n">
        <v>45831</v>
      </c>
      <c r="C10904" s="1" t="n">
        <v>45845</v>
      </c>
      <c r="D10904" t="inlineStr">
        <is>
          <t>KRONOBERGS LÄN</t>
        </is>
      </c>
      <c r="E10904" t="inlineStr">
        <is>
          <t>TINGSRYD</t>
        </is>
      </c>
      <c r="G10904" t="n">
        <v>0.5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30842-2025</t>
        </is>
      </c>
      <c r="B10905" s="1" t="n">
        <v>45831</v>
      </c>
      <c r="C10905" s="1" t="n">
        <v>45845</v>
      </c>
      <c r="D10905" t="inlineStr">
        <is>
          <t>KRONOBERGS LÄN</t>
        </is>
      </c>
      <c r="E10905" t="inlineStr">
        <is>
          <t>TINGSRYD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31002-2025</t>
        </is>
      </c>
      <c r="B10906" s="1" t="n">
        <v>45832</v>
      </c>
      <c r="C10906" s="1" t="n">
        <v>45845</v>
      </c>
      <c r="D10906" t="inlineStr">
        <is>
          <t>KRONOBERGS LÄN</t>
        </is>
      </c>
      <c r="E10906" t="inlineStr">
        <is>
          <t>TINGSRYD</t>
        </is>
      </c>
      <c r="G10906" t="n">
        <v>5.8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31243-2025</t>
        </is>
      </c>
      <c r="B10907" s="1" t="n">
        <v>45832</v>
      </c>
      <c r="C10907" s="1" t="n">
        <v>45845</v>
      </c>
      <c r="D10907" t="inlineStr">
        <is>
          <t>KRONOBERGS LÄN</t>
        </is>
      </c>
      <c r="E10907" t="inlineStr">
        <is>
          <t>VÄXJÖ</t>
        </is>
      </c>
      <c r="G10907" t="n">
        <v>10.6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45845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45845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30861-2025</t>
        </is>
      </c>
      <c r="B10910" s="1" t="n">
        <v>45832</v>
      </c>
      <c r="C10910" s="1" t="n">
        <v>45845</v>
      </c>
      <c r="D10910" t="inlineStr">
        <is>
          <t>KRONOBERGS LÄN</t>
        </is>
      </c>
      <c r="E10910" t="inlineStr">
        <is>
          <t>VÄXJÖ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45845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45845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31318-2025</t>
        </is>
      </c>
      <c r="B10913" s="1" t="n">
        <v>45833</v>
      </c>
      <c r="C10913" s="1" t="n">
        <v>45845</v>
      </c>
      <c r="D10913" t="inlineStr">
        <is>
          <t>KRONOBERGS LÄN</t>
        </is>
      </c>
      <c r="E10913" t="inlineStr">
        <is>
          <t>VÄXJÖ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31462-2025</t>
        </is>
      </c>
      <c r="B10914" s="1" t="n">
        <v>45833</v>
      </c>
      <c r="C10914" s="1" t="n">
        <v>45845</v>
      </c>
      <c r="D10914" t="inlineStr">
        <is>
          <t>KRONOBERGS LÄN</t>
        </is>
      </c>
      <c r="E10914" t="inlineStr">
        <is>
          <t>TINGSRYD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31466-2025</t>
        </is>
      </c>
      <c r="B10915" s="1" t="n">
        <v>45833</v>
      </c>
      <c r="C10915" s="1" t="n">
        <v>45845</v>
      </c>
      <c r="D10915" t="inlineStr">
        <is>
          <t>KRONOBERGS LÄN</t>
        </is>
      </c>
      <c r="E10915" t="inlineStr">
        <is>
          <t>TINGSRYD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31513-2025</t>
        </is>
      </c>
      <c r="B10916" s="1" t="n">
        <v>45833</v>
      </c>
      <c r="C10916" s="1" t="n">
        <v>45845</v>
      </c>
      <c r="D10916" t="inlineStr">
        <is>
          <t>KRONOBERGS LÄN</t>
        </is>
      </c>
      <c r="E10916" t="inlineStr">
        <is>
          <t>TINGSRYD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31311-2025</t>
        </is>
      </c>
      <c r="B10917" s="1" t="n">
        <v>45833</v>
      </c>
      <c r="C10917" s="1" t="n">
        <v>45845</v>
      </c>
      <c r="D10917" t="inlineStr">
        <is>
          <t>KRONOBERGS LÄN</t>
        </is>
      </c>
      <c r="E10917" t="inlineStr">
        <is>
          <t>ÄLMHULT</t>
        </is>
      </c>
      <c r="G10917" t="n">
        <v>4.4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31315-2025</t>
        </is>
      </c>
      <c r="B10918" s="1" t="n">
        <v>45833</v>
      </c>
      <c r="C10918" s="1" t="n">
        <v>45845</v>
      </c>
      <c r="D10918" t="inlineStr">
        <is>
          <t>KRONOBERGS LÄN</t>
        </is>
      </c>
      <c r="E10918" t="inlineStr">
        <is>
          <t>VÄXJÖ</t>
        </is>
      </c>
      <c r="G10918" t="n">
        <v>2.2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31602-2025</t>
        </is>
      </c>
      <c r="B10919" s="1" t="n">
        <v>45833</v>
      </c>
      <c r="C10919" s="1" t="n">
        <v>45845</v>
      </c>
      <c r="D10919" t="inlineStr">
        <is>
          <t>KRONOBERGS LÄN</t>
        </is>
      </c>
      <c r="E10919" t="inlineStr">
        <is>
          <t>LJUNGBY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31604-2025</t>
        </is>
      </c>
      <c r="B10920" s="1" t="n">
        <v>45833</v>
      </c>
      <c r="C10920" s="1" t="n">
        <v>45845</v>
      </c>
      <c r="D10920" t="inlineStr">
        <is>
          <t>KRONOBERGS LÄN</t>
        </is>
      </c>
      <c r="E10920" t="inlineStr">
        <is>
          <t>LJUNGBY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31566-2025</t>
        </is>
      </c>
      <c r="B10921" s="1" t="n">
        <v>45833</v>
      </c>
      <c r="C10921" s="1" t="n">
        <v>45845</v>
      </c>
      <c r="D10921" t="inlineStr">
        <is>
          <t>KRONOBERGS LÄN</t>
        </is>
      </c>
      <c r="E10921" t="inlineStr">
        <is>
          <t>ALVESTA</t>
        </is>
      </c>
      <c r="G10921" t="n">
        <v>2.9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31506-2025</t>
        </is>
      </c>
      <c r="B10922" s="1" t="n">
        <v>45833</v>
      </c>
      <c r="C10922" s="1" t="n">
        <v>45845</v>
      </c>
      <c r="D10922" t="inlineStr">
        <is>
          <t>KRONOBERGS LÄN</t>
        </is>
      </c>
      <c r="E10922" t="inlineStr">
        <is>
          <t>ÄLMHULT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31560-2025</t>
        </is>
      </c>
      <c r="B10923" s="1" t="n">
        <v>45833</v>
      </c>
      <c r="C10923" s="1" t="n">
        <v>45845</v>
      </c>
      <c r="D10923" t="inlineStr">
        <is>
          <t>KRONOBERGS LÄN</t>
        </is>
      </c>
      <c r="E10923" t="inlineStr">
        <is>
          <t>ÄLMHULT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31431-2025</t>
        </is>
      </c>
      <c r="B10924" s="1" t="n">
        <v>45833</v>
      </c>
      <c r="C10924" s="1" t="n">
        <v>45845</v>
      </c>
      <c r="D10924" t="inlineStr">
        <is>
          <t>KRONOBERGS LÄN</t>
        </is>
      </c>
      <c r="E10924" t="inlineStr">
        <is>
          <t>ALVESTA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31439-2025</t>
        </is>
      </c>
      <c r="B10925" s="1" t="n">
        <v>45833</v>
      </c>
      <c r="C10925" s="1" t="n">
        <v>45845</v>
      </c>
      <c r="D10925" t="inlineStr">
        <is>
          <t>KRONOBERGS LÄN</t>
        </is>
      </c>
      <c r="E10925" t="inlineStr">
        <is>
          <t>ALVESTA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31571-2025</t>
        </is>
      </c>
      <c r="B10926" s="1" t="n">
        <v>45833</v>
      </c>
      <c r="C10926" s="1" t="n">
        <v>45845</v>
      </c>
      <c r="D10926" t="inlineStr">
        <is>
          <t>KRONOBERGS LÄN</t>
        </is>
      </c>
      <c r="E10926" t="inlineStr">
        <is>
          <t>VÄXJÖ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31438-2025</t>
        </is>
      </c>
      <c r="B10927" s="1" t="n">
        <v>45833</v>
      </c>
      <c r="C10927" s="1" t="n">
        <v>45845</v>
      </c>
      <c r="D10927" t="inlineStr">
        <is>
          <t>KRONOBERGS LÄN</t>
        </is>
      </c>
      <c r="E10927" t="inlineStr">
        <is>
          <t>TINGSRYD</t>
        </is>
      </c>
      <c r="G10927" t="n">
        <v>4.1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45845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45845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45845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31793-2025</t>
        </is>
      </c>
      <c r="B10931" s="1" t="n">
        <v>45834</v>
      </c>
      <c r="C10931" s="1" t="n">
        <v>45845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31781-2025</t>
        </is>
      </c>
      <c r="B10932" s="1" t="n">
        <v>45834</v>
      </c>
      <c r="C10932" s="1" t="n">
        <v>45845</v>
      </c>
      <c r="D10932" t="inlineStr">
        <is>
          <t>KRONOBERGS LÄN</t>
        </is>
      </c>
      <c r="E10932" t="inlineStr">
        <is>
          <t>ALVESTA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31754-2025</t>
        </is>
      </c>
      <c r="B10933" s="1" t="n">
        <v>45834</v>
      </c>
      <c r="C10933" s="1" t="n">
        <v>45845</v>
      </c>
      <c r="D10933" t="inlineStr">
        <is>
          <t>KRONOBERGS LÄN</t>
        </is>
      </c>
      <c r="E10933" t="inlineStr">
        <is>
          <t>ALVESTA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31761-2025</t>
        </is>
      </c>
      <c r="B10934" s="1" t="n">
        <v>45834</v>
      </c>
      <c r="C10934" s="1" t="n">
        <v>45845</v>
      </c>
      <c r="D10934" t="inlineStr">
        <is>
          <t>KRONOBERGS LÄN</t>
        </is>
      </c>
      <c r="E10934" t="inlineStr">
        <is>
          <t>ÄLMHULT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31790-2025</t>
        </is>
      </c>
      <c r="B10935" s="1" t="n">
        <v>45834</v>
      </c>
      <c r="C10935" s="1" t="n">
        <v>45845</v>
      </c>
      <c r="D10935" t="inlineStr">
        <is>
          <t>KRONOBERGS LÄN</t>
        </is>
      </c>
      <c r="E10935" t="inlineStr">
        <is>
          <t>ALVESTA</t>
        </is>
      </c>
      <c r="G10935" t="n">
        <v>4.1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45845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45845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32080-2025</t>
        </is>
      </c>
      <c r="B10938" s="1" t="n">
        <v>45835</v>
      </c>
      <c r="C10938" s="1" t="n">
        <v>45845</v>
      </c>
      <c r="D10938" t="inlineStr">
        <is>
          <t>KRONOBERGS LÄN</t>
        </is>
      </c>
      <c r="E10938" t="inlineStr">
        <is>
          <t>VÄXJÖ</t>
        </is>
      </c>
      <c r="G10938" t="n">
        <v>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31994-2025</t>
        </is>
      </c>
      <c r="B10939" s="1" t="n">
        <v>45835</v>
      </c>
      <c r="C10939" s="1" t="n">
        <v>45845</v>
      </c>
      <c r="D10939" t="inlineStr">
        <is>
          <t>KRONOBERGS LÄN</t>
        </is>
      </c>
      <c r="E10939" t="inlineStr">
        <is>
          <t>UPPVIDINGE</t>
        </is>
      </c>
      <c r="G10939" t="n">
        <v>5.3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32011-2025</t>
        </is>
      </c>
      <c r="B10940" s="1" t="n">
        <v>45835</v>
      </c>
      <c r="C10940" s="1" t="n">
        <v>45845</v>
      </c>
      <c r="D10940" t="inlineStr">
        <is>
          <t>KRONOBERGS LÄN</t>
        </is>
      </c>
      <c r="E10940" t="inlineStr">
        <is>
          <t>LJUNGBY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32014-2025</t>
        </is>
      </c>
      <c r="B10941" s="1" t="n">
        <v>45835</v>
      </c>
      <c r="C10941" s="1" t="n">
        <v>45845</v>
      </c>
      <c r="D10941" t="inlineStr">
        <is>
          <t>KRONOBERGS LÄN</t>
        </is>
      </c>
      <c r="E10941" t="inlineStr">
        <is>
          <t>LJUNGBY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32233-2025</t>
        </is>
      </c>
      <c r="B10942" s="1" t="n">
        <v>45835</v>
      </c>
      <c r="C10942" s="1" t="n">
        <v>45845</v>
      </c>
      <c r="D10942" t="inlineStr">
        <is>
          <t>KRONOBERGS LÄN</t>
        </is>
      </c>
      <c r="E10942" t="inlineStr">
        <is>
          <t>ÄLMHULT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31999-2025</t>
        </is>
      </c>
      <c r="B10943" s="1" t="n">
        <v>45835</v>
      </c>
      <c r="C10943" s="1" t="n">
        <v>45845</v>
      </c>
      <c r="D10943" t="inlineStr">
        <is>
          <t>KRONOBERGS LÄN</t>
        </is>
      </c>
      <c r="E10943" t="inlineStr">
        <is>
          <t>VÄXJÖ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32078-2025</t>
        </is>
      </c>
      <c r="B10944" s="1" t="n">
        <v>45835</v>
      </c>
      <c r="C10944" s="1" t="n">
        <v>45845</v>
      </c>
      <c r="D10944" t="inlineStr">
        <is>
          <t>KRONOBERGS LÄN</t>
        </is>
      </c>
      <c r="E10944" t="inlineStr">
        <is>
          <t>VÄXJÖ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32007-2025</t>
        </is>
      </c>
      <c r="B10945" s="1" t="n">
        <v>45835</v>
      </c>
      <c r="C10945" s="1" t="n">
        <v>45845</v>
      </c>
      <c r="D10945" t="inlineStr">
        <is>
          <t>KRONOBERGS LÄN</t>
        </is>
      </c>
      <c r="E10945" t="inlineStr">
        <is>
          <t>VÄXJÖ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31942-2025</t>
        </is>
      </c>
      <c r="B10946" s="1" t="n">
        <v>45835</v>
      </c>
      <c r="C10946" s="1" t="n">
        <v>45845</v>
      </c>
      <c r="D10946" t="inlineStr">
        <is>
          <t>KRONOBERGS LÄN</t>
        </is>
      </c>
      <c r="E10946" t="inlineStr">
        <is>
          <t>VÄXJÖ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32110-2025</t>
        </is>
      </c>
      <c r="B10947" s="1" t="n">
        <v>45835</v>
      </c>
      <c r="C10947" s="1" t="n">
        <v>45845</v>
      </c>
      <c r="D10947" t="inlineStr">
        <is>
          <t>KRONOBERGS LÄN</t>
        </is>
      </c>
      <c r="E10947" t="inlineStr">
        <is>
          <t>UPPVIDINGE</t>
        </is>
      </c>
      <c r="G10947" t="n">
        <v>1.2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32197-2025</t>
        </is>
      </c>
      <c r="B10948" s="1" t="n">
        <v>45835</v>
      </c>
      <c r="C10948" s="1" t="n">
        <v>45845</v>
      </c>
      <c r="D10948" t="inlineStr">
        <is>
          <t>KRONOBERGS LÄN</t>
        </is>
      </c>
      <c r="E10948" t="inlineStr">
        <is>
          <t>ÄLMHULT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45845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45845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45845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45845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45845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45845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32437-2025</t>
        </is>
      </c>
      <c r="B10955" s="1" t="n">
        <v>45838</v>
      </c>
      <c r="C10955" s="1" t="n">
        <v>45845</v>
      </c>
      <c r="D10955" t="inlineStr">
        <is>
          <t>KRONOBERGS LÄN</t>
        </is>
      </c>
      <c r="E10955" t="inlineStr">
        <is>
          <t>UPPVIDINGE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32598-2025</t>
        </is>
      </c>
      <c r="B10956" s="1" t="n">
        <v>45838</v>
      </c>
      <c r="C10956" s="1" t="n">
        <v>45845</v>
      </c>
      <c r="D10956" t="inlineStr">
        <is>
          <t>KRONOBERGS LÄN</t>
        </is>
      </c>
      <c r="E10956" t="inlineStr">
        <is>
          <t>UPPVIDINGE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32629-2025</t>
        </is>
      </c>
      <c r="B10957" s="1" t="n">
        <v>45838</v>
      </c>
      <c r="C10957" s="1" t="n">
        <v>45845</v>
      </c>
      <c r="D10957" t="inlineStr">
        <is>
          <t>KRONOBERGS LÄN</t>
        </is>
      </c>
      <c r="E10957" t="inlineStr">
        <is>
          <t>LJUNGBY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32625-2025</t>
        </is>
      </c>
      <c r="B10958" s="1" t="n">
        <v>45838</v>
      </c>
      <c r="C10958" s="1" t="n">
        <v>45845</v>
      </c>
      <c r="D10958" t="inlineStr">
        <is>
          <t>KRONOBERGS LÄN</t>
        </is>
      </c>
      <c r="E10958" t="inlineStr">
        <is>
          <t>ALVESTA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32645-2025</t>
        </is>
      </c>
      <c r="B10959" s="1" t="n">
        <v>45838</v>
      </c>
      <c r="C10959" s="1" t="n">
        <v>45845</v>
      </c>
      <c r="D10959" t="inlineStr">
        <is>
          <t>KRONOBERGS LÄN</t>
        </is>
      </c>
      <c r="E10959" t="inlineStr">
        <is>
          <t>LJUNGBY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32529-2025</t>
        </is>
      </c>
      <c r="B10960" s="1" t="n">
        <v>45838</v>
      </c>
      <c r="C10960" s="1" t="n">
        <v>45845</v>
      </c>
      <c r="D10960" t="inlineStr">
        <is>
          <t>KRONOBERGS LÄN</t>
        </is>
      </c>
      <c r="E10960" t="inlineStr">
        <is>
          <t>ALVESTA</t>
        </is>
      </c>
      <c r="G10960" t="n">
        <v>1.9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32538-2025</t>
        </is>
      </c>
      <c r="B10961" s="1" t="n">
        <v>45838</v>
      </c>
      <c r="C10961" s="1" t="n">
        <v>45845</v>
      </c>
      <c r="D10961" t="inlineStr">
        <is>
          <t>KRONOBERGS LÄN</t>
        </is>
      </c>
      <c r="E10961" t="inlineStr">
        <is>
          <t>ALVESTA</t>
        </is>
      </c>
      <c r="G10961" t="n">
        <v>3.7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32493-2025</t>
        </is>
      </c>
      <c r="B10962" s="1" t="n">
        <v>45838</v>
      </c>
      <c r="C10962" s="1" t="n">
        <v>45845</v>
      </c>
      <c r="D10962" t="inlineStr">
        <is>
          <t>KRONOBERGS LÄN</t>
        </is>
      </c>
      <c r="E10962" t="inlineStr">
        <is>
          <t>TINGSRYD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32539-2025</t>
        </is>
      </c>
      <c r="B10963" s="1" t="n">
        <v>45838</v>
      </c>
      <c r="C10963" s="1" t="n">
        <v>45845</v>
      </c>
      <c r="D10963" t="inlineStr">
        <is>
          <t>KRONOBERGS LÄN</t>
        </is>
      </c>
      <c r="E10963" t="inlineStr">
        <is>
          <t>ALVESTA</t>
        </is>
      </c>
      <c r="G10963" t="n">
        <v>5.7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32626-2025</t>
        </is>
      </c>
      <c r="B10964" s="1" t="n">
        <v>45838</v>
      </c>
      <c r="C10964" s="1" t="n">
        <v>45845</v>
      </c>
      <c r="D10964" t="inlineStr">
        <is>
          <t>KRONOBERGS LÄN</t>
        </is>
      </c>
      <c r="E10964" t="inlineStr">
        <is>
          <t>ALVESTA</t>
        </is>
      </c>
      <c r="G10964" t="n">
        <v>2.6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32650-2025</t>
        </is>
      </c>
      <c r="B10965" s="1" t="n">
        <v>45838</v>
      </c>
      <c r="C10965" s="1" t="n">
        <v>45845</v>
      </c>
      <c r="D10965" t="inlineStr">
        <is>
          <t>KRONOBERGS LÄN</t>
        </is>
      </c>
      <c r="E10965" t="inlineStr">
        <is>
          <t>UPPVIDINGE</t>
        </is>
      </c>
      <c r="F10965" t="inlineStr">
        <is>
          <t>Kommuner</t>
        </is>
      </c>
      <c r="G10965" t="n">
        <v>4.1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45845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32675-2025</t>
        </is>
      </c>
      <c r="B10967" s="1" t="n">
        <v>45838</v>
      </c>
      <c r="C10967" s="1" t="n">
        <v>45845</v>
      </c>
      <c r="D10967" t="inlineStr">
        <is>
          <t>KRONOBERGS LÄN</t>
        </is>
      </c>
      <c r="E10967" t="inlineStr">
        <is>
          <t>ALVESTA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32858-2025</t>
        </is>
      </c>
      <c r="B10968" s="1" t="n">
        <v>45839</v>
      </c>
      <c r="C10968" s="1" t="n">
        <v>45845</v>
      </c>
      <c r="D10968" t="inlineStr">
        <is>
          <t>KRONOBERGS LÄN</t>
        </is>
      </c>
      <c r="E10968" t="inlineStr">
        <is>
          <t>UPPVIDINGE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32860-2025</t>
        </is>
      </c>
      <c r="B10969" s="1" t="n">
        <v>45839</v>
      </c>
      <c r="C10969" s="1" t="n">
        <v>45845</v>
      </c>
      <c r="D10969" t="inlineStr">
        <is>
          <t>KRONOBERGS LÄN</t>
        </is>
      </c>
      <c r="E10969" t="inlineStr">
        <is>
          <t>ÄLMHULT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32884-2025</t>
        </is>
      </c>
      <c r="B10970" s="1" t="n">
        <v>45839</v>
      </c>
      <c r="C10970" s="1" t="n">
        <v>45845</v>
      </c>
      <c r="D10970" t="inlineStr">
        <is>
          <t>KRONOBERGS LÄN</t>
        </is>
      </c>
      <c r="E10970" t="inlineStr">
        <is>
          <t>TINGSRYD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32712-2025</t>
        </is>
      </c>
      <c r="B10971" s="1" t="n">
        <v>45839</v>
      </c>
      <c r="C10971" s="1" t="n">
        <v>45845</v>
      </c>
      <c r="D10971" t="inlineStr">
        <is>
          <t>KRONOBERGS LÄN</t>
        </is>
      </c>
      <c r="E10971" t="inlineStr">
        <is>
          <t>LESSEBO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32719-2025</t>
        </is>
      </c>
      <c r="B10972" s="1" t="n">
        <v>45839</v>
      </c>
      <c r="C10972" s="1" t="n">
        <v>45845</v>
      </c>
      <c r="D10972" t="inlineStr">
        <is>
          <t>KRONOBERGS LÄN</t>
        </is>
      </c>
      <c r="E10972" t="inlineStr">
        <is>
          <t>UPPVIDINGE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32825-2025</t>
        </is>
      </c>
      <c r="B10973" s="1" t="n">
        <v>45839</v>
      </c>
      <c r="C10973" s="1" t="n">
        <v>45845</v>
      </c>
      <c r="D10973" t="inlineStr">
        <is>
          <t>KRONOBERGS LÄN</t>
        </is>
      </c>
      <c r="E10973" t="inlineStr">
        <is>
          <t>ÄLMHULT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32879-2025</t>
        </is>
      </c>
      <c r="B10974" s="1" t="n">
        <v>45839</v>
      </c>
      <c r="C10974" s="1" t="n">
        <v>45845</v>
      </c>
      <c r="D10974" t="inlineStr">
        <is>
          <t>KRONOBERGS LÄN</t>
        </is>
      </c>
      <c r="E10974" t="inlineStr">
        <is>
          <t>TINGSRYD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32881-2025</t>
        </is>
      </c>
      <c r="B10975" s="1" t="n">
        <v>45839</v>
      </c>
      <c r="C10975" s="1" t="n">
        <v>45845</v>
      </c>
      <c r="D10975" t="inlineStr">
        <is>
          <t>KRONOBERGS LÄN</t>
        </is>
      </c>
      <c r="E10975" t="inlineStr">
        <is>
          <t>UPPVIDINGE</t>
        </is>
      </c>
      <c r="G10975" t="n">
        <v>5.6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32806-2025</t>
        </is>
      </c>
      <c r="B10976" s="1" t="n">
        <v>45839</v>
      </c>
      <c r="C10976" s="1" t="n">
        <v>45845</v>
      </c>
      <c r="D10976" t="inlineStr">
        <is>
          <t>KRONOBERGS LÄN</t>
        </is>
      </c>
      <c r="E10976" t="inlineStr">
        <is>
          <t>ÄLMHULT</t>
        </is>
      </c>
      <c r="G10976" t="n">
        <v>2.3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32833-2025</t>
        </is>
      </c>
      <c r="B10977" s="1" t="n">
        <v>45839</v>
      </c>
      <c r="C10977" s="1" t="n">
        <v>45845</v>
      </c>
      <c r="D10977" t="inlineStr">
        <is>
          <t>KRONOBERGS LÄN</t>
        </is>
      </c>
      <c r="E10977" t="inlineStr">
        <is>
          <t>UPPVIDINGE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32693-2025</t>
        </is>
      </c>
      <c r="B10978" s="1" t="n">
        <v>45839</v>
      </c>
      <c r="C10978" s="1" t="n">
        <v>45845</v>
      </c>
      <c r="D10978" t="inlineStr">
        <is>
          <t>KRONOBERGS LÄN</t>
        </is>
      </c>
      <c r="E10978" t="inlineStr">
        <is>
          <t>ALVESTA</t>
        </is>
      </c>
      <c r="G10978" t="n">
        <v>2.6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32835-2025</t>
        </is>
      </c>
      <c r="B10979" s="1" t="n">
        <v>45839</v>
      </c>
      <c r="C10979" s="1" t="n">
        <v>45845</v>
      </c>
      <c r="D10979" t="inlineStr">
        <is>
          <t>KRONOBERGS LÄN</t>
        </is>
      </c>
      <c r="E10979" t="inlineStr">
        <is>
          <t>UPPVIDINGE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  <c r="U10979">
        <f>HYPERLINK("https://klasma.github.io/Logging_070760/knärot/A 32835-2025 karta knärot.png", "A 32835-2025")</f>
        <v/>
      </c>
      <c r="V10979">
        <f>HYPERLINK("https://klasma.github.io/Logging_070760/klagomål/A 32835-2025 FSC-klagomål.docx", "A 32835-2025")</f>
        <v/>
      </c>
      <c r="W10979">
        <f>HYPERLINK("https://klasma.github.io/Logging_070760/klagomålsmail/A 32835-2025 FSC-klagomål mail.docx", "A 32835-2025")</f>
        <v/>
      </c>
      <c r="X10979">
        <f>HYPERLINK("https://klasma.github.io/Logging_070760/tillsyn/A 32835-2025 tillsynsbegäran.docx", "A 32835-2025")</f>
        <v/>
      </c>
      <c r="Y10979">
        <f>HYPERLINK("https://klasma.github.io/Logging_070760/tillsynsmail/A 32835-2025 tillsynsbegäran mail.docx", "A 32835-2025")</f>
        <v/>
      </c>
    </row>
    <row r="10980" ht="15" customHeight="1">
      <c r="A10980" t="inlineStr">
        <is>
          <t>A 32868-2025</t>
        </is>
      </c>
      <c r="B10980" s="1" t="n">
        <v>45839</v>
      </c>
      <c r="C10980" s="1" t="n">
        <v>45845</v>
      </c>
      <c r="D10980" t="inlineStr">
        <is>
          <t>KRONOBERGS LÄN</t>
        </is>
      </c>
      <c r="E10980" t="inlineStr">
        <is>
          <t>VÄXJÖ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33252-2025</t>
        </is>
      </c>
      <c r="B10981" s="1" t="n">
        <v>45840</v>
      </c>
      <c r="C10981" s="1" t="n">
        <v>45845</v>
      </c>
      <c r="D10981" t="inlineStr">
        <is>
          <t>KRONOBERGS LÄN</t>
        </is>
      </c>
      <c r="E10981" t="inlineStr">
        <is>
          <t>UPPVIDINGE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33110-2025</t>
        </is>
      </c>
      <c r="B10982" s="1" t="n">
        <v>45840</v>
      </c>
      <c r="C10982" s="1" t="n">
        <v>45845</v>
      </c>
      <c r="D10982" t="inlineStr">
        <is>
          <t>KRONOBERGS LÄN</t>
        </is>
      </c>
      <c r="E10982" t="inlineStr">
        <is>
          <t>ALVESTA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33116-2025</t>
        </is>
      </c>
      <c r="B10983" s="1" t="n">
        <v>45840</v>
      </c>
      <c r="C10983" s="1" t="n">
        <v>45845</v>
      </c>
      <c r="D10983" t="inlineStr">
        <is>
          <t>KRONOBERGS LÄN</t>
        </is>
      </c>
      <c r="E10983" t="inlineStr">
        <is>
          <t>UPPVIDINGE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33152-2025</t>
        </is>
      </c>
      <c r="B10984" s="1" t="n">
        <v>45840</v>
      </c>
      <c r="C10984" s="1" t="n">
        <v>45845</v>
      </c>
      <c r="D10984" t="inlineStr">
        <is>
          <t>KRONOBERGS LÄN</t>
        </is>
      </c>
      <c r="E10984" t="inlineStr">
        <is>
          <t>LJUNGBY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33100-2025</t>
        </is>
      </c>
      <c r="B10985" s="1" t="n">
        <v>45840</v>
      </c>
      <c r="C10985" s="1" t="n">
        <v>45845</v>
      </c>
      <c r="D10985" t="inlineStr">
        <is>
          <t>KRONOBERGS LÄN</t>
        </is>
      </c>
      <c r="E10985" t="inlineStr">
        <is>
          <t>UPPVIDINGE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33066-2025</t>
        </is>
      </c>
      <c r="B10986" s="1" t="n">
        <v>45840</v>
      </c>
      <c r="C10986" s="1" t="n">
        <v>45845</v>
      </c>
      <c r="D10986" t="inlineStr">
        <is>
          <t>KRONOBERGS LÄN</t>
        </is>
      </c>
      <c r="E10986" t="inlineStr">
        <is>
          <t>VÄXJÖ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33168-2025</t>
        </is>
      </c>
      <c r="B10987" s="1" t="n">
        <v>45840</v>
      </c>
      <c r="C10987" s="1" t="n">
        <v>45845</v>
      </c>
      <c r="D10987" t="inlineStr">
        <is>
          <t>KRONOBERGS LÄN</t>
        </is>
      </c>
      <c r="E10987" t="inlineStr">
        <is>
          <t>ALVESTA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33151-2025</t>
        </is>
      </c>
      <c r="B10988" s="1" t="n">
        <v>45840</v>
      </c>
      <c r="C10988" s="1" t="n">
        <v>45845</v>
      </c>
      <c r="D10988" t="inlineStr">
        <is>
          <t>KRONOBERGS LÄN</t>
        </is>
      </c>
      <c r="E10988" t="inlineStr">
        <is>
          <t>LJUNGBY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33094-2025</t>
        </is>
      </c>
      <c r="B10989" s="1" t="n">
        <v>45840</v>
      </c>
      <c r="C10989" s="1" t="n">
        <v>45845</v>
      </c>
      <c r="D10989" t="inlineStr">
        <is>
          <t>KRONOBERGS LÄN</t>
        </is>
      </c>
      <c r="E10989" t="inlineStr">
        <is>
          <t>TINGSRYD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45845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33721-2025</t>
        </is>
      </c>
      <c r="B10991" s="1" t="n">
        <v>45841</v>
      </c>
      <c r="C10991" s="1" t="n">
        <v>45845</v>
      </c>
      <c r="D10991" t="inlineStr">
        <is>
          <t>KRONOBERGS LÄN</t>
        </is>
      </c>
      <c r="E10991" t="inlineStr">
        <is>
          <t>TINGSRYD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45845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33311-2025</t>
        </is>
      </c>
      <c r="B10993" s="1" t="n">
        <v>45841</v>
      </c>
      <c r="C10993" s="1" t="n">
        <v>45845</v>
      </c>
      <c r="D10993" t="inlineStr">
        <is>
          <t>KRONOBERGS LÄN</t>
        </is>
      </c>
      <c r="E10993" t="inlineStr">
        <is>
          <t>ÄLMHULT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33617-2025</t>
        </is>
      </c>
      <c r="B10994" s="1" t="n">
        <v>45841</v>
      </c>
      <c r="C10994" s="1" t="n">
        <v>45845</v>
      </c>
      <c r="D10994" t="inlineStr">
        <is>
          <t>KRONOBERGS LÄN</t>
        </is>
      </c>
      <c r="E10994" t="inlineStr">
        <is>
          <t>ALVESTA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45845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33697-2025</t>
        </is>
      </c>
      <c r="B10996" s="1" t="n">
        <v>45841</v>
      </c>
      <c r="C10996" s="1" t="n">
        <v>45845</v>
      </c>
      <c r="D10996" t="inlineStr">
        <is>
          <t>KRONOBERGS LÄN</t>
        </is>
      </c>
      <c r="E10996" t="inlineStr">
        <is>
          <t>ALVESTA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33701-2025</t>
        </is>
      </c>
      <c r="B10997" s="1" t="n">
        <v>45841</v>
      </c>
      <c r="C10997" s="1" t="n">
        <v>45845</v>
      </c>
      <c r="D10997" t="inlineStr">
        <is>
          <t>KRONOBERGS LÄN</t>
        </is>
      </c>
      <c r="E10997" t="inlineStr">
        <is>
          <t>UPPVIDINGE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33565-2025</t>
        </is>
      </c>
      <c r="B10998" s="1" t="n">
        <v>45841</v>
      </c>
      <c r="C10998" s="1" t="n">
        <v>45845</v>
      </c>
      <c r="D10998" t="inlineStr">
        <is>
          <t>KRONOBERGS LÄN</t>
        </is>
      </c>
      <c r="E10998" t="inlineStr">
        <is>
          <t>TINGSRYD</t>
        </is>
      </c>
      <c r="G10998" t="n">
        <v>8.4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33713-2025</t>
        </is>
      </c>
      <c r="B10999" s="1" t="n">
        <v>45841</v>
      </c>
      <c r="C10999" s="1" t="n">
        <v>45845</v>
      </c>
      <c r="D10999" t="inlineStr">
        <is>
          <t>KRONOBERGS LÄN</t>
        </is>
      </c>
      <c r="E10999" t="inlineStr">
        <is>
          <t>VÄXJÖ</t>
        </is>
      </c>
      <c r="G10999" t="n">
        <v>2.2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33699-2025</t>
        </is>
      </c>
      <c r="B11000" s="1" t="n">
        <v>45841</v>
      </c>
      <c r="C11000" s="1" t="n">
        <v>45845</v>
      </c>
      <c r="D11000" t="inlineStr">
        <is>
          <t>KRONOBERGS LÄN</t>
        </is>
      </c>
      <c r="E11000" t="inlineStr">
        <is>
          <t>ALVESTA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33547-2025</t>
        </is>
      </c>
      <c r="B11001" s="1" t="n">
        <v>45841</v>
      </c>
      <c r="C11001" s="1" t="n">
        <v>45845</v>
      </c>
      <c r="D11001" t="inlineStr">
        <is>
          <t>KRONOBERGS LÄN</t>
        </is>
      </c>
      <c r="E11001" t="inlineStr">
        <is>
          <t>LJUNGBY</t>
        </is>
      </c>
      <c r="G11001" t="n">
        <v>2.9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33923-2025</t>
        </is>
      </c>
      <c r="B11002" s="1" t="n">
        <v>45842</v>
      </c>
      <c r="C11002" s="1" t="n">
        <v>45845</v>
      </c>
      <c r="D11002" t="inlineStr">
        <is>
          <t>KRONOBERGS LÄN</t>
        </is>
      </c>
      <c r="E11002" t="inlineStr">
        <is>
          <t>LJUNGBY</t>
        </is>
      </c>
      <c r="G11002" t="n">
        <v>5.1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33926-2025</t>
        </is>
      </c>
      <c r="B11003" s="1" t="n">
        <v>45842</v>
      </c>
      <c r="C11003" s="1" t="n">
        <v>45845</v>
      </c>
      <c r="D11003" t="inlineStr">
        <is>
          <t>KRONOBERGS LÄN</t>
        </is>
      </c>
      <c r="E11003" t="inlineStr">
        <is>
          <t>LJUNGBY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33754-2025</t>
        </is>
      </c>
      <c r="B11004" s="1" t="n">
        <v>45842</v>
      </c>
      <c r="C11004" s="1" t="n">
        <v>45845</v>
      </c>
      <c r="D11004" t="inlineStr">
        <is>
          <t>KRONOBERGS LÄN</t>
        </is>
      </c>
      <c r="E11004" t="inlineStr">
        <is>
          <t>ÄLMHULT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33758-2025</t>
        </is>
      </c>
      <c r="B11005" s="1" t="n">
        <v>45842</v>
      </c>
      <c r="C11005" s="1" t="n">
        <v>45845</v>
      </c>
      <c r="D11005" t="inlineStr">
        <is>
          <t>KRONOBERGS LÄN</t>
        </is>
      </c>
      <c r="E11005" t="inlineStr">
        <is>
          <t>ÄLMHULT</t>
        </is>
      </c>
      <c r="G11005" t="n">
        <v>2.2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33760-2025</t>
        </is>
      </c>
      <c r="B11006" s="1" t="n">
        <v>45842</v>
      </c>
      <c r="C11006" s="1" t="n">
        <v>45845</v>
      </c>
      <c r="D11006" t="inlineStr">
        <is>
          <t>KRONOBERGS LÄN</t>
        </is>
      </c>
      <c r="E11006" t="inlineStr">
        <is>
          <t>ÄLMHULT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33819-2025</t>
        </is>
      </c>
      <c r="B11007" s="1" t="n">
        <v>45842</v>
      </c>
      <c r="C11007" s="1" t="n">
        <v>45845</v>
      </c>
      <c r="D11007" t="inlineStr">
        <is>
          <t>KRONOBERGS LÄN</t>
        </is>
      </c>
      <c r="E11007" t="inlineStr">
        <is>
          <t>MARKARYD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33765-2025</t>
        </is>
      </c>
      <c r="B11008" s="1" t="n">
        <v>45842</v>
      </c>
      <c r="C11008" s="1" t="n">
        <v>45845</v>
      </c>
      <c r="D11008" t="inlineStr">
        <is>
          <t>KRONOBERGS LÄN</t>
        </is>
      </c>
      <c r="E11008" t="inlineStr">
        <is>
          <t>ÄLMHULT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33876-2025</t>
        </is>
      </c>
      <c r="B11009" s="1" t="n">
        <v>45842</v>
      </c>
      <c r="C11009" s="1" t="n">
        <v>45845</v>
      </c>
      <c r="D11009" t="inlineStr">
        <is>
          <t>KRONOBERGS LÄN</t>
        </is>
      </c>
      <c r="E11009" t="inlineStr">
        <is>
          <t>UPPVIDINGE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33771-2025</t>
        </is>
      </c>
      <c r="B11010" s="1" t="n">
        <v>45842</v>
      </c>
      <c r="C11010" s="1" t="n">
        <v>45845</v>
      </c>
      <c r="D11010" t="inlineStr">
        <is>
          <t>KRONOBERGS LÄN</t>
        </is>
      </c>
      <c r="E11010" t="inlineStr">
        <is>
          <t>ÄLMHULT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33811-2025</t>
        </is>
      </c>
      <c r="B11011" s="1" t="n">
        <v>45842</v>
      </c>
      <c r="C11011" s="1" t="n">
        <v>45845</v>
      </c>
      <c r="D11011" t="inlineStr">
        <is>
          <t>KRONOBERGS LÄN</t>
        </is>
      </c>
      <c r="E11011" t="inlineStr">
        <is>
          <t>LJUNGBY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33841-2025</t>
        </is>
      </c>
      <c r="B11012" s="1" t="n">
        <v>45842</v>
      </c>
      <c r="C11012" s="1" t="n">
        <v>45845</v>
      </c>
      <c r="D11012" t="inlineStr">
        <is>
          <t>KRONOBERGS LÄN</t>
        </is>
      </c>
      <c r="E11012" t="inlineStr">
        <is>
          <t>UPPVIDINGE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33839-2025</t>
        </is>
      </c>
      <c r="B11013" s="1" t="n">
        <v>45842</v>
      </c>
      <c r="C11013" s="1" t="n">
        <v>45845</v>
      </c>
      <c r="D11013" t="inlineStr">
        <is>
          <t>KRONOBERGS LÄN</t>
        </is>
      </c>
      <c r="E11013" t="inlineStr">
        <is>
          <t>UPPVIDINGE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33732-2025</t>
        </is>
      </c>
      <c r="B11014" s="1" t="n">
        <v>45842</v>
      </c>
      <c r="C11014" s="1" t="n">
        <v>45845</v>
      </c>
      <c r="D11014" t="inlineStr">
        <is>
          <t>KRONOBERGS LÄN</t>
        </is>
      </c>
      <c r="E11014" t="inlineStr">
        <is>
          <t>ÄLMHULT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>
      <c r="A11015" t="inlineStr">
        <is>
          <t>A 33821-2025</t>
        </is>
      </c>
      <c r="B11015" s="1" t="n">
        <v>45842</v>
      </c>
      <c r="C11015" s="1" t="n">
        <v>45845</v>
      </c>
      <c r="D11015" t="inlineStr">
        <is>
          <t>KRONOBERGS LÄN</t>
        </is>
      </c>
      <c r="E11015" t="inlineStr">
        <is>
          <t>MARKARYD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2025-07-07T19:37:43Z</dcterms:created>
  <dcterms:modified xmlns:dcterms="http://purl.org/dc/terms/" xmlns:xsi="http://www.w3.org/2001/XMLSchema-instance" xsi:type="dcterms:W3CDTF">2025-07-07T19:37:52Z</dcterms:modified>
</cp:coreProperties>
</file>