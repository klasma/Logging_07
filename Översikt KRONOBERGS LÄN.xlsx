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45833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45833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45833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45833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45833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45833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45833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45833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45833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45833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45833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45833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45833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45833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45833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45833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45833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45833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45833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45833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45833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45833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45833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45833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45833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45833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45833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45833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45833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45833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45833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45833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45833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45833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45833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45833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45833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45833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45833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45833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45833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45833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45833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45833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45833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45833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45833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45833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45833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45833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45833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45833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45833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45833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45833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45833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45833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45833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45833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45833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45833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45833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45833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45833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45833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45833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45833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45833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45833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45833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45833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45833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45833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45833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45833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45833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45833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45833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45833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45833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45833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45833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45833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45833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45833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45833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45833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45833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45833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45833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45833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45833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45833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45833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45833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45833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45833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45833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45833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45833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45833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45833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45833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45833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45833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45833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45833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45833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45833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45833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45833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45833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45833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45833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45833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45833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45833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45833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45833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45833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45833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45833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45833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45833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45833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45833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45833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45833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45833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45833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45833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45833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45833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45833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45833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45833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45833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45833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45833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45833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45833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45833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45833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45833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45833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45833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45833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45833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45833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45833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45833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45833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45833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45833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45833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45833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45833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45833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45833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45833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45833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45833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45833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45833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45833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45833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45833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45833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45833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45833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45833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45833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45833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45833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45833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24090-2021</t>
        </is>
      </c>
      <c r="B190" s="1" t="n">
        <v>44336</v>
      </c>
      <c r="C190" s="1" t="n">
        <v>45833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HYPERLINK("https://klasma.github.io/Logging_0764/artfynd/A 24090-2021 artfynd.xlsx", "A 24090-2021")</f>
        <v/>
      </c>
      <c r="T190">
        <f>HYPERLINK("https://klasma.github.io/Logging_0764/kartor/A 24090-2021 karta.png", "A 24090-2021")</f>
        <v/>
      </c>
      <c r="V190">
        <f>HYPERLINK("https://klasma.github.io/Logging_0764/klagomål/A 24090-2021 FSC-klagomål.docx", "A 24090-2021")</f>
        <v/>
      </c>
      <c r="W190">
        <f>HYPERLINK("https://klasma.github.io/Logging_0764/klagomålsmail/A 24090-2021 FSC-klagomål mail.docx", "A 24090-2021")</f>
        <v/>
      </c>
      <c r="X190">
        <f>HYPERLINK("https://klasma.github.io/Logging_0764/tillsyn/A 24090-2021 tillsynsbegäran.docx", "A 24090-2021")</f>
        <v/>
      </c>
      <c r="Y190">
        <f>HYPERLINK("https://klasma.github.io/Logging_0764/tillsynsmail/A 24090-2021 tillsynsbegäran mail.docx", "A 24090-2021")</f>
        <v/>
      </c>
    </row>
    <row r="191" ht="15" customHeight="1">
      <c r="A191" t="inlineStr">
        <is>
          <t>A 26440-2021</t>
        </is>
      </c>
      <c r="B191" s="1" t="n">
        <v>44348</v>
      </c>
      <c r="C191" s="1" t="n">
        <v>45833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Mjukdån</t>
        </is>
      </c>
      <c r="S191">
        <f>HYPERLINK("https://klasma.github.io/Logging_0763/artfynd/A 26440-2021 artfynd.xlsx", "A 26440-2021")</f>
        <v/>
      </c>
      <c r="T191">
        <f>HYPERLINK("https://klasma.github.io/Logging_0763/kartor/A 26440-2021 karta.png", "A 26440-2021")</f>
        <v/>
      </c>
      <c r="V191">
        <f>HYPERLINK("https://klasma.github.io/Logging_0763/klagomål/A 26440-2021 FSC-klagomål.docx", "A 26440-2021")</f>
        <v/>
      </c>
      <c r="W191">
        <f>HYPERLINK("https://klasma.github.io/Logging_0763/klagomålsmail/A 26440-2021 FSC-klagomål mail.docx", "A 26440-2021")</f>
        <v/>
      </c>
      <c r="X191">
        <f>HYPERLINK("https://klasma.github.io/Logging_0763/tillsyn/A 26440-2021 tillsynsbegäran.docx", "A 26440-2021")</f>
        <v/>
      </c>
      <c r="Y191">
        <f>HYPERLINK("https://klasma.github.io/Logging_0763/tillsynsmail/A 26440-2021 tillsynsbegäran mail.docx", "A 26440-2021")</f>
        <v/>
      </c>
    </row>
    <row r="192" ht="15" customHeight="1">
      <c r="A192" t="inlineStr">
        <is>
          <t>A 29179-2021</t>
        </is>
      </c>
      <c r="B192" s="1" t="n">
        <v>44358</v>
      </c>
      <c r="C192" s="1" t="n">
        <v>45833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HYPERLINK("https://klasma.github.io/Logging_0780/artfynd/A 29179-2021 artfynd.xlsx", "A 29179-2021")</f>
        <v/>
      </c>
      <c r="T192">
        <f>HYPERLINK("https://klasma.github.io/Logging_0780/kartor/A 29179-2021 karta.png", "A 29179-2021")</f>
        <v/>
      </c>
      <c r="V192">
        <f>HYPERLINK("https://klasma.github.io/Logging_0780/klagomål/A 29179-2021 FSC-klagomål.docx", "A 29179-2021")</f>
        <v/>
      </c>
      <c r="W192">
        <f>HYPERLINK("https://klasma.github.io/Logging_0780/klagomålsmail/A 29179-2021 FSC-klagomål mail.docx", "A 29179-2021")</f>
        <v/>
      </c>
      <c r="X192">
        <f>HYPERLINK("https://klasma.github.io/Logging_0780/tillsyn/A 29179-2021 tillsynsbegäran.docx", "A 29179-2021")</f>
        <v/>
      </c>
      <c r="Y192">
        <f>HYPERLINK("https://klasma.github.io/Logging_0780/tillsynsmail/A 29179-2021 tillsynsbegäran mail.docx", "A 29179-2021")</f>
        <v/>
      </c>
      <c r="Z192">
        <f>HYPERLINK("https://klasma.github.io/Logging_0780/fåglar/A 29179-2021 prioriterade fågelarter.docx", "A 29179-2021")</f>
        <v/>
      </c>
    </row>
    <row r="193" ht="15" customHeight="1">
      <c r="A193" t="inlineStr">
        <is>
          <t>A 32873-2021</t>
        </is>
      </c>
      <c r="B193" s="1" t="n">
        <v>44375</v>
      </c>
      <c r="C193" s="1" t="n">
        <v>45833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32873-2021 artfynd.xlsx", "A 32873-2021")</f>
        <v/>
      </c>
      <c r="T193">
        <f>HYPERLINK("https://klasma.github.io/Logging_0760/kartor/A 32873-2021 karta.png", "A 32873-2021")</f>
        <v/>
      </c>
      <c r="V193">
        <f>HYPERLINK("https://klasma.github.io/Logging_0760/klagomål/A 32873-2021 FSC-klagomål.docx", "A 32873-2021")</f>
        <v/>
      </c>
      <c r="W193">
        <f>HYPERLINK("https://klasma.github.io/Logging_0760/klagomålsmail/A 32873-2021 FSC-klagomål mail.docx", "A 32873-2021")</f>
        <v/>
      </c>
      <c r="X193">
        <f>HYPERLINK("https://klasma.github.io/Logging_0760/tillsyn/A 32873-2021 tillsynsbegäran.docx", "A 32873-2021")</f>
        <v/>
      </c>
      <c r="Y193">
        <f>HYPERLINK("https://klasma.github.io/Logging_0760/tillsynsmail/A 32873-2021 tillsynsbegäran mail.docx", "A 32873-2021")</f>
        <v/>
      </c>
    </row>
    <row r="194" ht="15" customHeight="1">
      <c r="A194" t="inlineStr">
        <is>
          <t>A 35200-2021</t>
        </is>
      </c>
      <c r="B194" s="1" t="n">
        <v>44384</v>
      </c>
      <c r="C194" s="1" t="n">
        <v>45833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flatbagge</t>
        </is>
      </c>
      <c r="S194">
        <f>HYPERLINK("https://klasma.github.io/Logging_0760/artfynd/A 35200-2021 artfynd.xlsx", "A 35200-2021")</f>
        <v/>
      </c>
      <c r="T194">
        <f>HYPERLINK("https://klasma.github.io/Logging_0760/kartor/A 35200-2021 karta.png", "A 35200-2021")</f>
        <v/>
      </c>
      <c r="V194">
        <f>HYPERLINK("https://klasma.github.io/Logging_0760/klagomål/A 35200-2021 FSC-klagomål.docx", "A 35200-2021")</f>
        <v/>
      </c>
      <c r="W194">
        <f>HYPERLINK("https://klasma.github.io/Logging_0760/klagomålsmail/A 35200-2021 FSC-klagomål mail.docx", "A 35200-2021")</f>
        <v/>
      </c>
      <c r="X194">
        <f>HYPERLINK("https://klasma.github.io/Logging_0760/tillsyn/A 35200-2021 tillsynsbegäran.docx", "A 35200-2021")</f>
        <v/>
      </c>
      <c r="Y194">
        <f>HYPERLINK("https://klasma.github.io/Logging_0760/tillsynsmail/A 35200-2021 tillsynsbegäran mail.docx", "A 35200-2021")</f>
        <v/>
      </c>
    </row>
    <row r="195" ht="15" customHeight="1">
      <c r="A195" t="inlineStr">
        <is>
          <t>A 35815-2021</t>
        </is>
      </c>
      <c r="B195" s="1" t="n">
        <v>44386</v>
      </c>
      <c r="C195" s="1" t="n">
        <v>45833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HYPERLINK("https://klasma.github.io/Logging_0780/artfynd/A 35815-2021 artfynd.xlsx", "A 35815-2021")</f>
        <v/>
      </c>
      <c r="T195">
        <f>HYPERLINK("https://klasma.github.io/Logging_0780/kartor/A 35815-2021 karta.png", "A 35815-2021")</f>
        <v/>
      </c>
      <c r="V195">
        <f>HYPERLINK("https://klasma.github.io/Logging_0780/klagomål/A 35815-2021 FSC-klagomål.docx", "A 35815-2021")</f>
        <v/>
      </c>
      <c r="W195">
        <f>HYPERLINK("https://klasma.github.io/Logging_0780/klagomålsmail/A 35815-2021 FSC-klagomål mail.docx", "A 35815-2021")</f>
        <v/>
      </c>
      <c r="X195">
        <f>HYPERLINK("https://klasma.github.io/Logging_0780/tillsyn/A 35815-2021 tillsynsbegäran.docx", "A 35815-2021")</f>
        <v/>
      </c>
      <c r="Y195">
        <f>HYPERLINK("https://klasma.github.io/Logging_0780/tillsynsmail/A 35815-2021 tillsynsbegäran mail.docx", "A 35815-2021")</f>
        <v/>
      </c>
    </row>
    <row r="196" ht="15" customHeight="1">
      <c r="A196" t="inlineStr">
        <is>
          <t>A 37936-2021</t>
        </is>
      </c>
      <c r="B196" s="1" t="n">
        <v>44403</v>
      </c>
      <c r="C196" s="1" t="n">
        <v>45833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37936-2021 artfynd.xlsx", "A 37936-2021")</f>
        <v/>
      </c>
      <c r="T196">
        <f>HYPERLINK("https://klasma.github.io/Logging_0761/kartor/A 37936-2021 karta.png", "A 37936-2021")</f>
        <v/>
      </c>
      <c r="U196">
        <f>HYPERLINK("https://klasma.github.io/Logging_0761/knärot/A 37936-2021 karta knärot.png", "A 37936-2021")</f>
        <v/>
      </c>
      <c r="V196">
        <f>HYPERLINK("https://klasma.github.io/Logging_0761/klagomål/A 37936-2021 FSC-klagomål.docx", "A 37936-2021")</f>
        <v/>
      </c>
      <c r="W196">
        <f>HYPERLINK("https://klasma.github.io/Logging_0761/klagomålsmail/A 37936-2021 FSC-klagomål mail.docx", "A 37936-2021")</f>
        <v/>
      </c>
      <c r="X196">
        <f>HYPERLINK("https://klasma.github.io/Logging_0761/tillsyn/A 37936-2021 tillsynsbegäran.docx", "A 37936-2021")</f>
        <v/>
      </c>
      <c r="Y196">
        <f>HYPERLINK("https://klasma.github.io/Logging_0761/tillsynsmail/A 37936-2021 tillsynsbegäran mail.docx", "A 37936-2021")</f>
        <v/>
      </c>
    </row>
    <row r="197" ht="15" customHeight="1">
      <c r="A197" t="inlineStr">
        <is>
          <t>A 41419-2021</t>
        </is>
      </c>
      <c r="B197" s="1" t="n">
        <v>44424</v>
      </c>
      <c r="C197" s="1" t="n">
        <v>45833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Sommarfibbla</t>
        </is>
      </c>
      <c r="S197">
        <f>HYPERLINK("https://klasma.github.io/Logging_0765/artfynd/A 41419-2021 artfynd.xlsx", "A 41419-2021")</f>
        <v/>
      </c>
      <c r="T197">
        <f>HYPERLINK("https://klasma.github.io/Logging_0765/kartor/A 41419-2021 karta.png", "A 41419-2021")</f>
        <v/>
      </c>
      <c r="V197">
        <f>HYPERLINK("https://klasma.github.io/Logging_0765/klagomål/A 41419-2021 FSC-klagomål.docx", "A 41419-2021")</f>
        <v/>
      </c>
      <c r="W197">
        <f>HYPERLINK("https://klasma.github.io/Logging_0765/klagomålsmail/A 41419-2021 FSC-klagomål mail.docx", "A 41419-2021")</f>
        <v/>
      </c>
      <c r="X197">
        <f>HYPERLINK("https://klasma.github.io/Logging_0765/tillsyn/A 41419-2021 tillsynsbegäran.docx", "A 41419-2021")</f>
        <v/>
      </c>
      <c r="Y197">
        <f>HYPERLINK("https://klasma.github.io/Logging_0765/tillsynsmail/A 41419-2021 tillsynsbegäran mail.docx", "A 41419-2021")</f>
        <v/>
      </c>
    </row>
    <row r="198" ht="15" customHeight="1">
      <c r="A198" t="inlineStr">
        <is>
          <t>A 43912-2021</t>
        </is>
      </c>
      <c r="B198" s="1" t="n">
        <v>44434</v>
      </c>
      <c r="C198" s="1" t="n">
        <v>45833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HYPERLINK("https://klasma.github.io/Logging_0780/artfynd/A 43912-2021 artfynd.xlsx", "A 43912-2021")</f>
        <v/>
      </c>
      <c r="T198">
        <f>HYPERLINK("https://klasma.github.io/Logging_0780/kartor/A 43912-2021 karta.png", "A 43912-2021")</f>
        <v/>
      </c>
      <c r="V198">
        <f>HYPERLINK("https://klasma.github.io/Logging_0780/klagomål/A 43912-2021 FSC-klagomål.docx", "A 43912-2021")</f>
        <v/>
      </c>
      <c r="W198">
        <f>HYPERLINK("https://klasma.github.io/Logging_0780/klagomålsmail/A 43912-2021 FSC-klagomål mail.docx", "A 43912-2021")</f>
        <v/>
      </c>
      <c r="X198">
        <f>HYPERLINK("https://klasma.github.io/Logging_0780/tillsyn/A 43912-2021 tillsynsbegäran.docx", "A 43912-2021")</f>
        <v/>
      </c>
      <c r="Y198">
        <f>HYPERLINK("https://klasma.github.io/Logging_0780/tillsynsmail/A 43912-2021 tillsynsbegäran mail.docx", "A 43912-2021")</f>
        <v/>
      </c>
    </row>
    <row r="199" ht="15" customHeight="1">
      <c r="A199" t="inlineStr">
        <is>
          <t>A 47908-2021</t>
        </is>
      </c>
      <c r="B199" s="1" t="n">
        <v>44448</v>
      </c>
      <c r="C199" s="1" t="n">
        <v>45833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HYPERLINK("https://klasma.github.io/Logging_0781/artfynd/A 47908-2021 artfynd.xlsx", "A 47908-2021")</f>
        <v/>
      </c>
      <c r="T199">
        <f>HYPERLINK("https://klasma.github.io/Logging_0781/kartor/A 47908-2021 karta.png", "A 47908-2021")</f>
        <v/>
      </c>
      <c r="U199">
        <f>HYPERLINK("https://klasma.github.io/Logging_0781/knärot/A 47908-2021 karta knärot.png", "A 47908-2021")</f>
        <v/>
      </c>
      <c r="V199">
        <f>HYPERLINK("https://klasma.github.io/Logging_0781/klagomål/A 47908-2021 FSC-klagomål.docx", "A 47908-2021")</f>
        <v/>
      </c>
      <c r="W199">
        <f>HYPERLINK("https://klasma.github.io/Logging_0781/klagomålsmail/A 47908-2021 FSC-klagomål mail.docx", "A 47908-2021")</f>
        <v/>
      </c>
      <c r="X199">
        <f>HYPERLINK("https://klasma.github.io/Logging_0781/tillsyn/A 47908-2021 tillsynsbegäran.docx", "A 47908-2021")</f>
        <v/>
      </c>
      <c r="Y199">
        <f>HYPERLINK("https://klasma.github.io/Logging_0781/tillsynsmail/A 47908-2021 tillsynsbegäran mail.docx", "A 47908-2021")</f>
        <v/>
      </c>
    </row>
    <row r="200" ht="15" customHeight="1">
      <c r="A200" t="inlineStr">
        <is>
          <t>A 47909-2021</t>
        </is>
      </c>
      <c r="B200" s="1" t="n">
        <v>44448</v>
      </c>
      <c r="C200" s="1" t="n">
        <v>45833</v>
      </c>
      <c r="D200" t="inlineStr">
        <is>
          <t>KRONOBERGS LÄN</t>
        </is>
      </c>
      <c r="E200" t="inlineStr">
        <is>
          <t>LJUNGBY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Klippfrullania</t>
        </is>
      </c>
      <c r="S200">
        <f>HYPERLINK("https://klasma.github.io/Logging_0781/artfynd/A 47909-2021 artfynd.xlsx", "A 47909-2021")</f>
        <v/>
      </c>
      <c r="T200">
        <f>HYPERLINK("https://klasma.github.io/Logging_0781/kartor/A 47909-2021 karta.png", "A 47909-2021")</f>
        <v/>
      </c>
      <c r="V200">
        <f>HYPERLINK("https://klasma.github.io/Logging_0781/klagomål/A 47909-2021 FSC-klagomål.docx", "A 47909-2021")</f>
        <v/>
      </c>
      <c r="W200">
        <f>HYPERLINK("https://klasma.github.io/Logging_0781/klagomålsmail/A 47909-2021 FSC-klagomål mail.docx", "A 47909-2021")</f>
        <v/>
      </c>
      <c r="X200">
        <f>HYPERLINK("https://klasma.github.io/Logging_0781/tillsyn/A 47909-2021 tillsynsbegäran.docx", "A 47909-2021")</f>
        <v/>
      </c>
      <c r="Y200">
        <f>HYPERLINK("https://klasma.github.io/Logging_0781/tillsynsmail/A 47909-2021 tillsynsbegäran mail.docx", "A 47909-2021")</f>
        <v/>
      </c>
    </row>
    <row r="201" ht="15" customHeight="1">
      <c r="A201" t="inlineStr">
        <is>
          <t>A 50486-2021</t>
        </is>
      </c>
      <c r="B201" s="1" t="n">
        <v>44459</v>
      </c>
      <c r="C201" s="1" t="n">
        <v>45833</v>
      </c>
      <c r="D201" t="inlineStr">
        <is>
          <t>KRONOBERGS LÄN</t>
        </is>
      </c>
      <c r="E201" t="inlineStr">
        <is>
          <t>ALVESTA</t>
        </is>
      </c>
      <c r="G201" t="n">
        <v>9.1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HYPERLINK("https://klasma.github.io/Logging_0764/artfynd/A 50486-2021 artfynd.xlsx", "A 50486-2021")</f>
        <v/>
      </c>
      <c r="T201">
        <f>HYPERLINK("https://klasma.github.io/Logging_0764/kartor/A 50486-2021 karta.png", "A 50486-2021")</f>
        <v/>
      </c>
      <c r="V201">
        <f>HYPERLINK("https://klasma.github.io/Logging_0764/klagomål/A 50486-2021 FSC-klagomål.docx", "A 50486-2021")</f>
        <v/>
      </c>
      <c r="W201">
        <f>HYPERLINK("https://klasma.github.io/Logging_0764/klagomålsmail/A 50486-2021 FSC-klagomål mail.docx", "A 50486-2021")</f>
        <v/>
      </c>
      <c r="X201">
        <f>HYPERLINK("https://klasma.github.io/Logging_0764/tillsyn/A 50486-2021 tillsynsbegäran.docx", "A 50486-2021")</f>
        <v/>
      </c>
      <c r="Y201">
        <f>HYPERLINK("https://klasma.github.io/Logging_0764/tillsynsmail/A 50486-2021 tillsynsbegäran mail.docx", "A 50486-2021")</f>
        <v/>
      </c>
    </row>
    <row r="202" ht="15" customHeight="1">
      <c r="A202" t="inlineStr">
        <is>
          <t>A 51284-2021</t>
        </is>
      </c>
      <c r="B202" s="1" t="n">
        <v>44461</v>
      </c>
      <c r="C202" s="1" t="n">
        <v>45833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51284-2021 artfynd.xlsx", "A 51284-2021")</f>
        <v/>
      </c>
      <c r="T202">
        <f>HYPERLINK("https://klasma.github.io/Logging_0781/kartor/A 51284-2021 karta.png", "A 51284-2021")</f>
        <v/>
      </c>
      <c r="V202">
        <f>HYPERLINK("https://klasma.github.io/Logging_0781/klagomål/A 51284-2021 FSC-klagomål.docx", "A 51284-2021")</f>
        <v/>
      </c>
      <c r="W202">
        <f>HYPERLINK("https://klasma.github.io/Logging_0781/klagomålsmail/A 51284-2021 FSC-klagomål mail.docx", "A 51284-2021")</f>
        <v/>
      </c>
      <c r="X202">
        <f>HYPERLINK("https://klasma.github.io/Logging_0781/tillsyn/A 51284-2021 tillsynsbegäran.docx", "A 51284-2021")</f>
        <v/>
      </c>
      <c r="Y202">
        <f>HYPERLINK("https://klasma.github.io/Logging_0781/tillsynsmail/A 51284-2021 tillsynsbegäran mail.docx", "A 51284-2021")</f>
        <v/>
      </c>
      <c r="Z202">
        <f>HYPERLINK("https://klasma.github.io/Logging_0781/fåglar/A 51284-2021 prioriterade fågelarter.docx", "A 51284-2021")</f>
        <v/>
      </c>
    </row>
    <row r="203" ht="15" customHeight="1">
      <c r="A203" t="inlineStr">
        <is>
          <t>A 58629-2021</t>
        </is>
      </c>
      <c r="B203" s="1" t="n">
        <v>44489</v>
      </c>
      <c r="C203" s="1" t="n">
        <v>45833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Kavelhirs</t>
        </is>
      </c>
      <c r="S203">
        <f>HYPERLINK("https://klasma.github.io/Logging_0763/artfynd/A 58629-2021 artfynd.xlsx", "A 58629-2021")</f>
        <v/>
      </c>
      <c r="T203">
        <f>HYPERLINK("https://klasma.github.io/Logging_0763/kartor/A 58629-2021 karta.png", "A 58629-2021")</f>
        <v/>
      </c>
      <c r="V203">
        <f>HYPERLINK("https://klasma.github.io/Logging_0763/klagomål/A 58629-2021 FSC-klagomål.docx", "A 58629-2021")</f>
        <v/>
      </c>
      <c r="W203">
        <f>HYPERLINK("https://klasma.github.io/Logging_0763/klagomålsmail/A 58629-2021 FSC-klagomål mail.docx", "A 58629-2021")</f>
        <v/>
      </c>
      <c r="X203">
        <f>HYPERLINK("https://klasma.github.io/Logging_0763/tillsyn/A 58629-2021 tillsynsbegäran.docx", "A 58629-2021")</f>
        <v/>
      </c>
      <c r="Y203">
        <f>HYPERLINK("https://klasma.github.io/Logging_0763/tillsynsmail/A 58629-2021 tillsynsbegäran mail.docx", "A 58629-2021")</f>
        <v/>
      </c>
    </row>
    <row r="204" ht="15" customHeight="1">
      <c r="A204" t="inlineStr">
        <is>
          <t>A 60235-2021</t>
        </is>
      </c>
      <c r="B204" s="1" t="n">
        <v>44495</v>
      </c>
      <c r="C204" s="1" t="n">
        <v>45833</v>
      </c>
      <c r="D204" t="inlineStr">
        <is>
          <t>KRONOBERGS LÄN</t>
        </is>
      </c>
      <c r="E204" t="inlineStr">
        <is>
          <t>LJUNGBY</t>
        </is>
      </c>
      <c r="G204" t="n">
        <v>9.4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HYPERLINK("https://klasma.github.io/Logging_0781/artfynd/A 60235-2021 artfynd.xlsx", "A 60235-2021")</f>
        <v/>
      </c>
      <c r="T204">
        <f>HYPERLINK("https://klasma.github.io/Logging_0781/kartor/A 60235-2021 karta.png", "A 60235-2021")</f>
        <v/>
      </c>
      <c r="U204">
        <f>HYPERLINK("https://klasma.github.io/Logging_0781/knärot/A 60235-2021 karta knärot.png", "A 60235-2021")</f>
        <v/>
      </c>
      <c r="V204">
        <f>HYPERLINK("https://klasma.github.io/Logging_0781/klagomål/A 60235-2021 FSC-klagomål.docx", "A 60235-2021")</f>
        <v/>
      </c>
      <c r="W204">
        <f>HYPERLINK("https://klasma.github.io/Logging_0781/klagomålsmail/A 60235-2021 FSC-klagomål mail.docx", "A 60235-2021")</f>
        <v/>
      </c>
      <c r="X204">
        <f>HYPERLINK("https://klasma.github.io/Logging_0781/tillsyn/A 60235-2021 tillsynsbegäran.docx", "A 60235-2021")</f>
        <v/>
      </c>
      <c r="Y204">
        <f>HYPERLINK("https://klasma.github.io/Logging_0781/tillsynsmail/A 60235-2021 tillsynsbegäran mail.docx", "A 60235-2021")</f>
        <v/>
      </c>
    </row>
    <row r="205" ht="15" customHeight="1">
      <c r="A205" t="inlineStr">
        <is>
          <t>A 67665-2021</t>
        </is>
      </c>
      <c r="B205" s="1" t="n">
        <v>44524</v>
      </c>
      <c r="C205" s="1" t="n">
        <v>45833</v>
      </c>
      <c r="D205" t="inlineStr">
        <is>
          <t>KRONOBERGS LÄN</t>
        </is>
      </c>
      <c r="E205" t="inlineStr">
        <is>
          <t>LJUNGBY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Sjötåtel</t>
        </is>
      </c>
      <c r="S205">
        <f>HYPERLINK("https://klasma.github.io/Logging_0781/artfynd/A 67665-2021 artfynd.xlsx", "A 67665-2021")</f>
        <v/>
      </c>
      <c r="T205">
        <f>HYPERLINK("https://klasma.github.io/Logging_0781/kartor/A 67665-2021 karta.png", "A 67665-2021")</f>
        <v/>
      </c>
      <c r="V205">
        <f>HYPERLINK("https://klasma.github.io/Logging_0781/klagomål/A 67665-2021 FSC-klagomål.docx", "A 67665-2021")</f>
        <v/>
      </c>
      <c r="W205">
        <f>HYPERLINK("https://klasma.github.io/Logging_0781/klagomålsmail/A 67665-2021 FSC-klagomål mail.docx", "A 67665-2021")</f>
        <v/>
      </c>
      <c r="X205">
        <f>HYPERLINK("https://klasma.github.io/Logging_0781/tillsyn/A 67665-2021 tillsynsbegäran.docx", "A 67665-2021")</f>
        <v/>
      </c>
      <c r="Y205">
        <f>HYPERLINK("https://klasma.github.io/Logging_0781/tillsynsmail/A 67665-2021 tillsynsbegäran mail.docx", "A 67665-2021")</f>
        <v/>
      </c>
    </row>
    <row r="206" ht="15" customHeight="1">
      <c r="A206" t="inlineStr">
        <is>
          <t>A 73118-2021</t>
        </is>
      </c>
      <c r="B206" s="1" t="n">
        <v>44550</v>
      </c>
      <c r="C206" s="1" t="n">
        <v>45833</v>
      </c>
      <c r="D206" t="inlineStr">
        <is>
          <t>KRONOBERGS LÄN</t>
        </is>
      </c>
      <c r="E206" t="inlineStr">
        <is>
          <t>UPPVIDINGE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73118-2021 artfynd.xlsx", "A 73118-2021")</f>
        <v/>
      </c>
      <c r="T206">
        <f>HYPERLINK("https://klasma.github.io/Logging_0760/kartor/A 73118-2021 karta.png", "A 73118-2021")</f>
        <v/>
      </c>
      <c r="V206">
        <f>HYPERLINK("https://klasma.github.io/Logging_0760/klagomål/A 73118-2021 FSC-klagomål.docx", "A 73118-2021")</f>
        <v/>
      </c>
      <c r="W206">
        <f>HYPERLINK("https://klasma.github.io/Logging_0760/klagomålsmail/A 73118-2021 FSC-klagomål mail.docx", "A 73118-2021")</f>
        <v/>
      </c>
      <c r="X206">
        <f>HYPERLINK("https://klasma.github.io/Logging_0760/tillsyn/A 73118-2021 tillsynsbegäran.docx", "A 73118-2021")</f>
        <v/>
      </c>
      <c r="Y206">
        <f>HYPERLINK("https://klasma.github.io/Logging_0760/tillsynsmail/A 73118-2021 tillsynsbegäran mail.docx", "A 73118-2021")</f>
        <v/>
      </c>
    </row>
    <row r="207" ht="15" customHeight="1">
      <c r="A207" t="inlineStr">
        <is>
          <t>A 3220-2022</t>
        </is>
      </c>
      <c r="B207" s="1" t="n">
        <v>44582</v>
      </c>
      <c r="C207" s="1" t="n">
        <v>45833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3220-2022 artfynd.xlsx", "A 3220-2022")</f>
        <v/>
      </c>
      <c r="T207">
        <f>HYPERLINK("https://klasma.github.io/Logging_0781/kartor/A 3220-2022 karta.png", "A 3220-2022")</f>
        <v/>
      </c>
      <c r="V207">
        <f>HYPERLINK("https://klasma.github.io/Logging_0781/klagomål/A 3220-2022 FSC-klagomål.docx", "A 3220-2022")</f>
        <v/>
      </c>
      <c r="W207">
        <f>HYPERLINK("https://klasma.github.io/Logging_0781/klagomålsmail/A 3220-2022 FSC-klagomål mail.docx", "A 3220-2022")</f>
        <v/>
      </c>
      <c r="X207">
        <f>HYPERLINK("https://klasma.github.io/Logging_0781/tillsyn/A 3220-2022 tillsynsbegäran.docx", "A 3220-2022")</f>
        <v/>
      </c>
      <c r="Y207">
        <f>HYPERLINK("https://klasma.github.io/Logging_0781/tillsynsmail/A 3220-2022 tillsynsbegäran mail.docx", "A 3220-2022")</f>
        <v/>
      </c>
      <c r="Z207">
        <f>HYPERLINK("https://klasma.github.io/Logging_0781/fåglar/A 3220-2022 prioriterade fågelarter.docx", "A 3220-2022")</f>
        <v/>
      </c>
    </row>
    <row r="208" ht="15" customHeight="1">
      <c r="A208" t="inlineStr">
        <is>
          <t>A 6134-2022</t>
        </is>
      </c>
      <c r="B208" s="1" t="n">
        <v>44599</v>
      </c>
      <c r="C208" s="1" t="n">
        <v>45833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HYPERLINK("https://klasma.github.io/Logging_0763/artfynd/A 6134-2022 artfynd.xlsx", "A 6134-2022")</f>
        <v/>
      </c>
      <c r="T208">
        <f>HYPERLINK("https://klasma.github.io/Logging_0763/kartor/A 6134-2022 karta.png", "A 6134-2022")</f>
        <v/>
      </c>
      <c r="U208">
        <f>HYPERLINK("https://klasma.github.io/Logging_0763/knärot/A 6134-2022 karta knärot.png", "A 6134-2022")</f>
        <v/>
      </c>
      <c r="V208">
        <f>HYPERLINK("https://klasma.github.io/Logging_0763/klagomål/A 6134-2022 FSC-klagomål.docx", "A 6134-2022")</f>
        <v/>
      </c>
      <c r="W208">
        <f>HYPERLINK("https://klasma.github.io/Logging_0763/klagomålsmail/A 6134-2022 FSC-klagomål mail.docx", "A 6134-2022")</f>
        <v/>
      </c>
      <c r="X208">
        <f>HYPERLINK("https://klasma.github.io/Logging_0763/tillsyn/A 6134-2022 tillsynsbegäran.docx", "A 6134-2022")</f>
        <v/>
      </c>
      <c r="Y208">
        <f>HYPERLINK("https://klasma.github.io/Logging_0763/tillsynsmail/A 6134-2022 tillsynsbegäran mail.docx", "A 6134-2022")</f>
        <v/>
      </c>
    </row>
    <row r="209" ht="15" customHeight="1">
      <c r="A209" t="inlineStr">
        <is>
          <t>A 13387-2022</t>
        </is>
      </c>
      <c r="B209" s="1" t="n">
        <v>44645</v>
      </c>
      <c r="C209" s="1" t="n">
        <v>45833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13387-2022 artfynd.xlsx", "A 13387-2022")</f>
        <v/>
      </c>
      <c r="T209">
        <f>HYPERLINK("https://klasma.github.io/Logging_0781/kartor/A 13387-2022 karta.png", "A 13387-2022")</f>
        <v/>
      </c>
      <c r="V209">
        <f>HYPERLINK("https://klasma.github.io/Logging_0781/klagomål/A 13387-2022 FSC-klagomål.docx", "A 13387-2022")</f>
        <v/>
      </c>
      <c r="W209">
        <f>HYPERLINK("https://klasma.github.io/Logging_0781/klagomålsmail/A 13387-2022 FSC-klagomål mail.docx", "A 13387-2022")</f>
        <v/>
      </c>
      <c r="X209">
        <f>HYPERLINK("https://klasma.github.io/Logging_0781/tillsyn/A 13387-2022 tillsynsbegäran.docx", "A 13387-2022")</f>
        <v/>
      </c>
      <c r="Y209">
        <f>HYPERLINK("https://klasma.github.io/Logging_0781/tillsynsmail/A 13387-2022 tillsynsbegäran mail.docx", "A 13387-2022")</f>
        <v/>
      </c>
    </row>
    <row r="210" ht="15" customHeight="1">
      <c r="A210" t="inlineStr">
        <is>
          <t>A 15756-2022</t>
        </is>
      </c>
      <c r="B210" s="1" t="n">
        <v>44663</v>
      </c>
      <c r="C210" s="1" t="n">
        <v>45833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Slåtterfibbla</t>
        </is>
      </c>
      <c r="S210">
        <f>HYPERLINK("https://klasma.github.io/Logging_0765/artfynd/A 15756-2022 artfynd.xlsx", "A 15756-2022")</f>
        <v/>
      </c>
      <c r="T210">
        <f>HYPERLINK("https://klasma.github.io/Logging_0765/kartor/A 15756-2022 karta.png", "A 15756-2022")</f>
        <v/>
      </c>
      <c r="V210">
        <f>HYPERLINK("https://klasma.github.io/Logging_0765/klagomål/A 15756-2022 FSC-klagomål.docx", "A 15756-2022")</f>
        <v/>
      </c>
      <c r="W210">
        <f>HYPERLINK("https://klasma.github.io/Logging_0765/klagomålsmail/A 15756-2022 FSC-klagomål mail.docx", "A 15756-2022")</f>
        <v/>
      </c>
      <c r="X210">
        <f>HYPERLINK("https://klasma.github.io/Logging_0765/tillsyn/A 15756-2022 tillsynsbegäran.docx", "A 15756-2022")</f>
        <v/>
      </c>
      <c r="Y210">
        <f>HYPERLINK("https://klasma.github.io/Logging_0765/tillsynsmail/A 15756-2022 tillsynsbegäran mail.docx", "A 15756-2022")</f>
        <v/>
      </c>
    </row>
    <row r="211" ht="15" customHeight="1">
      <c r="A211" t="inlineStr">
        <is>
          <t>A 15676-2022</t>
        </is>
      </c>
      <c r="B211" s="1" t="n">
        <v>44663</v>
      </c>
      <c r="C211" s="1" t="n">
        <v>45833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15676-2022 artfynd.xlsx", "A 15676-2022")</f>
        <v/>
      </c>
      <c r="T211">
        <f>HYPERLINK("https://klasma.github.io/Logging_0760/kartor/A 15676-2022 karta.png", "A 15676-2022")</f>
        <v/>
      </c>
      <c r="U211">
        <f>HYPERLINK("https://klasma.github.io/Logging_0760/knärot/A 15676-2022 karta knärot.png", "A 15676-2022")</f>
        <v/>
      </c>
      <c r="V211">
        <f>HYPERLINK("https://klasma.github.io/Logging_0760/klagomål/A 15676-2022 FSC-klagomål.docx", "A 15676-2022")</f>
        <v/>
      </c>
      <c r="W211">
        <f>HYPERLINK("https://klasma.github.io/Logging_0760/klagomålsmail/A 15676-2022 FSC-klagomål mail.docx", "A 15676-2022")</f>
        <v/>
      </c>
      <c r="X211">
        <f>HYPERLINK("https://klasma.github.io/Logging_0760/tillsyn/A 15676-2022 tillsynsbegäran.docx", "A 15676-2022")</f>
        <v/>
      </c>
      <c r="Y211">
        <f>HYPERLINK("https://klasma.github.io/Logging_0760/tillsynsmail/A 15676-2022 tillsynsbegäran mail.docx", "A 15676-2022")</f>
        <v/>
      </c>
    </row>
    <row r="212" ht="15" customHeight="1">
      <c r="A212" t="inlineStr">
        <is>
          <t>A 16796-2022</t>
        </is>
      </c>
      <c r="B212" s="1" t="n">
        <v>44673</v>
      </c>
      <c r="C212" s="1" t="n">
        <v>45833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HYPERLINK("https://klasma.github.io/Logging_0780/artfynd/A 16796-2022 artfynd.xlsx", "A 16796-2022")</f>
        <v/>
      </c>
      <c r="T212">
        <f>HYPERLINK("https://klasma.github.io/Logging_0780/kartor/A 16796-2022 karta.png", "A 16796-2022")</f>
        <v/>
      </c>
      <c r="V212">
        <f>HYPERLINK("https://klasma.github.io/Logging_0780/klagomål/A 16796-2022 FSC-klagomål.docx", "A 16796-2022")</f>
        <v/>
      </c>
      <c r="W212">
        <f>HYPERLINK("https://klasma.github.io/Logging_0780/klagomålsmail/A 16796-2022 FSC-klagomål mail.docx", "A 16796-2022")</f>
        <v/>
      </c>
      <c r="X212">
        <f>HYPERLINK("https://klasma.github.io/Logging_0780/tillsyn/A 16796-2022 tillsynsbegäran.docx", "A 16796-2022")</f>
        <v/>
      </c>
      <c r="Y212">
        <f>HYPERLINK("https://klasma.github.io/Logging_0780/tillsynsmail/A 16796-2022 tillsynsbegäran mail.docx", "A 16796-2022")</f>
        <v/>
      </c>
    </row>
    <row r="213" ht="15" customHeight="1">
      <c r="A213" t="inlineStr">
        <is>
          <t>A 16882-2022</t>
        </is>
      </c>
      <c r="B213" s="1" t="n">
        <v>44676</v>
      </c>
      <c r="C213" s="1" t="n">
        <v>45833</v>
      </c>
      <c r="D213" t="inlineStr">
        <is>
          <t>KRONOBERGS LÄN</t>
        </is>
      </c>
      <c r="E213" t="inlineStr">
        <is>
          <t>UPPVIDINGE</t>
        </is>
      </c>
      <c r="G213" t="n">
        <v>13.5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HYPERLINK("https://klasma.github.io/Logging_0760/artfynd/A 16882-2022 artfynd.xlsx", "A 16882-2022")</f>
        <v/>
      </c>
      <c r="T213">
        <f>HYPERLINK("https://klasma.github.io/Logging_0760/kartor/A 16882-2022 karta.png", "A 16882-2022")</f>
        <v/>
      </c>
      <c r="V213">
        <f>HYPERLINK("https://klasma.github.io/Logging_0760/klagomål/A 16882-2022 FSC-klagomål.docx", "A 16882-2022")</f>
        <v/>
      </c>
      <c r="W213">
        <f>HYPERLINK("https://klasma.github.io/Logging_0760/klagomålsmail/A 16882-2022 FSC-klagomål mail.docx", "A 16882-2022")</f>
        <v/>
      </c>
      <c r="X213">
        <f>HYPERLINK("https://klasma.github.io/Logging_0760/tillsyn/A 16882-2022 tillsynsbegäran.docx", "A 16882-2022")</f>
        <v/>
      </c>
      <c r="Y213">
        <f>HYPERLINK("https://klasma.github.io/Logging_0760/tillsynsmail/A 16882-2022 tillsynsbegäran mail.docx", "A 16882-2022")</f>
        <v/>
      </c>
    </row>
    <row r="214" ht="15" customHeight="1">
      <c r="A214" t="inlineStr">
        <is>
          <t>A 17570-2022</t>
        </is>
      </c>
      <c r="B214" s="1" t="n">
        <v>44679</v>
      </c>
      <c r="C214" s="1" t="n">
        <v>45833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HYPERLINK("https://klasma.github.io/Logging_0781/artfynd/A 17570-2022 artfynd.xlsx", "A 17570-2022")</f>
        <v/>
      </c>
      <c r="T214">
        <f>HYPERLINK("https://klasma.github.io/Logging_0781/kartor/A 17570-2022 karta.png", "A 17570-2022")</f>
        <v/>
      </c>
      <c r="V214">
        <f>HYPERLINK("https://klasma.github.io/Logging_0781/klagomål/A 17570-2022 FSC-klagomål.docx", "A 17570-2022")</f>
        <v/>
      </c>
      <c r="W214">
        <f>HYPERLINK("https://klasma.github.io/Logging_0781/klagomålsmail/A 17570-2022 FSC-klagomål mail.docx", "A 17570-2022")</f>
        <v/>
      </c>
      <c r="X214">
        <f>HYPERLINK("https://klasma.github.io/Logging_0781/tillsyn/A 17570-2022 tillsynsbegäran.docx", "A 17570-2022")</f>
        <v/>
      </c>
      <c r="Y214">
        <f>HYPERLINK("https://klasma.github.io/Logging_0781/tillsynsmail/A 17570-2022 tillsynsbegäran mail.docx", "A 17570-2022")</f>
        <v/>
      </c>
    </row>
    <row r="215" ht="15" customHeight="1">
      <c r="A215" t="inlineStr">
        <is>
          <t>A 33935-2022</t>
        </is>
      </c>
      <c r="B215" s="1" t="n">
        <v>44790</v>
      </c>
      <c r="C215" s="1" t="n">
        <v>45833</v>
      </c>
      <c r="D215" t="inlineStr">
        <is>
          <t>KRONOBERGS LÄN</t>
        </is>
      </c>
      <c r="E215" t="inlineStr">
        <is>
          <t>LJUNGBY</t>
        </is>
      </c>
      <c r="G215" t="n">
        <v>10.5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Äkta lopplummer</t>
        </is>
      </c>
      <c r="S215">
        <f>HYPERLINK("https://klasma.github.io/Logging_0781/artfynd/A 33935-2022 artfynd.xlsx", "A 33935-2022")</f>
        <v/>
      </c>
      <c r="T215">
        <f>HYPERLINK("https://klasma.github.io/Logging_0781/kartor/A 33935-2022 karta.png", "A 33935-2022")</f>
        <v/>
      </c>
      <c r="V215">
        <f>HYPERLINK("https://klasma.github.io/Logging_0781/klagomål/A 33935-2022 FSC-klagomål.docx", "A 33935-2022")</f>
        <v/>
      </c>
      <c r="W215">
        <f>HYPERLINK("https://klasma.github.io/Logging_0781/klagomålsmail/A 33935-2022 FSC-klagomål mail.docx", "A 33935-2022")</f>
        <v/>
      </c>
      <c r="X215">
        <f>HYPERLINK("https://klasma.github.io/Logging_0781/tillsyn/A 33935-2022 tillsynsbegäran.docx", "A 33935-2022")</f>
        <v/>
      </c>
      <c r="Y215">
        <f>HYPERLINK("https://klasma.github.io/Logging_0781/tillsynsmail/A 33935-2022 tillsynsbegäran mail.docx", "A 33935-2022")</f>
        <v/>
      </c>
    </row>
    <row r="216" ht="15" customHeight="1">
      <c r="A216" t="inlineStr">
        <is>
          <t>A 37378-2022</t>
        </is>
      </c>
      <c r="B216" s="1" t="n">
        <v>44809</v>
      </c>
      <c r="C216" s="1" t="n">
        <v>45833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HYPERLINK("https://klasma.github.io/Logging_0781/artfynd/A 37378-2022 artfynd.xlsx", "A 37378-2022")</f>
        <v/>
      </c>
      <c r="T216">
        <f>HYPERLINK("https://klasma.github.io/Logging_0781/kartor/A 37378-2022 karta.png", "A 37378-2022")</f>
        <v/>
      </c>
      <c r="V216">
        <f>HYPERLINK("https://klasma.github.io/Logging_0781/klagomål/A 37378-2022 FSC-klagomål.docx", "A 37378-2022")</f>
        <v/>
      </c>
      <c r="W216">
        <f>HYPERLINK("https://klasma.github.io/Logging_0781/klagomålsmail/A 37378-2022 FSC-klagomål mail.docx", "A 37378-2022")</f>
        <v/>
      </c>
      <c r="X216">
        <f>HYPERLINK("https://klasma.github.io/Logging_0781/tillsyn/A 37378-2022 tillsynsbegäran.docx", "A 37378-2022")</f>
        <v/>
      </c>
      <c r="Y216">
        <f>HYPERLINK("https://klasma.github.io/Logging_0781/tillsynsmail/A 37378-2022 tillsynsbegäran mail.docx", "A 37378-2022")</f>
        <v/>
      </c>
      <c r="Z216">
        <f>HYPERLINK("https://klasma.github.io/Logging_0781/fåglar/A 37378-2022 prioriterade fågelarter.docx", "A 37378-2022")</f>
        <v/>
      </c>
    </row>
    <row r="217" ht="15" customHeight="1">
      <c r="A217" t="inlineStr">
        <is>
          <t>A 37608-2022</t>
        </is>
      </c>
      <c r="B217" s="1" t="n">
        <v>44810</v>
      </c>
      <c r="C217" s="1" t="n">
        <v>45833</v>
      </c>
      <c r="D217" t="inlineStr">
        <is>
          <t>KRONOBERGS LÄN</t>
        </is>
      </c>
      <c r="E217" t="inlineStr">
        <is>
          <t>ALVESTA</t>
        </is>
      </c>
      <c r="G217" t="n">
        <v>5.3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HYPERLINK("https://klasma.github.io/Logging_0764/artfynd/A 37608-2022 artfynd.xlsx", "A 37608-2022")</f>
        <v/>
      </c>
      <c r="T217">
        <f>HYPERLINK("https://klasma.github.io/Logging_0764/kartor/A 37608-2022 karta.png", "A 37608-2022")</f>
        <v/>
      </c>
      <c r="V217">
        <f>HYPERLINK("https://klasma.github.io/Logging_0764/klagomål/A 37608-2022 FSC-klagomål.docx", "A 37608-2022")</f>
        <v/>
      </c>
      <c r="W217">
        <f>HYPERLINK("https://klasma.github.io/Logging_0764/klagomålsmail/A 37608-2022 FSC-klagomål mail.docx", "A 37608-2022")</f>
        <v/>
      </c>
      <c r="X217">
        <f>HYPERLINK("https://klasma.github.io/Logging_0764/tillsyn/A 37608-2022 tillsynsbegäran.docx", "A 37608-2022")</f>
        <v/>
      </c>
      <c r="Y217">
        <f>HYPERLINK("https://klasma.github.io/Logging_0764/tillsynsmail/A 37608-2022 tillsynsbegäran mail.docx", "A 37608-2022")</f>
        <v/>
      </c>
    </row>
    <row r="218" ht="15" customHeight="1">
      <c r="A218" t="inlineStr">
        <is>
          <t>A 39508-2022</t>
        </is>
      </c>
      <c r="B218" s="1" t="n">
        <v>44818</v>
      </c>
      <c r="C218" s="1" t="n">
        <v>45833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45.6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Gråkråka</t>
        </is>
      </c>
      <c r="S218">
        <f>HYPERLINK("https://klasma.github.io/Logging_0767/artfynd/A 39508-2022 artfynd.xlsx", "A 39508-2022")</f>
        <v/>
      </c>
      <c r="T218">
        <f>HYPERLINK("https://klasma.github.io/Logging_0767/kartor/A 39508-2022 karta.png", "A 39508-2022")</f>
        <v/>
      </c>
      <c r="V218">
        <f>HYPERLINK("https://klasma.github.io/Logging_0767/klagomål/A 39508-2022 FSC-klagomål.docx", "A 39508-2022")</f>
        <v/>
      </c>
      <c r="W218">
        <f>HYPERLINK("https://klasma.github.io/Logging_0767/klagomålsmail/A 39508-2022 FSC-klagomål mail.docx", "A 39508-2022")</f>
        <v/>
      </c>
      <c r="X218">
        <f>HYPERLINK("https://klasma.github.io/Logging_0767/tillsyn/A 39508-2022 tillsynsbegäran.docx", "A 39508-2022")</f>
        <v/>
      </c>
      <c r="Y218">
        <f>HYPERLINK("https://klasma.github.io/Logging_0767/tillsynsmail/A 39508-2022 tillsynsbegäran mail.docx", "A 39508-2022")</f>
        <v/>
      </c>
    </row>
    <row r="219" ht="15" customHeight="1">
      <c r="A219" t="inlineStr">
        <is>
          <t>A 39766-2022</t>
        </is>
      </c>
      <c r="B219" s="1" t="n">
        <v>44819</v>
      </c>
      <c r="C219" s="1" t="n">
        <v>45833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39766-2022 artfynd.xlsx", "A 39766-2022")</f>
        <v/>
      </c>
      <c r="T219">
        <f>HYPERLINK("https://klasma.github.io/Logging_0764/kartor/A 39766-2022 karta.png", "A 39766-2022")</f>
        <v/>
      </c>
      <c r="V219">
        <f>HYPERLINK("https://klasma.github.io/Logging_0764/klagomål/A 39766-2022 FSC-klagomål.docx", "A 39766-2022")</f>
        <v/>
      </c>
      <c r="W219">
        <f>HYPERLINK("https://klasma.github.io/Logging_0764/klagomålsmail/A 39766-2022 FSC-klagomål mail.docx", "A 39766-2022")</f>
        <v/>
      </c>
      <c r="X219">
        <f>HYPERLINK("https://klasma.github.io/Logging_0764/tillsyn/A 39766-2022 tillsynsbegäran.docx", "A 39766-2022")</f>
        <v/>
      </c>
      <c r="Y219">
        <f>HYPERLINK("https://klasma.github.io/Logging_0764/tillsynsmail/A 39766-2022 tillsynsbegäran mail.docx", "A 39766-2022")</f>
        <v/>
      </c>
    </row>
    <row r="220" ht="15" customHeight="1">
      <c r="A220" t="inlineStr">
        <is>
          <t>A 40568-2022</t>
        </is>
      </c>
      <c r="B220" s="1" t="n">
        <v>44823</v>
      </c>
      <c r="C220" s="1" t="n">
        <v>45833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HYPERLINK("https://klasma.github.io/Logging_0764/artfynd/A 40568-2022 artfynd.xlsx", "A 40568-2022")</f>
        <v/>
      </c>
      <c r="T220">
        <f>HYPERLINK("https://klasma.github.io/Logging_0764/kartor/A 40568-2022 karta.png", "A 40568-2022")</f>
        <v/>
      </c>
      <c r="V220">
        <f>HYPERLINK("https://klasma.github.io/Logging_0764/klagomål/A 40568-2022 FSC-klagomål.docx", "A 40568-2022")</f>
        <v/>
      </c>
      <c r="W220">
        <f>HYPERLINK("https://klasma.github.io/Logging_0764/klagomålsmail/A 40568-2022 FSC-klagomål mail.docx", "A 40568-2022")</f>
        <v/>
      </c>
      <c r="X220">
        <f>HYPERLINK("https://klasma.github.io/Logging_0764/tillsyn/A 40568-2022 tillsynsbegäran.docx", "A 40568-2022")</f>
        <v/>
      </c>
      <c r="Y220">
        <f>HYPERLINK("https://klasma.github.io/Logging_0764/tillsynsmail/A 40568-2022 tillsynsbegäran mail.docx", "A 40568-2022")</f>
        <v/>
      </c>
      <c r="Z220">
        <f>HYPERLINK("https://klasma.github.io/Logging_0764/fåglar/A 40568-2022 prioriterade fågelarter.docx", "A 40568-2022")</f>
        <v/>
      </c>
    </row>
    <row r="221" ht="15" customHeight="1">
      <c r="A221" t="inlineStr">
        <is>
          <t>A 41124-2022</t>
        </is>
      </c>
      <c r="B221" s="1" t="n">
        <v>44825</v>
      </c>
      <c r="C221" s="1" t="n">
        <v>45833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HYPERLINK("https://klasma.github.io/Logging_0781/artfynd/A 41124-2022 artfynd.xlsx", "A 41124-2022")</f>
        <v/>
      </c>
      <c r="T221">
        <f>HYPERLINK("https://klasma.github.io/Logging_0781/kartor/A 41124-2022 karta.png", "A 41124-2022")</f>
        <v/>
      </c>
      <c r="V221">
        <f>HYPERLINK("https://klasma.github.io/Logging_0781/klagomål/A 41124-2022 FSC-klagomål.docx", "A 41124-2022")</f>
        <v/>
      </c>
      <c r="W221">
        <f>HYPERLINK("https://klasma.github.io/Logging_0781/klagomålsmail/A 41124-2022 FSC-klagomål mail.docx", "A 41124-2022")</f>
        <v/>
      </c>
      <c r="X221">
        <f>HYPERLINK("https://klasma.github.io/Logging_0781/tillsyn/A 41124-2022 tillsynsbegäran.docx", "A 41124-2022")</f>
        <v/>
      </c>
      <c r="Y221">
        <f>HYPERLINK("https://klasma.github.io/Logging_0781/tillsynsmail/A 41124-2022 tillsynsbegäran mail.docx", "A 41124-2022")</f>
        <v/>
      </c>
      <c r="Z221">
        <f>HYPERLINK("https://klasma.github.io/Logging_0781/fåglar/A 41124-2022 prioriterade fågelarter.docx", "A 41124-2022")</f>
        <v/>
      </c>
    </row>
    <row r="222" ht="15" customHeight="1">
      <c r="A222" t="inlineStr">
        <is>
          <t>A 41652-2022</t>
        </is>
      </c>
      <c r="B222" s="1" t="n">
        <v>44827</v>
      </c>
      <c r="C222" s="1" t="n">
        <v>45833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Sankt pers nycklar</t>
        </is>
      </c>
      <c r="S222">
        <f>HYPERLINK("https://klasma.github.io/Logging_0760/artfynd/A 41652-2022 artfynd.xlsx", "A 41652-2022")</f>
        <v/>
      </c>
      <c r="T222">
        <f>HYPERLINK("https://klasma.github.io/Logging_0760/kartor/A 41652-2022 karta.png", "A 41652-2022")</f>
        <v/>
      </c>
      <c r="V222">
        <f>HYPERLINK("https://klasma.github.io/Logging_0760/klagomål/A 41652-2022 FSC-klagomål.docx", "A 41652-2022")</f>
        <v/>
      </c>
      <c r="W222">
        <f>HYPERLINK("https://klasma.github.io/Logging_0760/klagomålsmail/A 41652-2022 FSC-klagomål mail.docx", "A 41652-2022")</f>
        <v/>
      </c>
      <c r="X222">
        <f>HYPERLINK("https://klasma.github.io/Logging_0760/tillsyn/A 41652-2022 tillsynsbegäran.docx", "A 41652-2022")</f>
        <v/>
      </c>
      <c r="Y222">
        <f>HYPERLINK("https://klasma.github.io/Logging_0760/tillsynsmail/A 41652-2022 tillsynsbegäran mail.docx", "A 41652-2022")</f>
        <v/>
      </c>
    </row>
    <row r="223" ht="15" customHeight="1">
      <c r="A223" t="inlineStr">
        <is>
          <t>A 43291-2022</t>
        </is>
      </c>
      <c r="B223" s="1" t="n">
        <v>44834</v>
      </c>
      <c r="C223" s="1" t="n">
        <v>45833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HYPERLINK("https://klasma.github.io/Logging_0763/artfynd/A 43291-2022 artfynd.xlsx", "A 43291-2022")</f>
        <v/>
      </c>
      <c r="T223">
        <f>HYPERLINK("https://klasma.github.io/Logging_0763/kartor/A 43291-2022 karta.png", "A 43291-2022")</f>
        <v/>
      </c>
      <c r="V223">
        <f>HYPERLINK("https://klasma.github.io/Logging_0763/klagomål/A 43291-2022 FSC-klagomål.docx", "A 43291-2022")</f>
        <v/>
      </c>
      <c r="W223">
        <f>HYPERLINK("https://klasma.github.io/Logging_0763/klagomålsmail/A 43291-2022 FSC-klagomål mail.docx", "A 43291-2022")</f>
        <v/>
      </c>
      <c r="X223">
        <f>HYPERLINK("https://klasma.github.io/Logging_0763/tillsyn/A 43291-2022 tillsynsbegäran.docx", "A 43291-2022")</f>
        <v/>
      </c>
      <c r="Y223">
        <f>HYPERLINK("https://klasma.github.io/Logging_0763/tillsynsmail/A 43291-2022 tillsynsbegäran mail.docx", "A 43291-2022")</f>
        <v/>
      </c>
    </row>
    <row r="224" ht="15" customHeight="1">
      <c r="A224" t="inlineStr">
        <is>
          <t>A 45975-2022</t>
        </is>
      </c>
      <c r="B224" s="1" t="n">
        <v>44846</v>
      </c>
      <c r="C224" s="1" t="n">
        <v>45833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HYPERLINK("https://klasma.github.io/Logging_0761/artfynd/A 45975-2022 artfynd.xlsx", "A 45975-2022")</f>
        <v/>
      </c>
      <c r="T224">
        <f>HYPERLINK("https://klasma.github.io/Logging_0761/kartor/A 45975-2022 karta.png", "A 45975-2022")</f>
        <v/>
      </c>
      <c r="U224">
        <f>HYPERLINK("https://klasma.github.io/Logging_0761/knärot/A 45975-2022 karta knärot.png", "A 45975-2022")</f>
        <v/>
      </c>
      <c r="V224">
        <f>HYPERLINK("https://klasma.github.io/Logging_0761/klagomål/A 45975-2022 FSC-klagomål.docx", "A 45975-2022")</f>
        <v/>
      </c>
      <c r="W224">
        <f>HYPERLINK("https://klasma.github.io/Logging_0761/klagomålsmail/A 45975-2022 FSC-klagomål mail.docx", "A 45975-2022")</f>
        <v/>
      </c>
      <c r="X224">
        <f>HYPERLINK("https://klasma.github.io/Logging_0761/tillsyn/A 45975-2022 tillsynsbegäran.docx", "A 45975-2022")</f>
        <v/>
      </c>
      <c r="Y224">
        <f>HYPERLINK("https://klasma.github.io/Logging_0761/tillsynsmail/A 45975-2022 tillsynsbegäran mail.docx", "A 45975-2022")</f>
        <v/>
      </c>
    </row>
    <row r="225" ht="15" customHeight="1">
      <c r="A225" t="inlineStr">
        <is>
          <t>A 49123-2022</t>
        </is>
      </c>
      <c r="B225" s="1" t="n">
        <v>44858</v>
      </c>
      <c r="C225" s="1" t="n">
        <v>45833</v>
      </c>
      <c r="D225" t="inlineStr">
        <is>
          <t>KRONOBERGS LÄN</t>
        </is>
      </c>
      <c r="E225" t="inlineStr">
        <is>
          <t>UPPVIDINGE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HYPERLINK("https://klasma.github.io/Logging_0760/artfynd/A 49123-2022 artfynd.xlsx", "A 49123-2022")</f>
        <v/>
      </c>
      <c r="T225">
        <f>HYPERLINK("https://klasma.github.io/Logging_0760/kartor/A 49123-2022 karta.png", "A 49123-2022")</f>
        <v/>
      </c>
      <c r="V225">
        <f>HYPERLINK("https://klasma.github.io/Logging_0760/klagomål/A 49123-2022 FSC-klagomål.docx", "A 49123-2022")</f>
        <v/>
      </c>
      <c r="W225">
        <f>HYPERLINK("https://klasma.github.io/Logging_0760/klagomålsmail/A 49123-2022 FSC-klagomål mail.docx", "A 49123-2022")</f>
        <v/>
      </c>
      <c r="X225">
        <f>HYPERLINK("https://klasma.github.io/Logging_0760/tillsyn/A 49123-2022 tillsynsbegäran.docx", "A 49123-2022")</f>
        <v/>
      </c>
      <c r="Y225">
        <f>HYPERLINK("https://klasma.github.io/Logging_0760/tillsynsmail/A 49123-2022 tillsynsbegäran mail.docx", "A 49123-2022")</f>
        <v/>
      </c>
    </row>
    <row r="226" ht="15" customHeight="1">
      <c r="A226" t="inlineStr">
        <is>
          <t>A 54470-2022</t>
        </is>
      </c>
      <c r="B226" s="1" t="n">
        <v>44882</v>
      </c>
      <c r="C226" s="1" t="n">
        <v>45833</v>
      </c>
      <c r="D226" t="inlineStr">
        <is>
          <t>KRONOBERGS LÄN</t>
        </is>
      </c>
      <c r="E226" t="inlineStr">
        <is>
          <t>ÄLMHULT</t>
        </is>
      </c>
      <c r="G226" t="n">
        <v>2.3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HYPERLINK("https://klasma.github.io/Logging_0765/artfynd/A 54470-2022 artfynd.xlsx", "A 54470-2022")</f>
        <v/>
      </c>
      <c r="T226">
        <f>HYPERLINK("https://klasma.github.io/Logging_0765/kartor/A 54470-2022 karta.png", "A 54470-2022")</f>
        <v/>
      </c>
      <c r="V226">
        <f>HYPERLINK("https://klasma.github.io/Logging_0765/klagomål/A 54470-2022 FSC-klagomål.docx", "A 54470-2022")</f>
        <v/>
      </c>
      <c r="W226">
        <f>HYPERLINK("https://klasma.github.io/Logging_0765/klagomålsmail/A 54470-2022 FSC-klagomål mail.docx", "A 54470-2022")</f>
        <v/>
      </c>
      <c r="X226">
        <f>HYPERLINK("https://klasma.github.io/Logging_0765/tillsyn/A 54470-2022 tillsynsbegäran.docx", "A 54470-2022")</f>
        <v/>
      </c>
      <c r="Y226">
        <f>HYPERLINK("https://klasma.github.io/Logging_0765/tillsynsmail/A 54470-2022 tillsynsbegäran mail.docx", "A 54470-2022")</f>
        <v/>
      </c>
    </row>
    <row r="227" ht="15" customHeight="1">
      <c r="A227" t="inlineStr">
        <is>
          <t>A 55924-2022</t>
        </is>
      </c>
      <c r="B227" s="1" t="n">
        <v>44886</v>
      </c>
      <c r="C227" s="1" t="n">
        <v>45833</v>
      </c>
      <c r="D227" t="inlineStr">
        <is>
          <t>KRONOBERGS LÄN</t>
        </is>
      </c>
      <c r="E227" t="inlineStr">
        <is>
          <t>TINGSRYD</t>
        </is>
      </c>
      <c r="F227" t="inlineStr">
        <is>
          <t>Kyrkan</t>
        </is>
      </c>
      <c r="G227" t="n">
        <v>1.1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HYPERLINK("https://klasma.github.io/Logging_0763/artfynd/A 55924-2022 artfynd.xlsx", "A 55924-2022")</f>
        <v/>
      </c>
      <c r="T227">
        <f>HYPERLINK("https://klasma.github.io/Logging_0763/kartor/A 55924-2022 karta.png", "A 55924-2022")</f>
        <v/>
      </c>
      <c r="V227">
        <f>HYPERLINK("https://klasma.github.io/Logging_0763/klagomål/A 55924-2022 FSC-klagomål.docx", "A 55924-2022")</f>
        <v/>
      </c>
      <c r="W227">
        <f>HYPERLINK("https://klasma.github.io/Logging_0763/klagomålsmail/A 55924-2022 FSC-klagomål mail.docx", "A 55924-2022")</f>
        <v/>
      </c>
      <c r="X227">
        <f>HYPERLINK("https://klasma.github.io/Logging_0763/tillsyn/A 55924-2022 tillsynsbegäran.docx", "A 55924-2022")</f>
        <v/>
      </c>
      <c r="Y227">
        <f>HYPERLINK("https://klasma.github.io/Logging_0763/tillsynsmail/A 55924-2022 tillsynsbegäran mail.docx", "A 55924-2022")</f>
        <v/>
      </c>
    </row>
    <row r="228" ht="15" customHeight="1">
      <c r="A228" t="inlineStr">
        <is>
          <t>A 57999-2022</t>
        </is>
      </c>
      <c r="B228" s="1" t="n">
        <v>44900</v>
      </c>
      <c r="C228" s="1" t="n">
        <v>45833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Svinrot</t>
        </is>
      </c>
      <c r="S228">
        <f>HYPERLINK("https://klasma.github.io/Logging_0760/artfynd/A 57999-2022 artfynd.xlsx", "A 57999-2022")</f>
        <v/>
      </c>
      <c r="T228">
        <f>HYPERLINK("https://klasma.github.io/Logging_0760/kartor/A 57999-2022 karta.png", "A 57999-2022")</f>
        <v/>
      </c>
      <c r="V228">
        <f>HYPERLINK("https://klasma.github.io/Logging_0760/klagomål/A 57999-2022 FSC-klagomål.docx", "A 57999-2022")</f>
        <v/>
      </c>
      <c r="W228">
        <f>HYPERLINK("https://klasma.github.io/Logging_0760/klagomålsmail/A 57999-2022 FSC-klagomål mail.docx", "A 57999-2022")</f>
        <v/>
      </c>
      <c r="X228">
        <f>HYPERLINK("https://klasma.github.io/Logging_0760/tillsyn/A 57999-2022 tillsynsbegäran.docx", "A 57999-2022")</f>
        <v/>
      </c>
      <c r="Y228">
        <f>HYPERLINK("https://klasma.github.io/Logging_0760/tillsynsmail/A 57999-2022 tillsynsbegäran mail.docx", "A 57999-2022")</f>
        <v/>
      </c>
    </row>
    <row r="229" ht="15" customHeight="1">
      <c r="A229" t="inlineStr">
        <is>
          <t>A 60820-2022</t>
        </is>
      </c>
      <c r="B229" s="1" t="n">
        <v>44914</v>
      </c>
      <c r="C229" s="1" t="n">
        <v>45833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HYPERLINK("https://klasma.github.io/Logging_0780/artfynd/A 60820-2022 artfynd.xlsx", "A 60820-2022")</f>
        <v/>
      </c>
      <c r="T229">
        <f>HYPERLINK("https://klasma.github.io/Logging_0780/kartor/A 60820-2022 karta.png", "A 60820-2022")</f>
        <v/>
      </c>
      <c r="V229">
        <f>HYPERLINK("https://klasma.github.io/Logging_0780/klagomål/A 60820-2022 FSC-klagomål.docx", "A 60820-2022")</f>
        <v/>
      </c>
      <c r="W229">
        <f>HYPERLINK("https://klasma.github.io/Logging_0780/klagomålsmail/A 60820-2022 FSC-klagomål mail.docx", "A 60820-2022")</f>
        <v/>
      </c>
      <c r="X229">
        <f>HYPERLINK("https://klasma.github.io/Logging_0780/tillsyn/A 60820-2022 tillsynsbegäran.docx", "A 60820-2022")</f>
        <v/>
      </c>
      <c r="Y229">
        <f>HYPERLINK("https://klasma.github.io/Logging_0780/tillsynsmail/A 60820-2022 tillsynsbegäran mail.docx", "A 60820-2022")</f>
        <v/>
      </c>
      <c r="Z229">
        <f>HYPERLINK("https://klasma.github.io/Logging_0780/fåglar/A 60820-2022 prioriterade fågelarter.docx", "A 60820-2022")</f>
        <v/>
      </c>
    </row>
    <row r="230" ht="15" customHeight="1">
      <c r="A230" t="inlineStr">
        <is>
          <t>A 205-2023</t>
        </is>
      </c>
      <c r="B230" s="1" t="n">
        <v>44928</v>
      </c>
      <c r="C230" s="1" t="n">
        <v>45833</v>
      </c>
      <c r="D230" t="inlineStr">
        <is>
          <t>KRONOBERGS LÄN</t>
        </is>
      </c>
      <c r="E230" t="inlineStr">
        <is>
          <t>LJUNGBY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HYPERLINK("https://klasma.github.io/Logging_0781/artfynd/A 205-2023 artfynd.xlsx", "A 205-2023")</f>
        <v/>
      </c>
      <c r="T230">
        <f>HYPERLINK("https://klasma.github.io/Logging_0781/kartor/A 205-2023 karta.png", "A 205-2023")</f>
        <v/>
      </c>
      <c r="V230">
        <f>HYPERLINK("https://klasma.github.io/Logging_0781/klagomål/A 205-2023 FSC-klagomål.docx", "A 205-2023")</f>
        <v/>
      </c>
      <c r="W230">
        <f>HYPERLINK("https://klasma.github.io/Logging_0781/klagomålsmail/A 205-2023 FSC-klagomål mail.docx", "A 205-2023")</f>
        <v/>
      </c>
      <c r="X230">
        <f>HYPERLINK("https://klasma.github.io/Logging_0781/tillsyn/A 205-2023 tillsynsbegäran.docx", "A 205-2023")</f>
        <v/>
      </c>
      <c r="Y230">
        <f>HYPERLINK("https://klasma.github.io/Logging_0781/tillsynsmail/A 205-2023 tillsynsbegäran mail.docx", "A 205-2023")</f>
        <v/>
      </c>
    </row>
    <row r="231" ht="15" customHeight="1">
      <c r="A231" t="inlineStr">
        <is>
          <t>A 3677-2023</t>
        </is>
      </c>
      <c r="B231" s="1" t="n">
        <v>44950</v>
      </c>
      <c r="C231" s="1" t="n">
        <v>45833</v>
      </c>
      <c r="D231" t="inlineStr">
        <is>
          <t>KRONOBERGS LÄN</t>
        </is>
      </c>
      <c r="E231" t="inlineStr">
        <is>
          <t>UPPVIDINGE</t>
        </is>
      </c>
      <c r="G231" t="n">
        <v>13.4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HYPERLINK("https://klasma.github.io/Logging_0760/artfynd/A 3677-2023 artfynd.xlsx", "A 3677-2023")</f>
        <v/>
      </c>
      <c r="T231">
        <f>HYPERLINK("https://klasma.github.io/Logging_0760/kartor/A 3677-2023 karta.png", "A 3677-2023")</f>
        <v/>
      </c>
      <c r="V231">
        <f>HYPERLINK("https://klasma.github.io/Logging_0760/klagomål/A 3677-2023 FSC-klagomål.docx", "A 3677-2023")</f>
        <v/>
      </c>
      <c r="W231">
        <f>HYPERLINK("https://klasma.github.io/Logging_0760/klagomålsmail/A 3677-2023 FSC-klagomål mail.docx", "A 3677-2023")</f>
        <v/>
      </c>
      <c r="X231">
        <f>HYPERLINK("https://klasma.github.io/Logging_0760/tillsyn/A 3677-2023 tillsynsbegäran.docx", "A 3677-2023")</f>
        <v/>
      </c>
      <c r="Y231">
        <f>HYPERLINK("https://klasma.github.io/Logging_0760/tillsynsmail/A 3677-2023 tillsynsbegäran mail.docx", "A 3677-2023")</f>
        <v/>
      </c>
    </row>
    <row r="232" ht="15" customHeight="1">
      <c r="A232" t="inlineStr">
        <is>
          <t>A 9825-2023</t>
        </is>
      </c>
      <c r="B232" s="1" t="n">
        <v>44984</v>
      </c>
      <c r="C232" s="1" t="n">
        <v>45833</v>
      </c>
      <c r="D232" t="inlineStr">
        <is>
          <t>KRONOBERGS LÄN</t>
        </is>
      </c>
      <c r="E232" t="inlineStr">
        <is>
          <t>TINGSRYD</t>
        </is>
      </c>
      <c r="G232" t="n">
        <v>3.5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Huggorm</t>
        </is>
      </c>
      <c r="S232">
        <f>HYPERLINK("https://klasma.github.io/Logging_0763/artfynd/A 9825-2023 artfynd.xlsx", "A 9825-2023")</f>
        <v/>
      </c>
      <c r="T232">
        <f>HYPERLINK("https://klasma.github.io/Logging_0763/kartor/A 9825-2023 karta.png", "A 9825-2023")</f>
        <v/>
      </c>
      <c r="V232">
        <f>HYPERLINK("https://klasma.github.io/Logging_0763/klagomål/A 9825-2023 FSC-klagomål.docx", "A 9825-2023")</f>
        <v/>
      </c>
      <c r="W232">
        <f>HYPERLINK("https://klasma.github.io/Logging_0763/klagomålsmail/A 9825-2023 FSC-klagomål mail.docx", "A 9825-2023")</f>
        <v/>
      </c>
      <c r="X232">
        <f>HYPERLINK("https://klasma.github.io/Logging_0763/tillsyn/A 9825-2023 tillsynsbegäran.docx", "A 9825-2023")</f>
        <v/>
      </c>
      <c r="Y232">
        <f>HYPERLINK("https://klasma.github.io/Logging_0763/tillsynsmail/A 9825-2023 tillsynsbegäran mail.docx", "A 9825-2023")</f>
        <v/>
      </c>
    </row>
    <row r="233" ht="15" customHeight="1">
      <c r="A233" t="inlineStr">
        <is>
          <t>A 9911-2023</t>
        </is>
      </c>
      <c r="B233" s="1" t="n">
        <v>44985</v>
      </c>
      <c r="C233" s="1" t="n">
        <v>45833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9911-2023 artfynd.xlsx", "A 9911-2023")</f>
        <v/>
      </c>
      <c r="T233">
        <f>HYPERLINK("https://klasma.github.io/Logging_0781/kartor/A 9911-2023 karta.png", "A 9911-2023")</f>
        <v/>
      </c>
      <c r="V233">
        <f>HYPERLINK("https://klasma.github.io/Logging_0781/klagomål/A 9911-2023 FSC-klagomål.docx", "A 9911-2023")</f>
        <v/>
      </c>
      <c r="W233">
        <f>HYPERLINK("https://klasma.github.io/Logging_0781/klagomålsmail/A 9911-2023 FSC-klagomål mail.docx", "A 9911-2023")</f>
        <v/>
      </c>
      <c r="X233">
        <f>HYPERLINK("https://klasma.github.io/Logging_0781/tillsyn/A 9911-2023 tillsynsbegäran.docx", "A 9911-2023")</f>
        <v/>
      </c>
      <c r="Y233">
        <f>HYPERLINK("https://klasma.github.io/Logging_0781/tillsynsmail/A 9911-2023 tillsynsbegäran mail.docx", "A 9911-2023")</f>
        <v/>
      </c>
    </row>
    <row r="234" ht="15" customHeight="1">
      <c r="A234" t="inlineStr">
        <is>
          <t>A 11270-2023</t>
        </is>
      </c>
      <c r="B234" s="1" t="n">
        <v>44992</v>
      </c>
      <c r="C234" s="1" t="n">
        <v>45833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Brunag</t>
        </is>
      </c>
      <c r="S234">
        <f>HYPERLINK("https://klasma.github.io/Logging_0763/artfynd/A 11270-2023 artfynd.xlsx", "A 11270-2023")</f>
        <v/>
      </c>
      <c r="T234">
        <f>HYPERLINK("https://klasma.github.io/Logging_0763/kartor/A 11270-2023 karta.png", "A 11270-2023")</f>
        <v/>
      </c>
      <c r="V234">
        <f>HYPERLINK("https://klasma.github.io/Logging_0763/klagomål/A 11270-2023 FSC-klagomål.docx", "A 11270-2023")</f>
        <v/>
      </c>
      <c r="W234">
        <f>HYPERLINK("https://klasma.github.io/Logging_0763/klagomålsmail/A 11270-2023 FSC-klagomål mail.docx", "A 11270-2023")</f>
        <v/>
      </c>
      <c r="X234">
        <f>HYPERLINK("https://klasma.github.io/Logging_0763/tillsyn/A 11270-2023 tillsynsbegäran.docx", "A 11270-2023")</f>
        <v/>
      </c>
      <c r="Y234">
        <f>HYPERLINK("https://klasma.github.io/Logging_0763/tillsynsmail/A 11270-2023 tillsynsbegäran mail.docx", "A 11270-2023")</f>
        <v/>
      </c>
    </row>
    <row r="235" ht="15" customHeight="1">
      <c r="A235" t="inlineStr">
        <is>
          <t>A 12084-2023</t>
        </is>
      </c>
      <c r="B235" s="1" t="n">
        <v>44997</v>
      </c>
      <c r="C235" s="1" t="n">
        <v>45833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HYPERLINK("https://klasma.github.io/Logging_0767/artfynd/A 12084-2023 artfynd.xlsx", "A 12084-2023")</f>
        <v/>
      </c>
      <c r="T235">
        <f>HYPERLINK("https://klasma.github.io/Logging_0767/kartor/A 12084-2023 karta.png", "A 12084-2023")</f>
        <v/>
      </c>
      <c r="V235">
        <f>HYPERLINK("https://klasma.github.io/Logging_0767/klagomål/A 12084-2023 FSC-klagomål.docx", "A 12084-2023")</f>
        <v/>
      </c>
      <c r="W235">
        <f>HYPERLINK("https://klasma.github.io/Logging_0767/klagomålsmail/A 12084-2023 FSC-klagomål mail.docx", "A 12084-2023")</f>
        <v/>
      </c>
      <c r="X235">
        <f>HYPERLINK("https://klasma.github.io/Logging_0767/tillsyn/A 12084-2023 tillsynsbegäran.docx", "A 12084-2023")</f>
        <v/>
      </c>
      <c r="Y235">
        <f>HYPERLINK("https://klasma.github.io/Logging_0767/tillsynsmail/A 12084-2023 tillsynsbegäran mail.docx", "A 12084-2023")</f>
        <v/>
      </c>
    </row>
    <row r="236" ht="15" customHeight="1">
      <c r="A236" t="inlineStr">
        <is>
          <t>A 12184-2023</t>
        </is>
      </c>
      <c r="B236" s="1" t="n">
        <v>44998</v>
      </c>
      <c r="C236" s="1" t="n">
        <v>45833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Fjällig taggsvamp s.str.</t>
        </is>
      </c>
      <c r="S236">
        <f>HYPERLINK("https://klasma.github.io/Logging_0760/artfynd/A 12184-2023 artfynd.xlsx", "A 12184-2023")</f>
        <v/>
      </c>
      <c r="T236">
        <f>HYPERLINK("https://klasma.github.io/Logging_0760/kartor/A 12184-2023 karta.png", "A 12184-2023")</f>
        <v/>
      </c>
      <c r="V236">
        <f>HYPERLINK("https://klasma.github.io/Logging_0760/klagomål/A 12184-2023 FSC-klagomål.docx", "A 12184-2023")</f>
        <v/>
      </c>
      <c r="W236">
        <f>HYPERLINK("https://klasma.github.io/Logging_0760/klagomålsmail/A 12184-2023 FSC-klagomål mail.docx", "A 12184-2023")</f>
        <v/>
      </c>
      <c r="X236">
        <f>HYPERLINK("https://klasma.github.io/Logging_0760/tillsyn/A 12184-2023 tillsynsbegäran.docx", "A 12184-2023")</f>
        <v/>
      </c>
      <c r="Y236">
        <f>HYPERLINK("https://klasma.github.io/Logging_0760/tillsynsmail/A 12184-2023 tillsynsbegäran mail.docx", "A 12184-2023")</f>
        <v/>
      </c>
    </row>
    <row r="237" ht="15" customHeight="1">
      <c r="A237" t="inlineStr">
        <is>
          <t>A 13460-2023</t>
        </is>
      </c>
      <c r="B237" s="1" t="n">
        <v>45005</v>
      </c>
      <c r="C237" s="1" t="n">
        <v>45833</v>
      </c>
      <c r="D237" t="inlineStr">
        <is>
          <t>KRONOBERGS LÄN</t>
        </is>
      </c>
      <c r="E237" t="inlineStr">
        <is>
          <t>LJUNGBY</t>
        </is>
      </c>
      <c r="G237" t="n">
        <v>5.1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HYPERLINK("https://klasma.github.io/Logging_0781/artfynd/A 13460-2023 artfynd.xlsx", "A 13460-2023")</f>
        <v/>
      </c>
      <c r="T237">
        <f>HYPERLINK("https://klasma.github.io/Logging_0781/kartor/A 13460-2023 karta.png", "A 13460-2023")</f>
        <v/>
      </c>
      <c r="V237">
        <f>HYPERLINK("https://klasma.github.io/Logging_0781/klagomål/A 13460-2023 FSC-klagomål.docx", "A 13460-2023")</f>
        <v/>
      </c>
      <c r="W237">
        <f>HYPERLINK("https://klasma.github.io/Logging_0781/klagomålsmail/A 13460-2023 FSC-klagomål mail.docx", "A 13460-2023")</f>
        <v/>
      </c>
      <c r="X237">
        <f>HYPERLINK("https://klasma.github.io/Logging_0781/tillsyn/A 13460-2023 tillsynsbegäran.docx", "A 13460-2023")</f>
        <v/>
      </c>
      <c r="Y237">
        <f>HYPERLINK("https://klasma.github.io/Logging_0781/tillsynsmail/A 13460-2023 tillsynsbegäran mail.docx", "A 13460-2023")</f>
        <v/>
      </c>
      <c r="Z237">
        <f>HYPERLINK("https://klasma.github.io/Logging_0781/fåglar/A 13460-2023 prioriterade fågelarter.docx", "A 13460-2023")</f>
        <v/>
      </c>
    </row>
    <row r="238" ht="15" customHeight="1">
      <c r="A238" t="inlineStr">
        <is>
          <t>A 18430-2023</t>
        </is>
      </c>
      <c r="B238" s="1" t="n">
        <v>45042</v>
      </c>
      <c r="C238" s="1" t="n">
        <v>45833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HYPERLINK("https://klasma.github.io/Logging_0781/artfynd/A 18430-2023 artfynd.xlsx", "A 18430-2023")</f>
        <v/>
      </c>
      <c r="T238">
        <f>HYPERLINK("https://klasma.github.io/Logging_0781/kartor/A 18430-2023 karta.png", "A 18430-2023")</f>
        <v/>
      </c>
      <c r="U238">
        <f>HYPERLINK("https://klasma.github.io/Logging_0781/knärot/A 18430-2023 karta knärot.png", "A 18430-2023")</f>
        <v/>
      </c>
      <c r="V238">
        <f>HYPERLINK("https://klasma.github.io/Logging_0781/klagomål/A 18430-2023 FSC-klagomål.docx", "A 18430-2023")</f>
        <v/>
      </c>
      <c r="W238">
        <f>HYPERLINK("https://klasma.github.io/Logging_0781/klagomålsmail/A 18430-2023 FSC-klagomål mail.docx", "A 18430-2023")</f>
        <v/>
      </c>
      <c r="X238">
        <f>HYPERLINK("https://klasma.github.io/Logging_0781/tillsyn/A 18430-2023 tillsynsbegäran.docx", "A 18430-2023")</f>
        <v/>
      </c>
      <c r="Y238">
        <f>HYPERLINK("https://klasma.github.io/Logging_0781/tillsynsmail/A 18430-2023 tillsynsbegäran mail.docx", "A 18430-2023")</f>
        <v/>
      </c>
    </row>
    <row r="239" ht="15" customHeight="1">
      <c r="A239" t="inlineStr">
        <is>
          <t>A 18676-2023</t>
        </is>
      </c>
      <c r="B239" s="1" t="n">
        <v>45043</v>
      </c>
      <c r="C239" s="1" t="n">
        <v>45833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HYPERLINK("https://klasma.github.io/Logging_0764/artfynd/A 18676-2023 artfynd.xlsx", "A 18676-2023")</f>
        <v/>
      </c>
      <c r="T239">
        <f>HYPERLINK("https://klasma.github.io/Logging_0764/kartor/A 18676-2023 karta.png", "A 18676-2023")</f>
        <v/>
      </c>
      <c r="V239">
        <f>HYPERLINK("https://klasma.github.io/Logging_0764/klagomål/A 18676-2023 FSC-klagomål.docx", "A 18676-2023")</f>
        <v/>
      </c>
      <c r="W239">
        <f>HYPERLINK("https://klasma.github.io/Logging_0764/klagomålsmail/A 18676-2023 FSC-klagomål mail.docx", "A 18676-2023")</f>
        <v/>
      </c>
      <c r="X239">
        <f>HYPERLINK("https://klasma.github.io/Logging_0764/tillsyn/A 18676-2023 tillsynsbegäran.docx", "A 18676-2023")</f>
        <v/>
      </c>
      <c r="Y239">
        <f>HYPERLINK("https://klasma.github.io/Logging_0764/tillsynsmail/A 18676-2023 tillsynsbegäran mail.docx", "A 18676-2023")</f>
        <v/>
      </c>
    </row>
    <row r="240" ht="15" customHeight="1">
      <c r="A240" t="inlineStr">
        <is>
          <t>A 25295-2023</t>
        </is>
      </c>
      <c r="B240" s="1" t="n">
        <v>45086</v>
      </c>
      <c r="C240" s="1" t="n">
        <v>45833</v>
      </c>
      <c r="D240" t="inlineStr">
        <is>
          <t>KRONOBERGS LÄN</t>
        </is>
      </c>
      <c r="E240" t="inlineStr">
        <is>
          <t>LJUNGBY</t>
        </is>
      </c>
      <c r="G240" t="n">
        <v>1.3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HYPERLINK("https://klasma.github.io/Logging_0781/artfynd/A 25295-2023 artfynd.xlsx", "A 25295-2023")</f>
        <v/>
      </c>
      <c r="T240">
        <f>HYPERLINK("https://klasma.github.io/Logging_0781/kartor/A 25295-2023 karta.png", "A 25295-2023")</f>
        <v/>
      </c>
      <c r="V240">
        <f>HYPERLINK("https://klasma.github.io/Logging_0781/klagomål/A 25295-2023 FSC-klagomål.docx", "A 25295-2023")</f>
        <v/>
      </c>
      <c r="W240">
        <f>HYPERLINK("https://klasma.github.io/Logging_0781/klagomålsmail/A 25295-2023 FSC-klagomål mail.docx", "A 25295-2023")</f>
        <v/>
      </c>
      <c r="X240">
        <f>HYPERLINK("https://klasma.github.io/Logging_0781/tillsyn/A 25295-2023 tillsynsbegäran.docx", "A 25295-2023")</f>
        <v/>
      </c>
      <c r="Y240">
        <f>HYPERLINK("https://klasma.github.io/Logging_0781/tillsynsmail/A 25295-2023 tillsynsbegäran mail.docx", "A 25295-2023")</f>
        <v/>
      </c>
    </row>
    <row r="241" ht="15" customHeight="1">
      <c r="A241" t="inlineStr">
        <is>
          <t>A 25422-2023</t>
        </is>
      </c>
      <c r="B241" s="1" t="n">
        <v>45089</v>
      </c>
      <c r="C241" s="1" t="n">
        <v>45833</v>
      </c>
      <c r="D241" t="inlineStr">
        <is>
          <t>KRONOBERGS LÄN</t>
        </is>
      </c>
      <c r="E241" t="inlineStr">
        <is>
          <t>ÄLMHULT</t>
        </is>
      </c>
      <c r="G241" t="n">
        <v>4.1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25422-2023 artfynd.xlsx", "A 25422-2023")</f>
        <v/>
      </c>
      <c r="T241">
        <f>HYPERLINK("https://klasma.github.io/Logging_0765/kartor/A 25422-2023 karta.png", "A 25422-2023")</f>
        <v/>
      </c>
      <c r="V241">
        <f>HYPERLINK("https://klasma.github.io/Logging_0765/klagomål/A 25422-2023 FSC-klagomål.docx", "A 25422-2023")</f>
        <v/>
      </c>
      <c r="W241">
        <f>HYPERLINK("https://klasma.github.io/Logging_0765/klagomålsmail/A 25422-2023 FSC-klagomål mail.docx", "A 25422-2023")</f>
        <v/>
      </c>
      <c r="X241">
        <f>HYPERLINK("https://klasma.github.io/Logging_0765/tillsyn/A 25422-2023 tillsynsbegäran.docx", "A 25422-2023")</f>
        <v/>
      </c>
      <c r="Y241">
        <f>HYPERLINK("https://klasma.github.io/Logging_0765/tillsynsmail/A 25422-2023 tillsynsbegäran mail.docx", "A 25422-2023")</f>
        <v/>
      </c>
    </row>
    <row r="242" ht="15" customHeight="1">
      <c r="A242" t="inlineStr">
        <is>
          <t>A 25595-2023</t>
        </is>
      </c>
      <c r="B242" s="1" t="n">
        <v>45089</v>
      </c>
      <c r="C242" s="1" t="n">
        <v>45833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Mosippa</t>
        </is>
      </c>
      <c r="S242">
        <f>HYPERLINK("https://klasma.github.io/Logging_0781/artfynd/A 25595-2023 artfynd.xlsx", "A 25595-2023")</f>
        <v/>
      </c>
      <c r="T242">
        <f>HYPERLINK("https://klasma.github.io/Logging_0781/kartor/A 25595-2023 karta.png", "A 25595-2023")</f>
        <v/>
      </c>
      <c r="V242">
        <f>HYPERLINK("https://klasma.github.io/Logging_0781/klagomål/A 25595-2023 FSC-klagomål.docx", "A 25595-2023")</f>
        <v/>
      </c>
      <c r="W242">
        <f>HYPERLINK("https://klasma.github.io/Logging_0781/klagomålsmail/A 25595-2023 FSC-klagomål mail.docx", "A 25595-2023")</f>
        <v/>
      </c>
      <c r="X242">
        <f>HYPERLINK("https://klasma.github.io/Logging_0781/tillsyn/A 25595-2023 tillsynsbegäran.docx", "A 25595-2023")</f>
        <v/>
      </c>
      <c r="Y242">
        <f>HYPERLINK("https://klasma.github.io/Logging_0781/tillsynsmail/A 25595-2023 tillsynsbegäran mail.docx", "A 25595-2023")</f>
        <v/>
      </c>
    </row>
    <row r="243" ht="15" customHeight="1">
      <c r="A243" t="inlineStr">
        <is>
          <t>A 31667-2023</t>
        </is>
      </c>
      <c r="B243" s="1" t="n">
        <v>45098</v>
      </c>
      <c r="C243" s="1" t="n">
        <v>45833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Hårklomossa</t>
        </is>
      </c>
      <c r="S243">
        <f>HYPERLINK("https://klasma.github.io/Logging_0780/artfynd/A 31667-2023 artfynd.xlsx", "A 31667-2023")</f>
        <v/>
      </c>
      <c r="T243">
        <f>HYPERLINK("https://klasma.github.io/Logging_0780/kartor/A 31667-2023 karta.png", "A 31667-2023")</f>
        <v/>
      </c>
      <c r="V243">
        <f>HYPERLINK("https://klasma.github.io/Logging_0780/klagomål/A 31667-2023 FSC-klagomål.docx", "A 31667-2023")</f>
        <v/>
      </c>
      <c r="W243">
        <f>HYPERLINK("https://klasma.github.io/Logging_0780/klagomålsmail/A 31667-2023 FSC-klagomål mail.docx", "A 31667-2023")</f>
        <v/>
      </c>
      <c r="X243">
        <f>HYPERLINK("https://klasma.github.io/Logging_0780/tillsyn/A 31667-2023 tillsynsbegäran.docx", "A 31667-2023")</f>
        <v/>
      </c>
      <c r="Y243">
        <f>HYPERLINK("https://klasma.github.io/Logging_0780/tillsynsmail/A 31667-2023 tillsynsbegäran mail.docx", "A 31667-2023")</f>
        <v/>
      </c>
    </row>
    <row r="244" ht="15" customHeight="1">
      <c r="A244" t="inlineStr">
        <is>
          <t>A 28572-2023</t>
        </is>
      </c>
      <c r="B244" s="1" t="n">
        <v>45103</v>
      </c>
      <c r="C244" s="1" t="n">
        <v>45833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HYPERLINK("https://klasma.github.io/Logging_0780/artfynd/A 28572-2023 artfynd.xlsx", "A 28572-2023")</f>
        <v/>
      </c>
      <c r="T244">
        <f>HYPERLINK("https://klasma.github.io/Logging_0780/kartor/A 28572-2023 karta.png", "A 28572-2023")</f>
        <v/>
      </c>
      <c r="V244">
        <f>HYPERLINK("https://klasma.github.io/Logging_0780/klagomål/A 28572-2023 FSC-klagomål.docx", "A 28572-2023")</f>
        <v/>
      </c>
      <c r="W244">
        <f>HYPERLINK("https://klasma.github.io/Logging_0780/klagomålsmail/A 28572-2023 FSC-klagomål mail.docx", "A 28572-2023")</f>
        <v/>
      </c>
      <c r="X244">
        <f>HYPERLINK("https://klasma.github.io/Logging_0780/tillsyn/A 28572-2023 tillsynsbegäran.docx", "A 28572-2023")</f>
        <v/>
      </c>
      <c r="Y244">
        <f>HYPERLINK("https://klasma.github.io/Logging_0780/tillsynsmail/A 28572-2023 tillsynsbegäran mail.docx", "A 28572-2023")</f>
        <v/>
      </c>
    </row>
    <row r="245" ht="15" customHeight="1">
      <c r="A245" t="inlineStr">
        <is>
          <t>A 31848-2023</t>
        </is>
      </c>
      <c r="B245" s="1" t="n">
        <v>45106</v>
      </c>
      <c r="C245" s="1" t="n">
        <v>45833</v>
      </c>
      <c r="D245" t="inlineStr">
        <is>
          <t>KRONOBERGS LÄN</t>
        </is>
      </c>
      <c r="E245" t="inlineStr">
        <is>
          <t>ALVESTA</t>
        </is>
      </c>
      <c r="G245" t="n">
        <v>3.3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Springkorn</t>
        </is>
      </c>
      <c r="S245">
        <f>HYPERLINK("https://klasma.github.io/Logging_0764/artfynd/A 31848-2023 artfynd.xlsx", "A 31848-2023")</f>
        <v/>
      </c>
      <c r="T245">
        <f>HYPERLINK("https://klasma.github.io/Logging_0764/kartor/A 31848-2023 karta.png", "A 31848-2023")</f>
        <v/>
      </c>
      <c r="V245">
        <f>HYPERLINK("https://klasma.github.io/Logging_0764/klagomål/A 31848-2023 FSC-klagomål.docx", "A 31848-2023")</f>
        <v/>
      </c>
      <c r="W245">
        <f>HYPERLINK("https://klasma.github.io/Logging_0764/klagomålsmail/A 31848-2023 FSC-klagomål mail.docx", "A 31848-2023")</f>
        <v/>
      </c>
      <c r="X245">
        <f>HYPERLINK("https://klasma.github.io/Logging_0764/tillsyn/A 31848-2023 tillsynsbegäran.docx", "A 31848-2023")</f>
        <v/>
      </c>
      <c r="Y245">
        <f>HYPERLINK("https://klasma.github.io/Logging_0764/tillsynsmail/A 31848-2023 tillsynsbegäran mail.docx", "A 31848-2023")</f>
        <v/>
      </c>
    </row>
    <row r="246" ht="15" customHeight="1">
      <c r="A246" t="inlineStr">
        <is>
          <t>A 30359-2023</t>
        </is>
      </c>
      <c r="B246" s="1" t="n">
        <v>45111</v>
      </c>
      <c r="C246" s="1" t="n">
        <v>45833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Brunpudrad nållav</t>
        </is>
      </c>
      <c r="S246">
        <f>HYPERLINK("https://klasma.github.io/Logging_0781/artfynd/A 30359-2023 artfynd.xlsx", "A 30359-2023")</f>
        <v/>
      </c>
      <c r="T246">
        <f>HYPERLINK("https://klasma.github.io/Logging_0781/kartor/A 30359-2023 karta.png", "A 30359-2023")</f>
        <v/>
      </c>
      <c r="V246">
        <f>HYPERLINK("https://klasma.github.io/Logging_0781/klagomål/A 30359-2023 FSC-klagomål.docx", "A 30359-2023")</f>
        <v/>
      </c>
      <c r="W246">
        <f>HYPERLINK("https://klasma.github.io/Logging_0781/klagomålsmail/A 30359-2023 FSC-klagomål mail.docx", "A 30359-2023")</f>
        <v/>
      </c>
      <c r="X246">
        <f>HYPERLINK("https://klasma.github.io/Logging_0781/tillsyn/A 30359-2023 tillsynsbegäran.docx", "A 30359-2023")</f>
        <v/>
      </c>
      <c r="Y246">
        <f>HYPERLINK("https://klasma.github.io/Logging_0781/tillsynsmail/A 30359-2023 tillsynsbegäran mail.docx", "A 30359-2023")</f>
        <v/>
      </c>
    </row>
    <row r="247" ht="15" customHeight="1">
      <c r="A247" t="inlineStr">
        <is>
          <t>A 37950-2023</t>
        </is>
      </c>
      <c r="B247" s="1" t="n">
        <v>45160</v>
      </c>
      <c r="C247" s="1" t="n">
        <v>45833</v>
      </c>
      <c r="D247" t="inlineStr">
        <is>
          <t>KRONOBERGS LÄN</t>
        </is>
      </c>
      <c r="E247" t="inlineStr">
        <is>
          <t>ALVESTA</t>
        </is>
      </c>
      <c r="G247" t="n">
        <v>4.8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HYPERLINK("https://klasma.github.io/Logging_0764/artfynd/A 37950-2023 artfynd.xlsx", "A 37950-2023")</f>
        <v/>
      </c>
      <c r="T247">
        <f>HYPERLINK("https://klasma.github.io/Logging_0764/kartor/A 37950-2023 karta.png", "A 37950-2023")</f>
        <v/>
      </c>
      <c r="V247">
        <f>HYPERLINK("https://klasma.github.io/Logging_0764/klagomål/A 37950-2023 FSC-klagomål.docx", "A 37950-2023")</f>
        <v/>
      </c>
      <c r="W247">
        <f>HYPERLINK("https://klasma.github.io/Logging_0764/klagomålsmail/A 37950-2023 FSC-klagomål mail.docx", "A 37950-2023")</f>
        <v/>
      </c>
      <c r="X247">
        <f>HYPERLINK("https://klasma.github.io/Logging_0764/tillsyn/A 37950-2023 tillsynsbegäran.docx", "A 37950-2023")</f>
        <v/>
      </c>
      <c r="Y247">
        <f>HYPERLINK("https://klasma.github.io/Logging_0764/tillsynsmail/A 37950-2023 tillsynsbegäran mail.docx", "A 37950-2023")</f>
        <v/>
      </c>
    </row>
    <row r="248" ht="15" customHeight="1">
      <c r="A248" t="inlineStr">
        <is>
          <t>A 39277-2023</t>
        </is>
      </c>
      <c r="B248" s="1" t="n">
        <v>45166</v>
      </c>
      <c r="C248" s="1" t="n">
        <v>45833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Västlig hakmossa</t>
        </is>
      </c>
      <c r="S248">
        <f>HYPERLINK("https://klasma.github.io/Logging_0764/artfynd/A 39277-2023 artfynd.xlsx", "A 39277-2023")</f>
        <v/>
      </c>
      <c r="T248">
        <f>HYPERLINK("https://klasma.github.io/Logging_0764/kartor/A 39277-2023 karta.png", "A 39277-2023")</f>
        <v/>
      </c>
      <c r="V248">
        <f>HYPERLINK("https://klasma.github.io/Logging_0764/klagomål/A 39277-2023 FSC-klagomål.docx", "A 39277-2023")</f>
        <v/>
      </c>
      <c r="W248">
        <f>HYPERLINK("https://klasma.github.io/Logging_0764/klagomålsmail/A 39277-2023 FSC-klagomål mail.docx", "A 39277-2023")</f>
        <v/>
      </c>
      <c r="X248">
        <f>HYPERLINK("https://klasma.github.io/Logging_0764/tillsyn/A 39277-2023 tillsynsbegäran.docx", "A 39277-2023")</f>
        <v/>
      </c>
      <c r="Y248">
        <f>HYPERLINK("https://klasma.github.io/Logging_0764/tillsynsmail/A 39277-2023 tillsynsbegäran mail.docx", "A 39277-2023")</f>
        <v/>
      </c>
    </row>
    <row r="249" ht="15" customHeight="1">
      <c r="A249" t="inlineStr">
        <is>
          <t>A 40825-2023</t>
        </is>
      </c>
      <c r="B249" s="1" t="n">
        <v>45171</v>
      </c>
      <c r="C249" s="1" t="n">
        <v>45833</v>
      </c>
      <c r="D249" t="inlineStr">
        <is>
          <t>KRONOBERGS LÄN</t>
        </is>
      </c>
      <c r="E249" t="inlineStr">
        <is>
          <t>ÄLMHULT</t>
        </is>
      </c>
      <c r="G249" t="n">
        <v>5.8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HYPERLINK("https://klasma.github.io/Logging_0765/artfynd/A 40825-2023 artfynd.xlsx", "A 40825-2023")</f>
        <v/>
      </c>
      <c r="T249">
        <f>HYPERLINK("https://klasma.github.io/Logging_0765/kartor/A 40825-2023 karta.png", "A 40825-2023")</f>
        <v/>
      </c>
      <c r="V249">
        <f>HYPERLINK("https://klasma.github.io/Logging_0765/klagomål/A 40825-2023 FSC-klagomål.docx", "A 40825-2023")</f>
        <v/>
      </c>
      <c r="W249">
        <f>HYPERLINK("https://klasma.github.io/Logging_0765/klagomålsmail/A 40825-2023 FSC-klagomål mail.docx", "A 40825-2023")</f>
        <v/>
      </c>
      <c r="X249">
        <f>HYPERLINK("https://klasma.github.io/Logging_0765/tillsyn/A 40825-2023 tillsynsbegäran.docx", "A 40825-2023")</f>
        <v/>
      </c>
      <c r="Y249">
        <f>HYPERLINK("https://klasma.github.io/Logging_0765/tillsynsmail/A 40825-2023 tillsynsbegäran mail.docx", "A 40825-2023")</f>
        <v/>
      </c>
    </row>
    <row r="250" ht="15" customHeight="1">
      <c r="A250" t="inlineStr">
        <is>
          <t>A 42783-2023</t>
        </is>
      </c>
      <c r="B250" s="1" t="n">
        <v>45181</v>
      </c>
      <c r="C250" s="1" t="n">
        <v>45833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Hårklomossa</t>
        </is>
      </c>
      <c r="S250">
        <f>HYPERLINK("https://klasma.github.io/Logging_0781/artfynd/A 42783-2023 artfynd.xlsx", "A 42783-2023")</f>
        <v/>
      </c>
      <c r="T250">
        <f>HYPERLINK("https://klasma.github.io/Logging_0781/kartor/A 42783-2023 karta.png", "A 42783-2023")</f>
        <v/>
      </c>
      <c r="V250">
        <f>HYPERLINK("https://klasma.github.io/Logging_0781/klagomål/A 42783-2023 FSC-klagomål.docx", "A 42783-2023")</f>
        <v/>
      </c>
      <c r="W250">
        <f>HYPERLINK("https://klasma.github.io/Logging_0781/klagomålsmail/A 42783-2023 FSC-klagomål mail.docx", "A 42783-2023")</f>
        <v/>
      </c>
      <c r="X250">
        <f>HYPERLINK("https://klasma.github.io/Logging_0781/tillsyn/A 42783-2023 tillsynsbegäran.docx", "A 42783-2023")</f>
        <v/>
      </c>
      <c r="Y250">
        <f>HYPERLINK("https://klasma.github.io/Logging_0781/tillsynsmail/A 42783-2023 tillsynsbegäran mail.docx", "A 42783-2023")</f>
        <v/>
      </c>
    </row>
    <row r="251" ht="15" customHeight="1">
      <c r="A251" t="inlineStr">
        <is>
          <t>A 42987-2023</t>
        </is>
      </c>
      <c r="B251" s="1" t="n">
        <v>45182</v>
      </c>
      <c r="C251" s="1" t="n">
        <v>45833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Skarp dropptaggsvamp</t>
        </is>
      </c>
      <c r="S251">
        <f>HYPERLINK("https://klasma.github.io/Logging_0760/artfynd/A 42987-2023 artfynd.xlsx", "A 42987-2023")</f>
        <v/>
      </c>
      <c r="T251">
        <f>HYPERLINK("https://klasma.github.io/Logging_0760/kartor/A 42987-2023 karta.png", "A 42987-2023")</f>
        <v/>
      </c>
      <c r="V251">
        <f>HYPERLINK("https://klasma.github.io/Logging_0760/klagomål/A 42987-2023 FSC-klagomål.docx", "A 42987-2023")</f>
        <v/>
      </c>
      <c r="W251">
        <f>HYPERLINK("https://klasma.github.io/Logging_0760/klagomålsmail/A 42987-2023 FSC-klagomål mail.docx", "A 42987-2023")</f>
        <v/>
      </c>
      <c r="X251">
        <f>HYPERLINK("https://klasma.github.io/Logging_0760/tillsyn/A 42987-2023 tillsynsbegäran.docx", "A 42987-2023")</f>
        <v/>
      </c>
      <c r="Y251">
        <f>HYPERLINK("https://klasma.github.io/Logging_0760/tillsynsmail/A 42987-2023 tillsynsbegäran mail.docx", "A 42987-2023")</f>
        <v/>
      </c>
    </row>
    <row r="252" ht="15" customHeight="1">
      <c r="A252" t="inlineStr">
        <is>
          <t>A 43004-2023</t>
        </is>
      </c>
      <c r="B252" s="1" t="n">
        <v>45182</v>
      </c>
      <c r="C252" s="1" t="n">
        <v>45833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Hasselmus</t>
        </is>
      </c>
      <c r="S252">
        <f>HYPERLINK("https://klasma.github.io/Logging_0763/artfynd/A 43004-2023 artfynd.xlsx", "A 43004-2023")</f>
        <v/>
      </c>
      <c r="T252">
        <f>HYPERLINK("https://klasma.github.io/Logging_0763/kartor/A 43004-2023 karta.png", "A 43004-2023")</f>
        <v/>
      </c>
      <c r="V252">
        <f>HYPERLINK("https://klasma.github.io/Logging_0763/klagomål/A 43004-2023 FSC-klagomål.docx", "A 43004-2023")</f>
        <v/>
      </c>
      <c r="W252">
        <f>HYPERLINK("https://klasma.github.io/Logging_0763/klagomålsmail/A 43004-2023 FSC-klagomål mail.docx", "A 43004-2023")</f>
        <v/>
      </c>
      <c r="X252">
        <f>HYPERLINK("https://klasma.github.io/Logging_0763/tillsyn/A 43004-2023 tillsynsbegäran.docx", "A 43004-2023")</f>
        <v/>
      </c>
      <c r="Y252">
        <f>HYPERLINK("https://klasma.github.io/Logging_0763/tillsynsmail/A 43004-2023 tillsynsbegäran mail.docx", "A 43004-2023")</f>
        <v/>
      </c>
    </row>
    <row r="253" ht="15" customHeight="1">
      <c r="A253" t="inlineStr">
        <is>
          <t>A 43196-2023</t>
        </is>
      </c>
      <c r="B253" s="1" t="n">
        <v>45183</v>
      </c>
      <c r="C253" s="1" t="n">
        <v>45833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Vedtrappmossa</t>
        </is>
      </c>
      <c r="S253">
        <f>HYPERLINK("https://klasma.github.io/Logging_0765/artfynd/A 43196-2023 artfynd.xlsx", "A 43196-2023")</f>
        <v/>
      </c>
      <c r="T253">
        <f>HYPERLINK("https://klasma.github.io/Logging_0765/kartor/A 43196-2023 karta.png", "A 43196-2023")</f>
        <v/>
      </c>
      <c r="V253">
        <f>HYPERLINK("https://klasma.github.io/Logging_0765/klagomål/A 43196-2023 FSC-klagomål.docx", "A 43196-2023")</f>
        <v/>
      </c>
      <c r="W253">
        <f>HYPERLINK("https://klasma.github.io/Logging_0765/klagomålsmail/A 43196-2023 FSC-klagomål mail.docx", "A 43196-2023")</f>
        <v/>
      </c>
      <c r="X253">
        <f>HYPERLINK("https://klasma.github.io/Logging_0765/tillsyn/A 43196-2023 tillsynsbegäran.docx", "A 43196-2023")</f>
        <v/>
      </c>
      <c r="Y253">
        <f>HYPERLINK("https://klasma.github.io/Logging_0765/tillsynsmail/A 43196-2023 tillsynsbegäran mail.docx", "A 43196-2023")</f>
        <v/>
      </c>
    </row>
    <row r="254" ht="15" customHeight="1">
      <c r="A254" t="inlineStr">
        <is>
          <t>A 43831-2023</t>
        </is>
      </c>
      <c r="B254" s="1" t="n">
        <v>45187</v>
      </c>
      <c r="C254" s="1" t="n">
        <v>45833</v>
      </c>
      <c r="D254" t="inlineStr">
        <is>
          <t>KRONOBERGS LÄN</t>
        </is>
      </c>
      <c r="E254" t="inlineStr">
        <is>
          <t>LJUNGBY</t>
        </is>
      </c>
      <c r="G254" t="n">
        <v>1.3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Cypresslummer</t>
        </is>
      </c>
      <c r="S254">
        <f>HYPERLINK("https://klasma.github.io/Logging_0781/artfynd/A 43831-2023 artfynd.xlsx", "A 43831-2023")</f>
        <v/>
      </c>
      <c r="T254">
        <f>HYPERLINK("https://klasma.github.io/Logging_0781/kartor/A 43831-2023 karta.png", "A 43831-2023")</f>
        <v/>
      </c>
      <c r="V254">
        <f>HYPERLINK("https://klasma.github.io/Logging_0781/klagomål/A 43831-2023 FSC-klagomål.docx", "A 43831-2023")</f>
        <v/>
      </c>
      <c r="W254">
        <f>HYPERLINK("https://klasma.github.io/Logging_0781/klagomålsmail/A 43831-2023 FSC-klagomål mail.docx", "A 43831-2023")</f>
        <v/>
      </c>
      <c r="X254">
        <f>HYPERLINK("https://klasma.github.io/Logging_0781/tillsyn/A 43831-2023 tillsynsbegäran.docx", "A 43831-2023")</f>
        <v/>
      </c>
      <c r="Y254">
        <f>HYPERLINK("https://klasma.github.io/Logging_0781/tillsynsmail/A 43831-2023 tillsynsbegäran mail.docx", "A 43831-2023")</f>
        <v/>
      </c>
    </row>
    <row r="255" ht="15" customHeight="1">
      <c r="A255" t="inlineStr">
        <is>
          <t>A 43766-2023</t>
        </is>
      </c>
      <c r="B255" s="1" t="n">
        <v>45187</v>
      </c>
      <c r="C255" s="1" t="n">
        <v>45833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Åkerkål</t>
        </is>
      </c>
      <c r="S255">
        <f>HYPERLINK("https://klasma.github.io/Logging_0764/artfynd/A 43766-2023 artfynd.xlsx", "A 43766-2023")</f>
        <v/>
      </c>
      <c r="T255">
        <f>HYPERLINK("https://klasma.github.io/Logging_0764/kartor/A 43766-2023 karta.png", "A 43766-2023")</f>
        <v/>
      </c>
      <c r="V255">
        <f>HYPERLINK("https://klasma.github.io/Logging_0764/klagomål/A 43766-2023 FSC-klagomål.docx", "A 43766-2023")</f>
        <v/>
      </c>
      <c r="W255">
        <f>HYPERLINK("https://klasma.github.io/Logging_0764/klagomålsmail/A 43766-2023 FSC-klagomål mail.docx", "A 43766-2023")</f>
        <v/>
      </c>
      <c r="X255">
        <f>HYPERLINK("https://klasma.github.io/Logging_0764/tillsyn/A 43766-2023 tillsynsbegäran.docx", "A 43766-2023")</f>
        <v/>
      </c>
      <c r="Y255">
        <f>HYPERLINK("https://klasma.github.io/Logging_0764/tillsynsmail/A 43766-2023 tillsynsbegäran mail.docx", "A 43766-2023")</f>
        <v/>
      </c>
    </row>
    <row r="256" ht="15" customHeight="1">
      <c r="A256" t="inlineStr">
        <is>
          <t>A 44227-2023</t>
        </is>
      </c>
      <c r="B256" s="1" t="n">
        <v>45188</v>
      </c>
      <c r="C256" s="1" t="n">
        <v>45833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Brunpudrad nållav</t>
        </is>
      </c>
      <c r="S256">
        <f>HYPERLINK("https://klasma.github.io/Logging_0764/artfynd/A 44227-2023 artfynd.xlsx", "A 44227-2023")</f>
        <v/>
      </c>
      <c r="T256">
        <f>HYPERLINK("https://klasma.github.io/Logging_0764/kartor/A 44227-2023 karta.png", "A 44227-2023")</f>
        <v/>
      </c>
      <c r="V256">
        <f>HYPERLINK("https://klasma.github.io/Logging_0764/klagomål/A 44227-2023 FSC-klagomål.docx", "A 44227-2023")</f>
        <v/>
      </c>
      <c r="W256">
        <f>HYPERLINK("https://klasma.github.io/Logging_0764/klagomålsmail/A 44227-2023 FSC-klagomål mail.docx", "A 44227-2023")</f>
        <v/>
      </c>
      <c r="X256">
        <f>HYPERLINK("https://klasma.github.io/Logging_0764/tillsyn/A 44227-2023 tillsynsbegäran.docx", "A 44227-2023")</f>
        <v/>
      </c>
      <c r="Y256">
        <f>HYPERLINK("https://klasma.github.io/Logging_0764/tillsynsmail/A 44227-2023 tillsynsbegäran mail.docx", "A 44227-2023")</f>
        <v/>
      </c>
    </row>
    <row r="257" ht="15" customHeight="1">
      <c r="A257" t="inlineStr">
        <is>
          <t>A 46698-2023</t>
        </is>
      </c>
      <c r="B257" s="1" t="n">
        <v>45198</v>
      </c>
      <c r="C257" s="1" t="n">
        <v>45833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Tjäder</t>
        </is>
      </c>
      <c r="S257">
        <f>HYPERLINK("https://klasma.github.io/Logging_0764/artfynd/A 46698-2023 artfynd.xlsx", "A 46698-2023")</f>
        <v/>
      </c>
      <c r="T257">
        <f>HYPERLINK("https://klasma.github.io/Logging_0764/kartor/A 46698-2023 karta.png", "A 46698-2023")</f>
        <v/>
      </c>
      <c r="V257">
        <f>HYPERLINK("https://klasma.github.io/Logging_0764/klagomål/A 46698-2023 FSC-klagomål.docx", "A 46698-2023")</f>
        <v/>
      </c>
      <c r="W257">
        <f>HYPERLINK("https://klasma.github.io/Logging_0764/klagomålsmail/A 46698-2023 FSC-klagomål mail.docx", "A 46698-2023")</f>
        <v/>
      </c>
      <c r="X257">
        <f>HYPERLINK("https://klasma.github.io/Logging_0764/tillsyn/A 46698-2023 tillsynsbegäran.docx", "A 46698-2023")</f>
        <v/>
      </c>
      <c r="Y257">
        <f>HYPERLINK("https://klasma.github.io/Logging_0764/tillsynsmail/A 46698-2023 tillsynsbegäran mail.docx", "A 46698-2023")</f>
        <v/>
      </c>
      <c r="Z257">
        <f>HYPERLINK("https://klasma.github.io/Logging_0764/fåglar/A 46698-2023 prioriterade fågelarter.docx", "A 46698-2023")</f>
        <v/>
      </c>
    </row>
    <row r="258" ht="15" customHeight="1">
      <c r="A258" t="inlineStr">
        <is>
          <t>A 49557-2023</t>
        </is>
      </c>
      <c r="B258" s="1" t="n">
        <v>45211</v>
      </c>
      <c r="C258" s="1" t="n">
        <v>45833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HYPERLINK("https://klasma.github.io/Logging_0781/artfynd/A 49557-2023 artfynd.xlsx", "A 49557-2023")</f>
        <v/>
      </c>
      <c r="T258">
        <f>HYPERLINK("https://klasma.github.io/Logging_0781/kartor/A 49557-2023 karta.png", "A 49557-2023")</f>
        <v/>
      </c>
      <c r="V258">
        <f>HYPERLINK("https://klasma.github.io/Logging_0781/klagomål/A 49557-2023 FSC-klagomål.docx", "A 49557-2023")</f>
        <v/>
      </c>
      <c r="W258">
        <f>HYPERLINK("https://klasma.github.io/Logging_0781/klagomålsmail/A 49557-2023 FSC-klagomål mail.docx", "A 49557-2023")</f>
        <v/>
      </c>
      <c r="X258">
        <f>HYPERLINK("https://klasma.github.io/Logging_0781/tillsyn/A 49557-2023 tillsynsbegäran.docx", "A 49557-2023")</f>
        <v/>
      </c>
      <c r="Y258">
        <f>HYPERLINK("https://klasma.github.io/Logging_0781/tillsynsmail/A 49557-2023 tillsynsbegäran mail.docx", "A 49557-2023")</f>
        <v/>
      </c>
    </row>
    <row r="259" ht="15" customHeight="1">
      <c r="A259" t="inlineStr">
        <is>
          <t>A 50892-2023</t>
        </is>
      </c>
      <c r="B259" s="1" t="n">
        <v>45218</v>
      </c>
      <c r="C259" s="1" t="n">
        <v>45833</v>
      </c>
      <c r="D259" t="inlineStr">
        <is>
          <t>KRONOBERGS LÄN</t>
        </is>
      </c>
      <c r="E259" t="inlineStr">
        <is>
          <t>ÄLMHULT</t>
        </is>
      </c>
      <c r="G259" t="n">
        <v>83.40000000000001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Mattlummer</t>
        </is>
      </c>
      <c r="S259">
        <f>HYPERLINK("https://klasma.github.io/Logging_0765/artfynd/A 50892-2023 artfynd.xlsx", "A 50892-2023")</f>
        <v/>
      </c>
      <c r="T259">
        <f>HYPERLINK("https://klasma.github.io/Logging_0765/kartor/A 50892-2023 karta.png", "A 50892-2023")</f>
        <v/>
      </c>
      <c r="V259">
        <f>HYPERLINK("https://klasma.github.io/Logging_0765/klagomål/A 50892-2023 FSC-klagomål.docx", "A 50892-2023")</f>
        <v/>
      </c>
      <c r="W259">
        <f>HYPERLINK("https://klasma.github.io/Logging_0765/klagomålsmail/A 50892-2023 FSC-klagomål mail.docx", "A 50892-2023")</f>
        <v/>
      </c>
      <c r="X259">
        <f>HYPERLINK("https://klasma.github.io/Logging_0765/tillsyn/A 50892-2023 tillsynsbegäran.docx", "A 50892-2023")</f>
        <v/>
      </c>
      <c r="Y259">
        <f>HYPERLINK("https://klasma.github.io/Logging_0765/tillsynsmail/A 50892-2023 tillsynsbegäran mail.docx", "A 50892-2023")</f>
        <v/>
      </c>
    </row>
    <row r="260" ht="15" customHeight="1">
      <c r="A260" t="inlineStr">
        <is>
          <t>A 51195-2023</t>
        </is>
      </c>
      <c r="B260" s="1" t="n">
        <v>45219</v>
      </c>
      <c r="C260" s="1" t="n">
        <v>45833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HYPERLINK("https://klasma.github.io/Logging_0767/artfynd/A 51195-2023 artfynd.xlsx", "A 51195-2023")</f>
        <v/>
      </c>
      <c r="T260">
        <f>HYPERLINK("https://klasma.github.io/Logging_0767/kartor/A 51195-2023 karta.png", "A 51195-2023")</f>
        <v/>
      </c>
      <c r="V260">
        <f>HYPERLINK("https://klasma.github.io/Logging_0767/klagomål/A 51195-2023 FSC-klagomål.docx", "A 51195-2023")</f>
        <v/>
      </c>
      <c r="W260">
        <f>HYPERLINK("https://klasma.github.io/Logging_0767/klagomålsmail/A 51195-2023 FSC-klagomål mail.docx", "A 51195-2023")</f>
        <v/>
      </c>
      <c r="X260">
        <f>HYPERLINK("https://klasma.github.io/Logging_0767/tillsyn/A 51195-2023 tillsynsbegäran.docx", "A 51195-2023")</f>
        <v/>
      </c>
      <c r="Y260">
        <f>HYPERLINK("https://klasma.github.io/Logging_0767/tillsynsmail/A 51195-2023 tillsynsbegäran mail.docx", "A 51195-2023")</f>
        <v/>
      </c>
    </row>
    <row r="261" ht="15" customHeight="1">
      <c r="A261" t="inlineStr">
        <is>
          <t>A 53697-2023</t>
        </is>
      </c>
      <c r="B261" s="1" t="n">
        <v>45230</v>
      </c>
      <c r="C261" s="1" t="n">
        <v>45833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Vårärt</t>
        </is>
      </c>
      <c r="S261">
        <f>HYPERLINK("https://klasma.github.io/Logging_0760/artfynd/A 53697-2023 artfynd.xlsx", "A 53697-2023")</f>
        <v/>
      </c>
      <c r="T261">
        <f>HYPERLINK("https://klasma.github.io/Logging_0760/kartor/A 53697-2023 karta.png", "A 53697-2023")</f>
        <v/>
      </c>
      <c r="V261">
        <f>HYPERLINK("https://klasma.github.io/Logging_0760/klagomål/A 53697-2023 FSC-klagomål.docx", "A 53697-2023")</f>
        <v/>
      </c>
      <c r="W261">
        <f>HYPERLINK("https://klasma.github.io/Logging_0760/klagomålsmail/A 53697-2023 FSC-klagomål mail.docx", "A 53697-2023")</f>
        <v/>
      </c>
      <c r="X261">
        <f>HYPERLINK("https://klasma.github.io/Logging_0760/tillsyn/A 53697-2023 tillsynsbegäran.docx", "A 53697-2023")</f>
        <v/>
      </c>
      <c r="Y261">
        <f>HYPERLINK("https://klasma.github.io/Logging_0760/tillsynsmail/A 53697-2023 tillsynsbegäran mail.docx", "A 53697-2023")</f>
        <v/>
      </c>
    </row>
    <row r="262" ht="15" customHeight="1">
      <c r="A262" t="inlineStr">
        <is>
          <t>A 54485-2023</t>
        </is>
      </c>
      <c r="B262" s="1" t="n">
        <v>45233</v>
      </c>
      <c r="C262" s="1" t="n">
        <v>45833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HYPERLINK("https://klasma.github.io/Logging_0767/artfynd/A 54485-2023 artfynd.xlsx", "A 54485-2023")</f>
        <v/>
      </c>
      <c r="T262">
        <f>HYPERLINK("https://klasma.github.io/Logging_0767/kartor/A 54485-2023 karta.png", "A 54485-2023")</f>
        <v/>
      </c>
      <c r="V262">
        <f>HYPERLINK("https://klasma.github.io/Logging_0767/klagomål/A 54485-2023 FSC-klagomål.docx", "A 54485-2023")</f>
        <v/>
      </c>
      <c r="W262">
        <f>HYPERLINK("https://klasma.github.io/Logging_0767/klagomålsmail/A 54485-2023 FSC-klagomål mail.docx", "A 54485-2023")</f>
        <v/>
      </c>
      <c r="X262">
        <f>HYPERLINK("https://klasma.github.io/Logging_0767/tillsyn/A 54485-2023 tillsynsbegäran.docx", "A 54485-2023")</f>
        <v/>
      </c>
      <c r="Y262">
        <f>HYPERLINK("https://klasma.github.io/Logging_0767/tillsynsmail/A 54485-2023 tillsynsbegäran mail.docx", "A 54485-2023")</f>
        <v/>
      </c>
    </row>
    <row r="263" ht="15" customHeight="1">
      <c r="A263" t="inlineStr">
        <is>
          <t>A 58051-2023</t>
        </is>
      </c>
      <c r="B263" s="1" t="n">
        <v>45247</v>
      </c>
      <c r="C263" s="1" t="n">
        <v>45833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Parkhättemossa</t>
        </is>
      </c>
      <c r="S263">
        <f>HYPERLINK("https://klasma.github.io/Logging_0780/artfynd/A 58051-2023 artfynd.xlsx", "A 58051-2023")</f>
        <v/>
      </c>
      <c r="T263">
        <f>HYPERLINK("https://klasma.github.io/Logging_0780/kartor/A 58051-2023 karta.png", "A 58051-2023")</f>
        <v/>
      </c>
      <c r="V263">
        <f>HYPERLINK("https://klasma.github.io/Logging_0780/klagomål/A 58051-2023 FSC-klagomål.docx", "A 58051-2023")</f>
        <v/>
      </c>
      <c r="W263">
        <f>HYPERLINK("https://klasma.github.io/Logging_0780/klagomålsmail/A 58051-2023 FSC-klagomål mail.docx", "A 58051-2023")</f>
        <v/>
      </c>
      <c r="X263">
        <f>HYPERLINK("https://klasma.github.io/Logging_0780/tillsyn/A 58051-2023 tillsynsbegäran.docx", "A 58051-2023")</f>
        <v/>
      </c>
      <c r="Y263">
        <f>HYPERLINK("https://klasma.github.io/Logging_0780/tillsynsmail/A 58051-2023 tillsynsbegäran mail.docx", "A 58051-2023")</f>
        <v/>
      </c>
    </row>
    <row r="264" ht="15" customHeight="1">
      <c r="A264" t="inlineStr">
        <is>
          <t>A 61219-2023</t>
        </is>
      </c>
      <c r="B264" s="1" t="n">
        <v>45264</v>
      </c>
      <c r="C264" s="1" t="n">
        <v>45833</v>
      </c>
      <c r="D264" t="inlineStr">
        <is>
          <t>KRONOBERGS LÄN</t>
        </is>
      </c>
      <c r="E264" t="inlineStr">
        <is>
          <t>UPPVIDINGE</t>
        </is>
      </c>
      <c r="G264" t="n">
        <v>14.7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Gröngöling</t>
        </is>
      </c>
      <c r="S264">
        <f>HYPERLINK("https://klasma.github.io/Logging_0760/artfynd/A 61219-2023 artfynd.xlsx", "A 61219-2023")</f>
        <v/>
      </c>
      <c r="T264">
        <f>HYPERLINK("https://klasma.github.io/Logging_0760/kartor/A 61219-2023 karta.png", "A 61219-2023")</f>
        <v/>
      </c>
      <c r="V264">
        <f>HYPERLINK("https://klasma.github.io/Logging_0760/klagomål/A 61219-2023 FSC-klagomål.docx", "A 61219-2023")</f>
        <v/>
      </c>
      <c r="W264">
        <f>HYPERLINK("https://klasma.github.io/Logging_0760/klagomålsmail/A 61219-2023 FSC-klagomål mail.docx", "A 61219-2023")</f>
        <v/>
      </c>
      <c r="X264">
        <f>HYPERLINK("https://klasma.github.io/Logging_0760/tillsyn/A 61219-2023 tillsynsbegäran.docx", "A 61219-2023")</f>
        <v/>
      </c>
      <c r="Y264">
        <f>HYPERLINK("https://klasma.github.io/Logging_0760/tillsynsmail/A 61219-2023 tillsynsbegäran mail.docx", "A 61219-2023")</f>
        <v/>
      </c>
      <c r="Z264">
        <f>HYPERLINK("https://klasma.github.io/Logging_0760/fåglar/A 61219-2023 prioriterade fågelarter.docx", "A 61219-2023")</f>
        <v/>
      </c>
    </row>
    <row r="265" ht="15" customHeight="1">
      <c r="A265" t="inlineStr">
        <is>
          <t>A 61847-2023</t>
        </is>
      </c>
      <c r="B265" s="1" t="n">
        <v>45266</v>
      </c>
      <c r="C265" s="1" t="n">
        <v>45833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HYPERLINK("https://klasma.github.io/Logging_0763/artfynd/A 61847-2023 artfynd.xlsx", "A 61847-2023")</f>
        <v/>
      </c>
      <c r="T265">
        <f>HYPERLINK("https://klasma.github.io/Logging_0763/kartor/A 61847-2023 karta.png", "A 61847-2023")</f>
        <v/>
      </c>
      <c r="V265">
        <f>HYPERLINK("https://klasma.github.io/Logging_0763/klagomål/A 61847-2023 FSC-klagomål.docx", "A 61847-2023")</f>
        <v/>
      </c>
      <c r="W265">
        <f>HYPERLINK("https://klasma.github.io/Logging_0763/klagomålsmail/A 61847-2023 FSC-klagomål mail.docx", "A 61847-2023")</f>
        <v/>
      </c>
      <c r="X265">
        <f>HYPERLINK("https://klasma.github.io/Logging_0763/tillsyn/A 61847-2023 tillsynsbegäran.docx", "A 61847-2023")</f>
        <v/>
      </c>
      <c r="Y265">
        <f>HYPERLINK("https://klasma.github.io/Logging_0763/tillsynsmail/A 61847-2023 tillsynsbegäran mail.docx", "A 61847-2023")</f>
        <v/>
      </c>
    </row>
    <row r="266" ht="15" customHeight="1">
      <c r="A266" t="inlineStr">
        <is>
          <t>A 63249-2023</t>
        </is>
      </c>
      <c r="B266" s="1" t="n">
        <v>45273</v>
      </c>
      <c r="C266" s="1" t="n">
        <v>45833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HYPERLINK("https://klasma.github.io/Logging_0780/artfynd/A 63249-2023 artfynd.xlsx", "A 63249-2023")</f>
        <v/>
      </c>
      <c r="T266">
        <f>HYPERLINK("https://klasma.github.io/Logging_0780/kartor/A 63249-2023 karta.png", "A 63249-2023")</f>
        <v/>
      </c>
      <c r="V266">
        <f>HYPERLINK("https://klasma.github.io/Logging_0780/klagomål/A 63249-2023 FSC-klagomål.docx", "A 63249-2023")</f>
        <v/>
      </c>
      <c r="W266">
        <f>HYPERLINK("https://klasma.github.io/Logging_0780/klagomålsmail/A 63249-2023 FSC-klagomål mail.docx", "A 63249-2023")</f>
        <v/>
      </c>
      <c r="X266">
        <f>HYPERLINK("https://klasma.github.io/Logging_0780/tillsyn/A 63249-2023 tillsynsbegäran.docx", "A 63249-2023")</f>
        <v/>
      </c>
      <c r="Y266">
        <f>HYPERLINK("https://klasma.github.io/Logging_0780/tillsynsmail/A 63249-2023 tillsynsbegäran mail.docx", "A 63249-2023")</f>
        <v/>
      </c>
    </row>
    <row r="267" ht="15" customHeight="1">
      <c r="A267" t="inlineStr">
        <is>
          <t>A 63304-2023</t>
        </is>
      </c>
      <c r="B267" s="1" t="n">
        <v>45274</v>
      </c>
      <c r="C267" s="1" t="n">
        <v>45833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Borsttåg</t>
        </is>
      </c>
      <c r="S267">
        <f>HYPERLINK("https://klasma.github.io/Logging_0781/artfynd/A 63304-2023 artfynd.xlsx", "A 63304-2023")</f>
        <v/>
      </c>
      <c r="T267">
        <f>HYPERLINK("https://klasma.github.io/Logging_0781/kartor/A 63304-2023 karta.png", "A 63304-2023")</f>
        <v/>
      </c>
      <c r="V267">
        <f>HYPERLINK("https://klasma.github.io/Logging_0781/klagomål/A 63304-2023 FSC-klagomål.docx", "A 63304-2023")</f>
        <v/>
      </c>
      <c r="W267">
        <f>HYPERLINK("https://klasma.github.io/Logging_0781/klagomålsmail/A 63304-2023 FSC-klagomål mail.docx", "A 63304-2023")</f>
        <v/>
      </c>
      <c r="X267">
        <f>HYPERLINK("https://klasma.github.io/Logging_0781/tillsyn/A 63304-2023 tillsynsbegäran.docx", "A 63304-2023")</f>
        <v/>
      </c>
      <c r="Y267">
        <f>HYPERLINK("https://klasma.github.io/Logging_0781/tillsynsmail/A 63304-2023 tillsynsbegäran mail.docx", "A 63304-2023")</f>
        <v/>
      </c>
    </row>
    <row r="268" ht="15" customHeight="1">
      <c r="A268" t="inlineStr">
        <is>
          <t>A 64150-2023</t>
        </is>
      </c>
      <c r="B268" s="1" t="n">
        <v>45279</v>
      </c>
      <c r="C268" s="1" t="n">
        <v>45833</v>
      </c>
      <c r="D268" t="inlineStr">
        <is>
          <t>KRONOBERGS LÄN</t>
        </is>
      </c>
      <c r="E268" t="inlineStr">
        <is>
          <t>VÄXJÖ</t>
        </is>
      </c>
      <c r="G268" t="n">
        <v>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Blåmossa</t>
        </is>
      </c>
      <c r="S268">
        <f>HYPERLINK("https://klasma.github.io/Logging_0780/artfynd/A 64150-2023 artfynd.xlsx", "A 64150-2023")</f>
        <v/>
      </c>
      <c r="T268">
        <f>HYPERLINK("https://klasma.github.io/Logging_0780/kartor/A 64150-2023 karta.png", "A 64150-2023")</f>
        <v/>
      </c>
      <c r="V268">
        <f>HYPERLINK("https://klasma.github.io/Logging_0780/klagomål/A 64150-2023 FSC-klagomål.docx", "A 64150-2023")</f>
        <v/>
      </c>
      <c r="W268">
        <f>HYPERLINK("https://klasma.github.io/Logging_0780/klagomålsmail/A 64150-2023 FSC-klagomål mail.docx", "A 64150-2023")</f>
        <v/>
      </c>
      <c r="X268">
        <f>HYPERLINK("https://klasma.github.io/Logging_0780/tillsyn/A 64150-2023 tillsynsbegäran.docx", "A 64150-2023")</f>
        <v/>
      </c>
      <c r="Y268">
        <f>HYPERLINK("https://klasma.github.io/Logging_0780/tillsynsmail/A 64150-2023 tillsynsbegäran mail.docx", "A 64150-2023")</f>
        <v/>
      </c>
    </row>
    <row r="269" ht="15" customHeight="1">
      <c r="A269" t="inlineStr">
        <is>
          <t>A 64284-2023</t>
        </is>
      </c>
      <c r="B269" s="1" t="n">
        <v>45280</v>
      </c>
      <c r="C269" s="1" t="n">
        <v>45833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HYPERLINK("https://klasma.github.io/Logging_0780/artfynd/A 64284-2023 artfynd.xlsx", "A 64284-2023")</f>
        <v/>
      </c>
      <c r="T269">
        <f>HYPERLINK("https://klasma.github.io/Logging_0780/kartor/A 64284-2023 karta.png", "A 64284-2023")</f>
        <v/>
      </c>
      <c r="V269">
        <f>HYPERLINK("https://klasma.github.io/Logging_0780/klagomål/A 64284-2023 FSC-klagomål.docx", "A 64284-2023")</f>
        <v/>
      </c>
      <c r="W269">
        <f>HYPERLINK("https://klasma.github.io/Logging_0780/klagomålsmail/A 64284-2023 FSC-klagomål mail.docx", "A 64284-2023")</f>
        <v/>
      </c>
      <c r="X269">
        <f>HYPERLINK("https://klasma.github.io/Logging_0780/tillsyn/A 64284-2023 tillsynsbegäran.docx", "A 64284-2023")</f>
        <v/>
      </c>
      <c r="Y269">
        <f>HYPERLINK("https://klasma.github.io/Logging_0780/tillsynsmail/A 64284-2023 tillsynsbegäran mail.docx", "A 64284-2023")</f>
        <v/>
      </c>
    </row>
    <row r="270" ht="15" customHeight="1">
      <c r="A270" t="inlineStr">
        <is>
          <t>A 64830-2023</t>
        </is>
      </c>
      <c r="B270" s="1" t="n">
        <v>45282</v>
      </c>
      <c r="C270" s="1" t="n">
        <v>45833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64830-2023 artfynd.xlsx", "A 64830-2023")</f>
        <v/>
      </c>
      <c r="T270">
        <f>HYPERLINK("https://klasma.github.io/Logging_0781/kartor/A 64830-2023 karta.png", "A 64830-2023")</f>
        <v/>
      </c>
      <c r="V270">
        <f>HYPERLINK("https://klasma.github.io/Logging_0781/klagomål/A 64830-2023 FSC-klagomål.docx", "A 64830-2023")</f>
        <v/>
      </c>
      <c r="W270">
        <f>HYPERLINK("https://klasma.github.io/Logging_0781/klagomålsmail/A 64830-2023 FSC-klagomål mail.docx", "A 64830-2023")</f>
        <v/>
      </c>
      <c r="X270">
        <f>HYPERLINK("https://klasma.github.io/Logging_0781/tillsyn/A 64830-2023 tillsynsbegäran.docx", "A 64830-2023")</f>
        <v/>
      </c>
      <c r="Y270">
        <f>HYPERLINK("https://klasma.github.io/Logging_0781/tillsynsmail/A 64830-2023 tillsynsbegäran mail.docx", "A 64830-2023")</f>
        <v/>
      </c>
    </row>
    <row r="271" ht="15" customHeight="1">
      <c r="A271" t="inlineStr">
        <is>
          <t>A 65125-2023</t>
        </is>
      </c>
      <c r="B271" s="1" t="n">
        <v>45287</v>
      </c>
      <c r="C271" s="1" t="n">
        <v>45833</v>
      </c>
      <c r="D271" t="inlineStr">
        <is>
          <t>KRONOBERGS LÄN</t>
        </is>
      </c>
      <c r="E271" t="inlineStr">
        <is>
          <t>UPPVIDINGE</t>
        </is>
      </c>
      <c r="G271" t="n">
        <v>5.1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Korallrot</t>
        </is>
      </c>
      <c r="S271">
        <f>HYPERLINK("https://klasma.github.io/Logging_0760/artfynd/A 65125-2023 artfynd.xlsx", "A 65125-2023")</f>
        <v/>
      </c>
      <c r="T271">
        <f>HYPERLINK("https://klasma.github.io/Logging_0760/kartor/A 65125-2023 karta.png", "A 65125-2023")</f>
        <v/>
      </c>
      <c r="V271">
        <f>HYPERLINK("https://klasma.github.io/Logging_0760/klagomål/A 65125-2023 FSC-klagomål.docx", "A 65125-2023")</f>
        <v/>
      </c>
      <c r="W271">
        <f>HYPERLINK("https://klasma.github.io/Logging_0760/klagomålsmail/A 65125-2023 FSC-klagomål mail.docx", "A 65125-2023")</f>
        <v/>
      </c>
      <c r="X271">
        <f>HYPERLINK("https://klasma.github.io/Logging_0760/tillsyn/A 65125-2023 tillsynsbegäran.docx", "A 65125-2023")</f>
        <v/>
      </c>
      <c r="Y271">
        <f>HYPERLINK("https://klasma.github.io/Logging_0760/tillsynsmail/A 65125-2023 tillsynsbegäran mail.docx", "A 65125-2023")</f>
        <v/>
      </c>
    </row>
    <row r="272" ht="15" customHeight="1">
      <c r="A272" t="inlineStr">
        <is>
          <t>A 1605-2024</t>
        </is>
      </c>
      <c r="B272" s="1" t="n">
        <v>45306</v>
      </c>
      <c r="C272" s="1" t="n">
        <v>45833</v>
      </c>
      <c r="D272" t="inlineStr">
        <is>
          <t>KRONOBERGS LÄN</t>
        </is>
      </c>
      <c r="E272" t="inlineStr">
        <is>
          <t>UPPVIDINGE</t>
        </is>
      </c>
      <c r="F272" t="inlineStr">
        <is>
          <t>Kommuner</t>
        </is>
      </c>
      <c r="G272" t="n">
        <v>10.7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Dvärgpipistrell</t>
        </is>
      </c>
      <c r="S272">
        <f>HYPERLINK("https://klasma.github.io/Logging_0760/artfynd/A 1605-2024 artfynd.xlsx", "A 1605-2024")</f>
        <v/>
      </c>
      <c r="T272">
        <f>HYPERLINK("https://klasma.github.io/Logging_0760/kartor/A 1605-2024 karta.png", "A 1605-2024")</f>
        <v/>
      </c>
      <c r="V272">
        <f>HYPERLINK("https://klasma.github.io/Logging_0760/klagomål/A 1605-2024 FSC-klagomål.docx", "A 1605-2024")</f>
        <v/>
      </c>
      <c r="W272">
        <f>HYPERLINK("https://klasma.github.io/Logging_0760/klagomålsmail/A 1605-2024 FSC-klagomål mail.docx", "A 1605-2024")</f>
        <v/>
      </c>
      <c r="X272">
        <f>HYPERLINK("https://klasma.github.io/Logging_0760/tillsyn/A 1605-2024 tillsynsbegäran.docx", "A 1605-2024")</f>
        <v/>
      </c>
      <c r="Y272">
        <f>HYPERLINK("https://klasma.github.io/Logging_0760/tillsynsmail/A 1605-2024 tillsynsbegäran mail.docx", "A 1605-2024")</f>
        <v/>
      </c>
    </row>
    <row r="273" ht="15" customHeight="1">
      <c r="A273" t="inlineStr">
        <is>
          <t>A 2251-2024</t>
        </is>
      </c>
      <c r="B273" s="1" t="n">
        <v>45310</v>
      </c>
      <c r="C273" s="1" t="n">
        <v>45833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2251-2024 artfynd.xlsx", "A 2251-2024")</f>
        <v/>
      </c>
      <c r="T273">
        <f>HYPERLINK("https://klasma.github.io/Logging_0764/kartor/A 2251-2024 karta.png", "A 2251-2024")</f>
        <v/>
      </c>
      <c r="V273">
        <f>HYPERLINK("https://klasma.github.io/Logging_0764/klagomål/A 2251-2024 FSC-klagomål.docx", "A 2251-2024")</f>
        <v/>
      </c>
      <c r="W273">
        <f>HYPERLINK("https://klasma.github.io/Logging_0764/klagomålsmail/A 2251-2024 FSC-klagomål mail.docx", "A 2251-2024")</f>
        <v/>
      </c>
      <c r="X273">
        <f>HYPERLINK("https://klasma.github.io/Logging_0764/tillsyn/A 2251-2024 tillsynsbegäran.docx", "A 2251-2024")</f>
        <v/>
      </c>
      <c r="Y273">
        <f>HYPERLINK("https://klasma.github.io/Logging_0764/tillsynsmail/A 2251-2024 tillsynsbegäran mail.docx", "A 2251-2024")</f>
        <v/>
      </c>
    </row>
    <row r="274" ht="15" customHeight="1">
      <c r="A274" t="inlineStr">
        <is>
          <t>A 3863-2024</t>
        </is>
      </c>
      <c r="B274" s="1" t="n">
        <v>45322</v>
      </c>
      <c r="C274" s="1" t="n">
        <v>45833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Safsa</t>
        </is>
      </c>
      <c r="S274">
        <f>HYPERLINK("https://klasma.github.io/Logging_0763/artfynd/A 3863-2024 artfynd.xlsx", "A 3863-2024")</f>
        <v/>
      </c>
      <c r="T274">
        <f>HYPERLINK("https://klasma.github.io/Logging_0763/kartor/A 3863-2024 karta.png", "A 3863-2024")</f>
        <v/>
      </c>
      <c r="V274">
        <f>HYPERLINK("https://klasma.github.io/Logging_0763/klagomål/A 3863-2024 FSC-klagomål.docx", "A 3863-2024")</f>
        <v/>
      </c>
      <c r="W274">
        <f>HYPERLINK("https://klasma.github.io/Logging_0763/klagomålsmail/A 3863-2024 FSC-klagomål mail.docx", "A 3863-2024")</f>
        <v/>
      </c>
      <c r="X274">
        <f>HYPERLINK("https://klasma.github.io/Logging_0763/tillsyn/A 3863-2024 tillsynsbegäran.docx", "A 3863-2024")</f>
        <v/>
      </c>
      <c r="Y274">
        <f>HYPERLINK("https://klasma.github.io/Logging_0763/tillsynsmail/A 3863-2024 tillsynsbegäran mail.docx", "A 3863-2024")</f>
        <v/>
      </c>
    </row>
    <row r="275" ht="15" customHeight="1">
      <c r="A275" t="inlineStr">
        <is>
          <t>A 5856-2024</t>
        </is>
      </c>
      <c r="B275" s="1" t="n">
        <v>45335</v>
      </c>
      <c r="C275" s="1" t="n">
        <v>45833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Vågbandad barkbock</t>
        </is>
      </c>
      <c r="S275">
        <f>HYPERLINK("https://klasma.github.io/Logging_0760/artfynd/A 5856-2024 artfynd.xlsx", "A 5856-2024")</f>
        <v/>
      </c>
      <c r="T275">
        <f>HYPERLINK("https://klasma.github.io/Logging_0760/kartor/A 5856-2024 karta.png", "A 5856-2024")</f>
        <v/>
      </c>
      <c r="V275">
        <f>HYPERLINK("https://klasma.github.io/Logging_0760/klagomål/A 5856-2024 FSC-klagomål.docx", "A 5856-2024")</f>
        <v/>
      </c>
      <c r="W275">
        <f>HYPERLINK("https://klasma.github.io/Logging_0760/klagomålsmail/A 5856-2024 FSC-klagomål mail.docx", "A 5856-2024")</f>
        <v/>
      </c>
      <c r="X275">
        <f>HYPERLINK("https://klasma.github.io/Logging_0760/tillsyn/A 5856-2024 tillsynsbegäran.docx", "A 5856-2024")</f>
        <v/>
      </c>
      <c r="Y275">
        <f>HYPERLINK("https://klasma.github.io/Logging_0760/tillsynsmail/A 5856-2024 tillsynsbegäran mail.docx", "A 5856-2024")</f>
        <v/>
      </c>
    </row>
    <row r="276" ht="15" customHeight="1">
      <c r="A276" t="inlineStr">
        <is>
          <t>A 6548-2024</t>
        </is>
      </c>
      <c r="B276" s="1" t="n">
        <v>45341</v>
      </c>
      <c r="C276" s="1" t="n">
        <v>45833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6548-2024 artfynd.xlsx", "A 6548-2024")</f>
        <v/>
      </c>
      <c r="T276">
        <f>HYPERLINK("https://klasma.github.io/Logging_0763/kartor/A 6548-2024 karta.png", "A 6548-2024")</f>
        <v/>
      </c>
      <c r="V276">
        <f>HYPERLINK("https://klasma.github.io/Logging_0763/klagomål/A 6548-2024 FSC-klagomål.docx", "A 6548-2024")</f>
        <v/>
      </c>
      <c r="W276">
        <f>HYPERLINK("https://klasma.github.io/Logging_0763/klagomålsmail/A 6548-2024 FSC-klagomål mail.docx", "A 6548-2024")</f>
        <v/>
      </c>
      <c r="X276">
        <f>HYPERLINK("https://klasma.github.io/Logging_0763/tillsyn/A 6548-2024 tillsynsbegäran.docx", "A 6548-2024")</f>
        <v/>
      </c>
      <c r="Y276">
        <f>HYPERLINK("https://klasma.github.io/Logging_0763/tillsynsmail/A 6548-2024 tillsynsbegäran mail.docx", "A 6548-2024")</f>
        <v/>
      </c>
    </row>
    <row r="277" ht="15" customHeight="1">
      <c r="A277" t="inlineStr">
        <is>
          <t>A 7011-2024</t>
        </is>
      </c>
      <c r="B277" s="1" t="n">
        <v>45343</v>
      </c>
      <c r="C277" s="1" t="n">
        <v>45833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Kungsfågel</t>
        </is>
      </c>
      <c r="S277">
        <f>HYPERLINK("https://klasma.github.io/Logging_0765/artfynd/A 7011-2024 artfynd.xlsx", "A 7011-2024")</f>
        <v/>
      </c>
      <c r="T277">
        <f>HYPERLINK("https://klasma.github.io/Logging_0765/kartor/A 7011-2024 karta.png", "A 7011-2024")</f>
        <v/>
      </c>
      <c r="V277">
        <f>HYPERLINK("https://klasma.github.io/Logging_0765/klagomål/A 7011-2024 FSC-klagomål.docx", "A 7011-2024")</f>
        <v/>
      </c>
      <c r="W277">
        <f>HYPERLINK("https://klasma.github.io/Logging_0765/klagomålsmail/A 7011-2024 FSC-klagomål mail.docx", "A 7011-2024")</f>
        <v/>
      </c>
      <c r="X277">
        <f>HYPERLINK("https://klasma.github.io/Logging_0765/tillsyn/A 7011-2024 tillsynsbegäran.docx", "A 7011-2024")</f>
        <v/>
      </c>
      <c r="Y277">
        <f>HYPERLINK("https://klasma.github.io/Logging_0765/tillsynsmail/A 7011-2024 tillsynsbegäran mail.docx", "A 7011-2024")</f>
        <v/>
      </c>
      <c r="Z277">
        <f>HYPERLINK("https://klasma.github.io/Logging_0765/fåglar/A 7011-2024 prioriterade fågelarter.docx", "A 7011-2024")</f>
        <v/>
      </c>
    </row>
    <row r="278" ht="15" customHeight="1">
      <c r="A278" t="inlineStr">
        <is>
          <t>A 7984-2024</t>
        </is>
      </c>
      <c r="B278" s="1" t="n">
        <v>45348</v>
      </c>
      <c r="C278" s="1" t="n">
        <v>45833</v>
      </c>
      <c r="D278" t="inlineStr">
        <is>
          <t>KRONOBERGS LÄN</t>
        </is>
      </c>
      <c r="E278" t="inlineStr">
        <is>
          <t>UPPVIDINGE</t>
        </is>
      </c>
      <c r="G278" t="n">
        <v>1.3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Strandlummer</t>
        </is>
      </c>
      <c r="S278">
        <f>HYPERLINK("https://klasma.github.io/Logging_0760/artfynd/A 7984-2024 artfynd.xlsx", "A 7984-2024")</f>
        <v/>
      </c>
      <c r="T278">
        <f>HYPERLINK("https://klasma.github.io/Logging_0760/kartor/A 7984-2024 karta.png", "A 7984-2024")</f>
        <v/>
      </c>
      <c r="V278">
        <f>HYPERLINK("https://klasma.github.io/Logging_0760/klagomål/A 7984-2024 FSC-klagomål.docx", "A 7984-2024")</f>
        <v/>
      </c>
      <c r="W278">
        <f>HYPERLINK("https://klasma.github.io/Logging_0760/klagomålsmail/A 7984-2024 FSC-klagomål mail.docx", "A 7984-2024")</f>
        <v/>
      </c>
      <c r="X278">
        <f>HYPERLINK("https://klasma.github.io/Logging_0760/tillsyn/A 7984-2024 tillsynsbegäran.docx", "A 7984-2024")</f>
        <v/>
      </c>
      <c r="Y278">
        <f>HYPERLINK("https://klasma.github.io/Logging_0760/tillsynsmail/A 7984-2024 tillsynsbegäran mail.docx", "A 7984-2024")</f>
        <v/>
      </c>
    </row>
    <row r="279" ht="15" customHeight="1">
      <c r="A279" t="inlineStr">
        <is>
          <t>A 8482-2024</t>
        </is>
      </c>
      <c r="B279" s="1" t="n">
        <v>45355</v>
      </c>
      <c r="C279" s="1" t="n">
        <v>45833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Blomkålssvamp</t>
        </is>
      </c>
      <c r="S279">
        <f>HYPERLINK("https://klasma.github.io/Logging_0763/artfynd/A 8482-2024 artfynd.xlsx", "A 8482-2024")</f>
        <v/>
      </c>
      <c r="T279">
        <f>HYPERLINK("https://klasma.github.io/Logging_0763/kartor/A 8482-2024 karta.png", "A 8482-2024")</f>
        <v/>
      </c>
      <c r="V279">
        <f>HYPERLINK("https://klasma.github.io/Logging_0763/klagomål/A 8482-2024 FSC-klagomål.docx", "A 8482-2024")</f>
        <v/>
      </c>
      <c r="W279">
        <f>HYPERLINK("https://klasma.github.io/Logging_0763/klagomålsmail/A 8482-2024 FSC-klagomål mail.docx", "A 8482-2024")</f>
        <v/>
      </c>
      <c r="X279">
        <f>HYPERLINK("https://klasma.github.io/Logging_0763/tillsyn/A 8482-2024 tillsynsbegäran.docx", "A 8482-2024")</f>
        <v/>
      </c>
      <c r="Y279">
        <f>HYPERLINK("https://klasma.github.io/Logging_0763/tillsynsmail/A 8482-2024 tillsynsbegäran mail.docx", "A 8482-2024")</f>
        <v/>
      </c>
    </row>
    <row r="280" ht="15" customHeight="1">
      <c r="A280" t="inlineStr">
        <is>
          <t>A 8780-2024</t>
        </is>
      </c>
      <c r="B280" s="1" t="n">
        <v>45356</v>
      </c>
      <c r="C280" s="1" t="n">
        <v>45833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Kornknutmossa</t>
        </is>
      </c>
      <c r="S280">
        <f>HYPERLINK("https://klasma.github.io/Logging_0763/artfynd/A 8780-2024 artfynd.xlsx", "A 8780-2024")</f>
        <v/>
      </c>
      <c r="T280">
        <f>HYPERLINK("https://klasma.github.io/Logging_0763/kartor/A 8780-2024 karta.png", "A 8780-2024")</f>
        <v/>
      </c>
      <c r="V280">
        <f>HYPERLINK("https://klasma.github.io/Logging_0763/klagomål/A 8780-2024 FSC-klagomål.docx", "A 8780-2024")</f>
        <v/>
      </c>
      <c r="W280">
        <f>HYPERLINK("https://klasma.github.io/Logging_0763/klagomålsmail/A 8780-2024 FSC-klagomål mail.docx", "A 8780-2024")</f>
        <v/>
      </c>
      <c r="X280">
        <f>HYPERLINK("https://klasma.github.io/Logging_0763/tillsyn/A 8780-2024 tillsynsbegäran.docx", "A 8780-2024")</f>
        <v/>
      </c>
      <c r="Y280">
        <f>HYPERLINK("https://klasma.github.io/Logging_0763/tillsynsmail/A 8780-2024 tillsynsbegäran mail.docx", "A 8780-2024")</f>
        <v/>
      </c>
    </row>
    <row r="281" ht="15" customHeight="1">
      <c r="A281" t="inlineStr">
        <is>
          <t>A 11508-2024</t>
        </is>
      </c>
      <c r="B281" s="1" t="n">
        <v>45372</v>
      </c>
      <c r="C281" s="1" t="n">
        <v>45833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HYPERLINK("https://klasma.github.io/Logging_0781/artfynd/A 11508-2024 artfynd.xlsx", "A 11508-2024")</f>
        <v/>
      </c>
      <c r="T281">
        <f>HYPERLINK("https://klasma.github.io/Logging_0781/kartor/A 11508-2024 karta.png", "A 11508-2024")</f>
        <v/>
      </c>
      <c r="V281">
        <f>HYPERLINK("https://klasma.github.io/Logging_0781/klagomål/A 11508-2024 FSC-klagomål.docx", "A 11508-2024")</f>
        <v/>
      </c>
      <c r="W281">
        <f>HYPERLINK("https://klasma.github.io/Logging_0781/klagomålsmail/A 11508-2024 FSC-klagomål mail.docx", "A 11508-2024")</f>
        <v/>
      </c>
      <c r="X281">
        <f>HYPERLINK("https://klasma.github.io/Logging_0781/tillsyn/A 11508-2024 tillsynsbegäran.docx", "A 11508-2024")</f>
        <v/>
      </c>
      <c r="Y281">
        <f>HYPERLINK("https://klasma.github.io/Logging_0781/tillsynsmail/A 11508-2024 tillsynsbegäran mail.docx", "A 11508-2024")</f>
        <v/>
      </c>
    </row>
    <row r="282" ht="15" customHeight="1">
      <c r="A282" t="inlineStr">
        <is>
          <t>A 13497-2024</t>
        </is>
      </c>
      <c r="B282" s="1" t="n">
        <v>45387</v>
      </c>
      <c r="C282" s="1" t="n">
        <v>45833</v>
      </c>
      <c r="D282" t="inlineStr">
        <is>
          <t>KRONOBERGS LÄN</t>
        </is>
      </c>
      <c r="E282" t="inlineStr">
        <is>
          <t>TINGSRYD</t>
        </is>
      </c>
      <c r="G282" t="n">
        <v>3.2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HYPERLINK("https://klasma.github.io/Logging_0763/artfynd/A 13497-2024 artfynd.xlsx", "A 13497-2024")</f>
        <v/>
      </c>
      <c r="T282">
        <f>HYPERLINK("https://klasma.github.io/Logging_0763/kartor/A 13497-2024 karta.png", "A 13497-2024")</f>
        <v/>
      </c>
      <c r="U282">
        <f>HYPERLINK("https://klasma.github.io/Logging_0763/knärot/A 13497-2024 karta knärot.png", "A 13497-2024")</f>
        <v/>
      </c>
      <c r="V282">
        <f>HYPERLINK("https://klasma.github.io/Logging_0763/klagomål/A 13497-2024 FSC-klagomål.docx", "A 13497-2024")</f>
        <v/>
      </c>
      <c r="W282">
        <f>HYPERLINK("https://klasma.github.io/Logging_0763/klagomålsmail/A 13497-2024 FSC-klagomål mail.docx", "A 13497-2024")</f>
        <v/>
      </c>
      <c r="X282">
        <f>HYPERLINK("https://klasma.github.io/Logging_0763/tillsyn/A 13497-2024 tillsynsbegäran.docx", "A 13497-2024")</f>
        <v/>
      </c>
      <c r="Y282">
        <f>HYPERLINK("https://klasma.github.io/Logging_0763/tillsynsmail/A 13497-2024 tillsynsbegäran mail.docx", "A 13497-2024")</f>
        <v/>
      </c>
    </row>
    <row r="283" ht="15" customHeight="1">
      <c r="A283" t="inlineStr">
        <is>
          <t>A 14022-2024</t>
        </is>
      </c>
      <c r="B283" s="1" t="n">
        <v>45392</v>
      </c>
      <c r="C283" s="1" t="n">
        <v>45833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Borsttåg</t>
        </is>
      </c>
      <c r="S283">
        <f>HYPERLINK("https://klasma.github.io/Logging_0780/artfynd/A 14022-2024 artfynd.xlsx", "A 14022-2024")</f>
        <v/>
      </c>
      <c r="T283">
        <f>HYPERLINK("https://klasma.github.io/Logging_0780/kartor/A 14022-2024 karta.png", "A 14022-2024")</f>
        <v/>
      </c>
      <c r="V283">
        <f>HYPERLINK("https://klasma.github.io/Logging_0780/klagomål/A 14022-2024 FSC-klagomål.docx", "A 14022-2024")</f>
        <v/>
      </c>
      <c r="W283">
        <f>HYPERLINK("https://klasma.github.io/Logging_0780/klagomålsmail/A 14022-2024 FSC-klagomål mail.docx", "A 14022-2024")</f>
        <v/>
      </c>
      <c r="X283">
        <f>HYPERLINK("https://klasma.github.io/Logging_0780/tillsyn/A 14022-2024 tillsynsbegäran.docx", "A 14022-2024")</f>
        <v/>
      </c>
      <c r="Y283">
        <f>HYPERLINK("https://klasma.github.io/Logging_0780/tillsynsmail/A 14022-2024 tillsynsbegäran mail.docx", "A 14022-2024")</f>
        <v/>
      </c>
    </row>
    <row r="284" ht="15" customHeight="1">
      <c r="A284" t="inlineStr">
        <is>
          <t>A 16141-2024</t>
        </is>
      </c>
      <c r="B284" s="1" t="n">
        <v>45406</v>
      </c>
      <c r="C284" s="1" t="n">
        <v>45833</v>
      </c>
      <c r="D284" t="inlineStr">
        <is>
          <t>KRONOBERGS LÄN</t>
        </is>
      </c>
      <c r="E284" t="inlineStr">
        <is>
          <t>TINGSRYD</t>
        </is>
      </c>
      <c r="G284" t="n">
        <v>2.8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Ekoxe</t>
        </is>
      </c>
      <c r="S284">
        <f>HYPERLINK("https://klasma.github.io/Logging_0763/artfynd/A 16141-2024 artfynd.xlsx", "A 16141-2024")</f>
        <v/>
      </c>
      <c r="T284">
        <f>HYPERLINK("https://klasma.github.io/Logging_0763/kartor/A 16141-2024 karta.png", "A 16141-2024")</f>
        <v/>
      </c>
      <c r="V284">
        <f>HYPERLINK("https://klasma.github.io/Logging_0763/klagomål/A 16141-2024 FSC-klagomål.docx", "A 16141-2024")</f>
        <v/>
      </c>
      <c r="W284">
        <f>HYPERLINK("https://klasma.github.io/Logging_0763/klagomålsmail/A 16141-2024 FSC-klagomål mail.docx", "A 16141-2024")</f>
        <v/>
      </c>
      <c r="X284">
        <f>HYPERLINK("https://klasma.github.io/Logging_0763/tillsyn/A 16141-2024 tillsynsbegäran.docx", "A 16141-2024")</f>
        <v/>
      </c>
      <c r="Y284">
        <f>HYPERLINK("https://klasma.github.io/Logging_0763/tillsynsmail/A 16141-2024 tillsynsbegäran mail.docx", "A 16141-2024")</f>
        <v/>
      </c>
    </row>
    <row r="285" ht="15" customHeight="1">
      <c r="A285" t="inlineStr">
        <is>
          <t>A 17393-2024</t>
        </is>
      </c>
      <c r="B285" s="1" t="n">
        <v>45414</v>
      </c>
      <c r="C285" s="1" t="n">
        <v>45833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Västlig hakmossa</t>
        </is>
      </c>
      <c r="S285">
        <f>HYPERLINK("https://klasma.github.io/Logging_0764/artfynd/A 17393-2024 artfynd.xlsx", "A 17393-2024")</f>
        <v/>
      </c>
      <c r="T285">
        <f>HYPERLINK("https://klasma.github.io/Logging_0764/kartor/A 17393-2024 karta.png", "A 17393-2024")</f>
        <v/>
      </c>
      <c r="V285">
        <f>HYPERLINK("https://klasma.github.io/Logging_0764/klagomål/A 17393-2024 FSC-klagomål.docx", "A 17393-2024")</f>
        <v/>
      </c>
      <c r="W285">
        <f>HYPERLINK("https://klasma.github.io/Logging_0764/klagomålsmail/A 17393-2024 FSC-klagomål mail.docx", "A 17393-2024")</f>
        <v/>
      </c>
      <c r="X285">
        <f>HYPERLINK("https://klasma.github.io/Logging_0764/tillsyn/A 17393-2024 tillsynsbegäran.docx", "A 17393-2024")</f>
        <v/>
      </c>
      <c r="Y285">
        <f>HYPERLINK("https://klasma.github.io/Logging_0764/tillsynsmail/A 17393-2024 tillsynsbegäran mail.docx", "A 17393-2024")</f>
        <v/>
      </c>
    </row>
    <row r="286" ht="15" customHeight="1">
      <c r="A286" t="inlineStr">
        <is>
          <t>A 18593-2024</t>
        </is>
      </c>
      <c r="B286" s="1" t="n">
        <v>45425</v>
      </c>
      <c r="C286" s="1" t="n">
        <v>45833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HYPERLINK("https://klasma.github.io/Logging_0781/artfynd/A 18593-2024 artfynd.xlsx", "A 18593-2024")</f>
        <v/>
      </c>
      <c r="T286">
        <f>HYPERLINK("https://klasma.github.io/Logging_0781/kartor/A 18593-2024 karta.png", "A 18593-2024")</f>
        <v/>
      </c>
      <c r="U286">
        <f>HYPERLINK("https://klasma.github.io/Logging_0781/knärot/A 18593-2024 karta knärot.png", "A 18593-2024")</f>
        <v/>
      </c>
      <c r="V286">
        <f>HYPERLINK("https://klasma.github.io/Logging_0781/klagomål/A 18593-2024 FSC-klagomål.docx", "A 18593-2024")</f>
        <v/>
      </c>
      <c r="W286">
        <f>HYPERLINK("https://klasma.github.io/Logging_0781/klagomålsmail/A 18593-2024 FSC-klagomål mail.docx", "A 18593-2024")</f>
        <v/>
      </c>
      <c r="X286">
        <f>HYPERLINK("https://klasma.github.io/Logging_0781/tillsyn/A 18593-2024 tillsynsbegäran.docx", "A 18593-2024")</f>
        <v/>
      </c>
      <c r="Y286">
        <f>HYPERLINK("https://klasma.github.io/Logging_0781/tillsynsmail/A 18593-2024 tillsynsbegäran mail.docx", "A 18593-2024")</f>
        <v/>
      </c>
    </row>
    <row r="287" ht="15" customHeight="1">
      <c r="A287" t="inlineStr">
        <is>
          <t>A 18952-2024</t>
        </is>
      </c>
      <c r="B287" s="1" t="n">
        <v>45427</v>
      </c>
      <c r="C287" s="1" t="n">
        <v>45833</v>
      </c>
      <c r="D287" t="inlineStr">
        <is>
          <t>KRONOBERGS LÄN</t>
        </is>
      </c>
      <c r="E287" t="inlineStr">
        <is>
          <t>ÄLMHULT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Rapunkelklocka</t>
        </is>
      </c>
      <c r="S287">
        <f>HYPERLINK("https://klasma.github.io/Logging_0765/artfynd/A 18952-2024 artfynd.xlsx", "A 18952-2024")</f>
        <v/>
      </c>
      <c r="T287">
        <f>HYPERLINK("https://klasma.github.io/Logging_0765/kartor/A 18952-2024 karta.png", "A 18952-2024")</f>
        <v/>
      </c>
      <c r="V287">
        <f>HYPERLINK("https://klasma.github.io/Logging_0765/klagomål/A 18952-2024 FSC-klagomål.docx", "A 18952-2024")</f>
        <v/>
      </c>
      <c r="W287">
        <f>HYPERLINK("https://klasma.github.io/Logging_0765/klagomålsmail/A 18952-2024 FSC-klagomål mail.docx", "A 18952-2024")</f>
        <v/>
      </c>
      <c r="X287">
        <f>HYPERLINK("https://klasma.github.io/Logging_0765/tillsyn/A 18952-2024 tillsynsbegäran.docx", "A 18952-2024")</f>
        <v/>
      </c>
      <c r="Y287">
        <f>HYPERLINK("https://klasma.github.io/Logging_0765/tillsynsmail/A 18952-2024 tillsynsbegäran mail.docx", "A 18952-2024")</f>
        <v/>
      </c>
    </row>
    <row r="288" ht="15" customHeight="1">
      <c r="A288" t="inlineStr">
        <is>
          <t>A 20033-2024</t>
        </is>
      </c>
      <c r="B288" s="1" t="n">
        <v>45434</v>
      </c>
      <c r="C288" s="1" t="n">
        <v>45833</v>
      </c>
      <c r="D288" t="inlineStr">
        <is>
          <t>KRONOBERGS LÄN</t>
        </is>
      </c>
      <c r="E288" t="inlineStr">
        <is>
          <t>TINGSRYD</t>
        </is>
      </c>
      <c r="G288" t="n">
        <v>3.9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HYPERLINK("https://klasma.github.io/Logging_0763/artfynd/A 20033-2024 artfynd.xlsx", "A 20033-2024")</f>
        <v/>
      </c>
      <c r="T288">
        <f>HYPERLINK("https://klasma.github.io/Logging_0763/kartor/A 20033-2024 karta.png", "A 20033-2024")</f>
        <v/>
      </c>
      <c r="V288">
        <f>HYPERLINK("https://klasma.github.io/Logging_0763/klagomål/A 20033-2024 FSC-klagomål.docx", "A 20033-2024")</f>
        <v/>
      </c>
      <c r="W288">
        <f>HYPERLINK("https://klasma.github.io/Logging_0763/klagomålsmail/A 20033-2024 FSC-klagomål mail.docx", "A 20033-2024")</f>
        <v/>
      </c>
      <c r="X288">
        <f>HYPERLINK("https://klasma.github.io/Logging_0763/tillsyn/A 20033-2024 tillsynsbegäran.docx", "A 20033-2024")</f>
        <v/>
      </c>
      <c r="Y288">
        <f>HYPERLINK("https://klasma.github.io/Logging_0763/tillsynsmail/A 20033-2024 tillsynsbegäran mail.docx", "A 20033-2024")</f>
        <v/>
      </c>
    </row>
    <row r="289" ht="15" customHeight="1">
      <c r="A289" t="inlineStr">
        <is>
          <t>A 22238-2024</t>
        </is>
      </c>
      <c r="B289" s="1" t="n">
        <v>45446</v>
      </c>
      <c r="C289" s="1" t="n">
        <v>45833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Klockgentiana</t>
        </is>
      </c>
      <c r="S289">
        <f>HYPERLINK("https://klasma.github.io/Logging_0764/artfynd/A 22238-2024 artfynd.xlsx", "A 22238-2024")</f>
        <v/>
      </c>
      <c r="T289">
        <f>HYPERLINK("https://klasma.github.io/Logging_0764/kartor/A 22238-2024 karta.png", "A 22238-2024")</f>
        <v/>
      </c>
      <c r="V289">
        <f>HYPERLINK("https://klasma.github.io/Logging_0764/klagomål/A 22238-2024 FSC-klagomål.docx", "A 22238-2024")</f>
        <v/>
      </c>
      <c r="W289">
        <f>HYPERLINK("https://klasma.github.io/Logging_0764/klagomålsmail/A 22238-2024 FSC-klagomål mail.docx", "A 22238-2024")</f>
        <v/>
      </c>
      <c r="X289">
        <f>HYPERLINK("https://klasma.github.io/Logging_0764/tillsyn/A 22238-2024 tillsynsbegäran.docx", "A 22238-2024")</f>
        <v/>
      </c>
      <c r="Y289">
        <f>HYPERLINK("https://klasma.github.io/Logging_0764/tillsynsmail/A 22238-2024 tillsynsbegäran mail.docx", "A 22238-2024")</f>
        <v/>
      </c>
    </row>
    <row r="290" ht="15" customHeight="1">
      <c r="A290" t="inlineStr">
        <is>
          <t>A 22576-2024</t>
        </is>
      </c>
      <c r="B290" s="1" t="n">
        <v>45447</v>
      </c>
      <c r="C290" s="1" t="n">
        <v>45833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Loppstarr</t>
        </is>
      </c>
      <c r="S290">
        <f>HYPERLINK("https://klasma.github.io/Logging_0780/artfynd/A 22576-2024 artfynd.xlsx", "A 22576-2024")</f>
        <v/>
      </c>
      <c r="T290">
        <f>HYPERLINK("https://klasma.github.io/Logging_0780/kartor/A 22576-2024 karta.png", "A 22576-2024")</f>
        <v/>
      </c>
      <c r="V290">
        <f>HYPERLINK("https://klasma.github.io/Logging_0780/klagomål/A 22576-2024 FSC-klagomål.docx", "A 22576-2024")</f>
        <v/>
      </c>
      <c r="W290">
        <f>HYPERLINK("https://klasma.github.io/Logging_0780/klagomålsmail/A 22576-2024 FSC-klagomål mail.docx", "A 22576-2024")</f>
        <v/>
      </c>
      <c r="X290">
        <f>HYPERLINK("https://klasma.github.io/Logging_0780/tillsyn/A 22576-2024 tillsynsbegäran.docx", "A 22576-2024")</f>
        <v/>
      </c>
      <c r="Y290">
        <f>HYPERLINK("https://klasma.github.io/Logging_0780/tillsynsmail/A 22576-2024 tillsynsbegäran mail.docx", "A 22576-2024")</f>
        <v/>
      </c>
    </row>
    <row r="291" ht="15" customHeight="1">
      <c r="A291" t="inlineStr">
        <is>
          <t>A 25113-2024</t>
        </is>
      </c>
      <c r="B291" s="1" t="n">
        <v>45462</v>
      </c>
      <c r="C291" s="1" t="n">
        <v>45833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Hårklomossa</t>
        </is>
      </c>
      <c r="S291">
        <f>HYPERLINK("https://klasma.github.io/Logging_0764/artfynd/A 25113-2024 artfynd.xlsx", "A 25113-2024")</f>
        <v/>
      </c>
      <c r="T291">
        <f>HYPERLINK("https://klasma.github.io/Logging_0764/kartor/A 25113-2024 karta.png", "A 25113-2024")</f>
        <v/>
      </c>
      <c r="V291">
        <f>HYPERLINK("https://klasma.github.io/Logging_0764/klagomål/A 25113-2024 FSC-klagomål.docx", "A 25113-2024")</f>
        <v/>
      </c>
      <c r="W291">
        <f>HYPERLINK("https://klasma.github.io/Logging_0764/klagomålsmail/A 25113-2024 FSC-klagomål mail.docx", "A 25113-2024")</f>
        <v/>
      </c>
      <c r="X291">
        <f>HYPERLINK("https://klasma.github.io/Logging_0764/tillsyn/A 25113-2024 tillsynsbegäran.docx", "A 25113-2024")</f>
        <v/>
      </c>
      <c r="Y291">
        <f>HYPERLINK("https://klasma.github.io/Logging_0764/tillsynsmail/A 25113-2024 tillsynsbegäran mail.docx", "A 25113-2024")</f>
        <v/>
      </c>
    </row>
    <row r="292" ht="15" customHeight="1">
      <c r="A292" t="inlineStr">
        <is>
          <t>A 26608-2024</t>
        </is>
      </c>
      <c r="B292" s="1" t="n">
        <v>45469</v>
      </c>
      <c r="C292" s="1" t="n">
        <v>45833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Havstulpanlav</t>
        </is>
      </c>
      <c r="S292">
        <f>HYPERLINK("https://klasma.github.io/Logging_0765/artfynd/A 26608-2024 artfynd.xlsx", "A 26608-2024")</f>
        <v/>
      </c>
      <c r="T292">
        <f>HYPERLINK("https://klasma.github.io/Logging_0765/kartor/A 26608-2024 karta.png", "A 26608-2024")</f>
        <v/>
      </c>
      <c r="V292">
        <f>HYPERLINK("https://klasma.github.io/Logging_0765/klagomål/A 26608-2024 FSC-klagomål.docx", "A 26608-2024")</f>
        <v/>
      </c>
      <c r="W292">
        <f>HYPERLINK("https://klasma.github.io/Logging_0765/klagomålsmail/A 26608-2024 FSC-klagomål mail.docx", "A 26608-2024")</f>
        <v/>
      </c>
      <c r="X292">
        <f>HYPERLINK("https://klasma.github.io/Logging_0765/tillsyn/A 26608-2024 tillsynsbegäran.docx", "A 26608-2024")</f>
        <v/>
      </c>
      <c r="Y292">
        <f>HYPERLINK("https://klasma.github.io/Logging_0765/tillsynsmail/A 26608-2024 tillsynsbegäran mail.docx", "A 26608-2024")</f>
        <v/>
      </c>
    </row>
    <row r="293" ht="15" customHeight="1">
      <c r="A293" t="inlineStr">
        <is>
          <t>A 26726-2024</t>
        </is>
      </c>
      <c r="B293" s="1" t="n">
        <v>45470</v>
      </c>
      <c r="C293" s="1" t="n">
        <v>45833</v>
      </c>
      <c r="D293" t="inlineStr">
        <is>
          <t>KRONOBERGS LÄN</t>
        </is>
      </c>
      <c r="E293" t="inlineStr">
        <is>
          <t>ALVESTA</t>
        </is>
      </c>
      <c r="G293" t="n">
        <v>4.3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HYPERLINK("https://klasma.github.io/Logging_0764/artfynd/A 26726-2024 artfynd.xlsx", "A 26726-2024")</f>
        <v/>
      </c>
      <c r="T293">
        <f>HYPERLINK("https://klasma.github.io/Logging_0764/kartor/A 26726-2024 karta.png", "A 26726-2024")</f>
        <v/>
      </c>
      <c r="V293">
        <f>HYPERLINK("https://klasma.github.io/Logging_0764/klagomål/A 26726-2024 FSC-klagomål.docx", "A 26726-2024")</f>
        <v/>
      </c>
      <c r="W293">
        <f>HYPERLINK("https://klasma.github.io/Logging_0764/klagomålsmail/A 26726-2024 FSC-klagomål mail.docx", "A 26726-2024")</f>
        <v/>
      </c>
      <c r="X293">
        <f>HYPERLINK("https://klasma.github.io/Logging_0764/tillsyn/A 26726-2024 tillsynsbegäran.docx", "A 26726-2024")</f>
        <v/>
      </c>
      <c r="Y293">
        <f>HYPERLINK("https://klasma.github.io/Logging_0764/tillsynsmail/A 26726-2024 tillsynsbegäran mail.docx", "A 26726-2024")</f>
        <v/>
      </c>
    </row>
    <row r="294" ht="15" customHeight="1">
      <c r="A294" t="inlineStr">
        <is>
          <t>A 27081-2024</t>
        </is>
      </c>
      <c r="B294" s="1" t="n">
        <v>45471</v>
      </c>
      <c r="C294" s="1" t="n">
        <v>45833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Blåmossa</t>
        </is>
      </c>
      <c r="S294">
        <f>HYPERLINK("https://klasma.github.io/Logging_0764/artfynd/A 27081-2024 artfynd.xlsx", "A 27081-2024")</f>
        <v/>
      </c>
      <c r="T294">
        <f>HYPERLINK("https://klasma.github.io/Logging_0764/kartor/A 27081-2024 karta.png", "A 27081-2024")</f>
        <v/>
      </c>
      <c r="V294">
        <f>HYPERLINK("https://klasma.github.io/Logging_0764/klagomål/A 27081-2024 FSC-klagomål.docx", "A 27081-2024")</f>
        <v/>
      </c>
      <c r="W294">
        <f>HYPERLINK("https://klasma.github.io/Logging_0764/klagomålsmail/A 27081-2024 FSC-klagomål mail.docx", "A 27081-2024")</f>
        <v/>
      </c>
      <c r="X294">
        <f>HYPERLINK("https://klasma.github.io/Logging_0764/tillsyn/A 27081-2024 tillsynsbegäran.docx", "A 27081-2024")</f>
        <v/>
      </c>
      <c r="Y294">
        <f>HYPERLINK("https://klasma.github.io/Logging_0764/tillsynsmail/A 27081-2024 tillsynsbegäran mail.docx", "A 27081-2024")</f>
        <v/>
      </c>
    </row>
    <row r="295" ht="15" customHeight="1">
      <c r="A295" t="inlineStr">
        <is>
          <t>A 28019-2024</t>
        </is>
      </c>
      <c r="B295" s="1" t="n">
        <v>45476</v>
      </c>
      <c r="C295" s="1" t="n">
        <v>45833</v>
      </c>
      <c r="D295" t="inlineStr">
        <is>
          <t>KRONOBERGS LÄN</t>
        </is>
      </c>
      <c r="E295" t="inlineStr">
        <is>
          <t>LJUNGBY</t>
        </is>
      </c>
      <c r="G295" t="n">
        <v>3.5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Spindelblomster</t>
        </is>
      </c>
      <c r="S295">
        <f>HYPERLINK("https://klasma.github.io/Logging_0781/artfynd/A 28019-2024 artfynd.xlsx", "A 28019-2024")</f>
        <v/>
      </c>
      <c r="T295">
        <f>HYPERLINK("https://klasma.github.io/Logging_0781/kartor/A 28019-2024 karta.png", "A 28019-2024")</f>
        <v/>
      </c>
      <c r="V295">
        <f>HYPERLINK("https://klasma.github.io/Logging_0781/klagomål/A 28019-2024 FSC-klagomål.docx", "A 28019-2024")</f>
        <v/>
      </c>
      <c r="W295">
        <f>HYPERLINK("https://klasma.github.io/Logging_0781/klagomålsmail/A 28019-2024 FSC-klagomål mail.docx", "A 28019-2024")</f>
        <v/>
      </c>
      <c r="X295">
        <f>HYPERLINK("https://klasma.github.io/Logging_0781/tillsyn/A 28019-2024 tillsynsbegäran.docx", "A 28019-2024")</f>
        <v/>
      </c>
      <c r="Y295">
        <f>HYPERLINK("https://klasma.github.io/Logging_0781/tillsynsmail/A 28019-2024 tillsynsbegäran mail.docx", "A 28019-2024")</f>
        <v/>
      </c>
    </row>
    <row r="296" ht="15" customHeight="1">
      <c r="A296" t="inlineStr">
        <is>
          <t>A 28041-2024</t>
        </is>
      </c>
      <c r="B296" s="1" t="n">
        <v>45476</v>
      </c>
      <c r="C296" s="1" t="n">
        <v>45833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HYPERLINK("https://klasma.github.io/Logging_0781/artfynd/A 28041-2024 artfynd.xlsx", "A 28041-2024")</f>
        <v/>
      </c>
      <c r="T296">
        <f>HYPERLINK("https://klasma.github.io/Logging_0781/kartor/A 28041-2024 karta.png", "A 28041-2024")</f>
        <v/>
      </c>
      <c r="V296">
        <f>HYPERLINK("https://klasma.github.io/Logging_0781/klagomål/A 28041-2024 FSC-klagomål.docx", "A 28041-2024")</f>
        <v/>
      </c>
      <c r="W296">
        <f>HYPERLINK("https://klasma.github.io/Logging_0781/klagomålsmail/A 28041-2024 FSC-klagomål mail.docx", "A 28041-2024")</f>
        <v/>
      </c>
      <c r="X296">
        <f>HYPERLINK("https://klasma.github.io/Logging_0781/tillsyn/A 28041-2024 tillsynsbegäran.docx", "A 28041-2024")</f>
        <v/>
      </c>
      <c r="Y296">
        <f>HYPERLINK("https://klasma.github.io/Logging_0781/tillsynsmail/A 28041-2024 tillsynsbegäran mail.docx", "A 28041-2024")</f>
        <v/>
      </c>
    </row>
    <row r="297" ht="15" customHeight="1">
      <c r="A297" t="inlineStr">
        <is>
          <t>A 30112-2024</t>
        </is>
      </c>
      <c r="B297" s="1" t="n">
        <v>45489</v>
      </c>
      <c r="C297" s="1" t="n">
        <v>45833</v>
      </c>
      <c r="D297" t="inlineStr">
        <is>
          <t>KRONOBERGS LÄN</t>
        </is>
      </c>
      <c r="E297" t="inlineStr">
        <is>
          <t>UPPVIDINGE</t>
        </is>
      </c>
      <c r="G297" t="n">
        <v>3.4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Etternässla</t>
        </is>
      </c>
      <c r="S297">
        <f>HYPERLINK("https://klasma.github.io/Logging_0760/artfynd/A 30112-2024 artfynd.xlsx", "A 30112-2024")</f>
        <v/>
      </c>
      <c r="T297">
        <f>HYPERLINK("https://klasma.github.io/Logging_0760/kartor/A 30112-2024 karta.png", "A 30112-2024")</f>
        <v/>
      </c>
      <c r="V297">
        <f>HYPERLINK("https://klasma.github.io/Logging_0760/klagomål/A 30112-2024 FSC-klagomål.docx", "A 30112-2024")</f>
        <v/>
      </c>
      <c r="W297">
        <f>HYPERLINK("https://klasma.github.io/Logging_0760/klagomålsmail/A 30112-2024 FSC-klagomål mail.docx", "A 30112-2024")</f>
        <v/>
      </c>
      <c r="X297">
        <f>HYPERLINK("https://klasma.github.io/Logging_0760/tillsyn/A 30112-2024 tillsynsbegäran.docx", "A 30112-2024")</f>
        <v/>
      </c>
      <c r="Y297">
        <f>HYPERLINK("https://klasma.github.io/Logging_0760/tillsynsmail/A 30112-2024 tillsynsbegäran mail.docx", "A 30112-2024")</f>
        <v/>
      </c>
    </row>
    <row r="298" ht="15" customHeight="1">
      <c r="A298" t="inlineStr">
        <is>
          <t>A 30317-2024</t>
        </is>
      </c>
      <c r="B298" s="1" t="n">
        <v>45490</v>
      </c>
      <c r="C298" s="1" t="n">
        <v>45833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2.7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Scharlakansskål</t>
        </is>
      </c>
      <c r="S298">
        <f>HYPERLINK("https://klasma.github.io/Logging_0780/artfynd/A 30317-2024 artfynd.xlsx", "A 30317-2024")</f>
        <v/>
      </c>
      <c r="T298">
        <f>HYPERLINK("https://klasma.github.io/Logging_0780/kartor/A 30317-2024 karta.png", "A 30317-2024")</f>
        <v/>
      </c>
      <c r="V298">
        <f>HYPERLINK("https://klasma.github.io/Logging_0780/klagomål/A 30317-2024 FSC-klagomål.docx", "A 30317-2024")</f>
        <v/>
      </c>
      <c r="W298">
        <f>HYPERLINK("https://klasma.github.io/Logging_0780/klagomålsmail/A 30317-2024 FSC-klagomål mail.docx", "A 30317-2024")</f>
        <v/>
      </c>
      <c r="X298">
        <f>HYPERLINK("https://klasma.github.io/Logging_0780/tillsyn/A 30317-2024 tillsynsbegäran.docx", "A 30317-2024")</f>
        <v/>
      </c>
      <c r="Y298">
        <f>HYPERLINK("https://klasma.github.io/Logging_0780/tillsynsmail/A 30317-2024 tillsynsbegäran mail.docx", "A 30317-2024")</f>
        <v/>
      </c>
    </row>
    <row r="299" ht="15" customHeight="1">
      <c r="A299" t="inlineStr">
        <is>
          <t>A 34935-2024</t>
        </is>
      </c>
      <c r="B299" s="1" t="n">
        <v>45527</v>
      </c>
      <c r="C299" s="1" t="n">
        <v>45833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Hårginst</t>
        </is>
      </c>
      <c r="S299">
        <f>HYPERLINK("https://klasma.github.io/Logging_0781/artfynd/A 34935-2024 artfynd.xlsx", "A 34935-2024")</f>
        <v/>
      </c>
      <c r="T299">
        <f>HYPERLINK("https://klasma.github.io/Logging_0781/kartor/A 34935-2024 karta.png", "A 34935-2024")</f>
        <v/>
      </c>
      <c r="V299">
        <f>HYPERLINK("https://klasma.github.io/Logging_0781/klagomål/A 34935-2024 FSC-klagomål.docx", "A 34935-2024")</f>
        <v/>
      </c>
      <c r="W299">
        <f>HYPERLINK("https://klasma.github.io/Logging_0781/klagomålsmail/A 34935-2024 FSC-klagomål mail.docx", "A 34935-2024")</f>
        <v/>
      </c>
      <c r="X299">
        <f>HYPERLINK("https://klasma.github.io/Logging_0781/tillsyn/A 34935-2024 tillsynsbegäran.docx", "A 34935-2024")</f>
        <v/>
      </c>
      <c r="Y299">
        <f>HYPERLINK("https://klasma.github.io/Logging_0781/tillsynsmail/A 34935-2024 tillsynsbegäran mail.docx", "A 34935-2024")</f>
        <v/>
      </c>
    </row>
    <row r="300" ht="15" customHeight="1">
      <c r="A300" t="inlineStr">
        <is>
          <t>A 35901-2024</t>
        </is>
      </c>
      <c r="B300" s="1" t="n">
        <v>45533</v>
      </c>
      <c r="C300" s="1" t="n">
        <v>45833</v>
      </c>
      <c r="D300" t="inlineStr">
        <is>
          <t>KRONOBERGS LÄN</t>
        </is>
      </c>
      <c r="E300" t="inlineStr">
        <is>
          <t>VÄXJÖ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Tjäder</t>
        </is>
      </c>
      <c r="S300">
        <f>HYPERLINK("https://klasma.github.io/Logging_0780/artfynd/A 35901-2024 artfynd.xlsx", "A 35901-2024")</f>
        <v/>
      </c>
      <c r="T300">
        <f>HYPERLINK("https://klasma.github.io/Logging_0780/kartor/A 35901-2024 karta.png", "A 35901-2024")</f>
        <v/>
      </c>
      <c r="V300">
        <f>HYPERLINK("https://klasma.github.io/Logging_0780/klagomål/A 35901-2024 FSC-klagomål.docx", "A 35901-2024")</f>
        <v/>
      </c>
      <c r="W300">
        <f>HYPERLINK("https://klasma.github.io/Logging_0780/klagomålsmail/A 35901-2024 FSC-klagomål mail.docx", "A 35901-2024")</f>
        <v/>
      </c>
      <c r="X300">
        <f>HYPERLINK("https://klasma.github.io/Logging_0780/tillsyn/A 35901-2024 tillsynsbegäran.docx", "A 35901-2024")</f>
        <v/>
      </c>
      <c r="Y300">
        <f>HYPERLINK("https://klasma.github.io/Logging_0780/tillsynsmail/A 35901-2024 tillsynsbegäran mail.docx", "A 35901-2024")</f>
        <v/>
      </c>
      <c r="Z300">
        <f>HYPERLINK("https://klasma.github.io/Logging_0780/fåglar/A 35901-2024 prioriterade fågelarter.docx", "A 35901-2024")</f>
        <v/>
      </c>
    </row>
    <row r="301" ht="15" customHeight="1">
      <c r="A301" t="inlineStr">
        <is>
          <t>A 38036-2024</t>
        </is>
      </c>
      <c r="B301" s="1" t="n">
        <v>45544</v>
      </c>
      <c r="C301" s="1" t="n">
        <v>45833</v>
      </c>
      <c r="D301" t="inlineStr">
        <is>
          <t>KRONOBERGS LÄN</t>
        </is>
      </c>
      <c r="E301" t="inlineStr">
        <is>
          <t>VÄXJÖ</t>
        </is>
      </c>
      <c r="F301" t="inlineStr">
        <is>
          <t>Övriga Aktiebolag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Nattviol</t>
        </is>
      </c>
      <c r="S301">
        <f>HYPERLINK("https://klasma.github.io/Logging_0780/artfynd/A 38036-2024 artfynd.xlsx", "A 38036-2024")</f>
        <v/>
      </c>
      <c r="T301">
        <f>HYPERLINK("https://klasma.github.io/Logging_0780/kartor/A 38036-2024 karta.png", "A 38036-2024")</f>
        <v/>
      </c>
      <c r="V301">
        <f>HYPERLINK("https://klasma.github.io/Logging_0780/klagomål/A 38036-2024 FSC-klagomål.docx", "A 38036-2024")</f>
        <v/>
      </c>
      <c r="W301">
        <f>HYPERLINK("https://klasma.github.io/Logging_0780/klagomålsmail/A 38036-2024 FSC-klagomål mail.docx", "A 38036-2024")</f>
        <v/>
      </c>
      <c r="X301">
        <f>HYPERLINK("https://klasma.github.io/Logging_0780/tillsyn/A 38036-2024 tillsynsbegäran.docx", "A 38036-2024")</f>
        <v/>
      </c>
      <c r="Y301">
        <f>HYPERLINK("https://klasma.github.io/Logging_0780/tillsynsmail/A 38036-2024 tillsynsbegäran mail.docx", "A 38036-2024")</f>
        <v/>
      </c>
    </row>
    <row r="302" ht="15" customHeight="1">
      <c r="A302" t="inlineStr">
        <is>
          <t>A 38339-2024</t>
        </is>
      </c>
      <c r="B302" s="1" t="n">
        <v>45545</v>
      </c>
      <c r="C302" s="1" t="n">
        <v>45833</v>
      </c>
      <c r="D302" t="inlineStr">
        <is>
          <t>KRONOBERGS LÄN</t>
        </is>
      </c>
      <c r="E302" t="inlineStr">
        <is>
          <t>VÄXJÖ</t>
        </is>
      </c>
      <c r="G302" t="n">
        <v>4.9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Tallriska</t>
        </is>
      </c>
      <c r="S302">
        <f>HYPERLINK("https://klasma.github.io/Logging_0780/artfynd/A 38339-2024 artfynd.xlsx", "A 38339-2024")</f>
        <v/>
      </c>
      <c r="T302">
        <f>HYPERLINK("https://klasma.github.io/Logging_0780/kartor/A 38339-2024 karta.png", "A 38339-2024")</f>
        <v/>
      </c>
      <c r="V302">
        <f>HYPERLINK("https://klasma.github.io/Logging_0780/klagomål/A 38339-2024 FSC-klagomål.docx", "A 38339-2024")</f>
        <v/>
      </c>
      <c r="W302">
        <f>HYPERLINK("https://klasma.github.io/Logging_0780/klagomålsmail/A 38339-2024 FSC-klagomål mail.docx", "A 38339-2024")</f>
        <v/>
      </c>
      <c r="X302">
        <f>HYPERLINK("https://klasma.github.io/Logging_0780/tillsyn/A 38339-2024 tillsynsbegäran.docx", "A 38339-2024")</f>
        <v/>
      </c>
      <c r="Y302">
        <f>HYPERLINK("https://klasma.github.io/Logging_0780/tillsynsmail/A 38339-2024 tillsynsbegäran mail.docx", "A 38339-2024")</f>
        <v/>
      </c>
    </row>
    <row r="303" ht="15" customHeight="1">
      <c r="A303" t="inlineStr">
        <is>
          <t>A 38523-2024</t>
        </is>
      </c>
      <c r="B303" s="1" t="n">
        <v>45546</v>
      </c>
      <c r="C303" s="1" t="n">
        <v>45833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HYPERLINK("https://klasma.github.io/Logging_0763/artfynd/A 38523-2024 artfynd.xlsx", "A 38523-2024")</f>
        <v/>
      </c>
      <c r="T303">
        <f>HYPERLINK("https://klasma.github.io/Logging_0763/kartor/A 38523-2024 karta.png", "A 38523-2024")</f>
        <v/>
      </c>
      <c r="V303">
        <f>HYPERLINK("https://klasma.github.io/Logging_0763/klagomål/A 38523-2024 FSC-klagomål.docx", "A 38523-2024")</f>
        <v/>
      </c>
      <c r="W303">
        <f>HYPERLINK("https://klasma.github.io/Logging_0763/klagomålsmail/A 38523-2024 FSC-klagomål mail.docx", "A 38523-2024")</f>
        <v/>
      </c>
      <c r="X303">
        <f>HYPERLINK("https://klasma.github.io/Logging_0763/tillsyn/A 38523-2024 tillsynsbegäran.docx", "A 38523-2024")</f>
        <v/>
      </c>
      <c r="Y303">
        <f>HYPERLINK("https://klasma.github.io/Logging_0763/tillsynsmail/A 38523-2024 tillsynsbegäran mail.docx", "A 38523-2024")</f>
        <v/>
      </c>
    </row>
    <row r="304" ht="15" customHeight="1">
      <c r="A304" t="inlineStr">
        <is>
          <t>A 38890-2024</t>
        </is>
      </c>
      <c r="B304" s="1" t="n">
        <v>45547</v>
      </c>
      <c r="C304" s="1" t="n">
        <v>45833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Hårklomossa</t>
        </is>
      </c>
      <c r="S304">
        <f>HYPERLINK("https://klasma.github.io/Logging_0764/artfynd/A 38890-2024 artfynd.xlsx", "A 38890-2024")</f>
        <v/>
      </c>
      <c r="T304">
        <f>HYPERLINK("https://klasma.github.io/Logging_0764/kartor/A 38890-2024 karta.png", "A 38890-2024")</f>
        <v/>
      </c>
      <c r="V304">
        <f>HYPERLINK("https://klasma.github.io/Logging_0764/klagomål/A 38890-2024 FSC-klagomål.docx", "A 38890-2024")</f>
        <v/>
      </c>
      <c r="W304">
        <f>HYPERLINK("https://klasma.github.io/Logging_0764/klagomålsmail/A 38890-2024 FSC-klagomål mail.docx", "A 38890-2024")</f>
        <v/>
      </c>
      <c r="X304">
        <f>HYPERLINK("https://klasma.github.io/Logging_0764/tillsyn/A 38890-2024 tillsynsbegäran.docx", "A 38890-2024")</f>
        <v/>
      </c>
      <c r="Y304">
        <f>HYPERLINK("https://klasma.github.io/Logging_0764/tillsynsmail/A 38890-2024 tillsynsbegäran mail.docx", "A 38890-2024")</f>
        <v/>
      </c>
    </row>
    <row r="305" ht="15" customHeight="1">
      <c r="A305" t="inlineStr">
        <is>
          <t>A 40266-2024</t>
        </is>
      </c>
      <c r="B305" s="1" t="n">
        <v>45554</v>
      </c>
      <c r="C305" s="1" t="n">
        <v>45833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Mindre bastardsvärmare</t>
        </is>
      </c>
      <c r="S305">
        <f>HYPERLINK("https://klasma.github.io/Logging_0780/artfynd/A 40266-2024 artfynd.xlsx", "A 40266-2024")</f>
        <v/>
      </c>
      <c r="T305">
        <f>HYPERLINK("https://klasma.github.io/Logging_0780/kartor/A 40266-2024 karta.png", "A 40266-2024")</f>
        <v/>
      </c>
      <c r="V305">
        <f>HYPERLINK("https://klasma.github.io/Logging_0780/klagomål/A 40266-2024 FSC-klagomål.docx", "A 40266-2024")</f>
        <v/>
      </c>
      <c r="W305">
        <f>HYPERLINK("https://klasma.github.io/Logging_0780/klagomålsmail/A 40266-2024 FSC-klagomål mail.docx", "A 40266-2024")</f>
        <v/>
      </c>
      <c r="X305">
        <f>HYPERLINK("https://klasma.github.io/Logging_0780/tillsyn/A 40266-2024 tillsynsbegäran.docx", "A 40266-2024")</f>
        <v/>
      </c>
      <c r="Y305">
        <f>HYPERLINK("https://klasma.github.io/Logging_0780/tillsynsmail/A 40266-2024 tillsynsbegäran mail.docx", "A 40266-2024")</f>
        <v/>
      </c>
    </row>
    <row r="306" ht="15" customHeight="1">
      <c r="A306" t="inlineStr">
        <is>
          <t>A 40560-2024</t>
        </is>
      </c>
      <c r="B306" s="1" t="n">
        <v>45555</v>
      </c>
      <c r="C306" s="1" t="n">
        <v>45833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HYPERLINK("https://klasma.github.io/Logging_0781/artfynd/A 40560-2024 artfynd.xlsx", "A 40560-2024")</f>
        <v/>
      </c>
      <c r="T306">
        <f>HYPERLINK("https://klasma.github.io/Logging_0781/kartor/A 40560-2024 karta.png", "A 40560-2024")</f>
        <v/>
      </c>
      <c r="V306">
        <f>HYPERLINK("https://klasma.github.io/Logging_0781/klagomål/A 40560-2024 FSC-klagomål.docx", "A 40560-2024")</f>
        <v/>
      </c>
      <c r="W306">
        <f>HYPERLINK("https://klasma.github.io/Logging_0781/klagomålsmail/A 40560-2024 FSC-klagomål mail.docx", "A 40560-2024")</f>
        <v/>
      </c>
      <c r="X306">
        <f>HYPERLINK("https://klasma.github.io/Logging_0781/tillsyn/A 40560-2024 tillsynsbegäran.docx", "A 40560-2024")</f>
        <v/>
      </c>
      <c r="Y306">
        <f>HYPERLINK("https://klasma.github.io/Logging_0781/tillsynsmail/A 40560-2024 tillsynsbegäran mail.docx", "A 40560-2024")</f>
        <v/>
      </c>
      <c r="Z306">
        <f>HYPERLINK("https://klasma.github.io/Logging_0781/fåglar/A 40560-2024 prioriterade fågelarter.docx", "A 40560-2024")</f>
        <v/>
      </c>
    </row>
    <row r="307" ht="15" customHeight="1">
      <c r="A307" t="inlineStr">
        <is>
          <t>A 40911-2024</t>
        </is>
      </c>
      <c r="B307" s="1" t="n">
        <v>45558</v>
      </c>
      <c r="C307" s="1" t="n">
        <v>45833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40911-2024 artfynd.xlsx", "A 40911-2024")</f>
        <v/>
      </c>
      <c r="T307">
        <f>HYPERLINK("https://klasma.github.io/Logging_0781/kartor/A 40911-2024 karta.png", "A 40911-2024")</f>
        <v/>
      </c>
      <c r="V307">
        <f>HYPERLINK("https://klasma.github.io/Logging_0781/klagomål/A 40911-2024 FSC-klagomål.docx", "A 40911-2024")</f>
        <v/>
      </c>
      <c r="W307">
        <f>HYPERLINK("https://klasma.github.io/Logging_0781/klagomålsmail/A 40911-2024 FSC-klagomål mail.docx", "A 40911-2024")</f>
        <v/>
      </c>
      <c r="X307">
        <f>HYPERLINK("https://klasma.github.io/Logging_0781/tillsyn/A 40911-2024 tillsynsbegäran.docx", "A 40911-2024")</f>
        <v/>
      </c>
      <c r="Y307">
        <f>HYPERLINK("https://klasma.github.io/Logging_0781/tillsynsmail/A 40911-2024 tillsynsbegäran mail.docx", "A 40911-2024")</f>
        <v/>
      </c>
    </row>
    <row r="308" ht="15" customHeight="1">
      <c r="A308" t="inlineStr">
        <is>
          <t>A 42487-2024</t>
        </is>
      </c>
      <c r="B308" s="1" t="n">
        <v>45565</v>
      </c>
      <c r="C308" s="1" t="n">
        <v>45833</v>
      </c>
      <c r="D308" t="inlineStr">
        <is>
          <t>KRONOBERGS LÄN</t>
        </is>
      </c>
      <c r="E308" t="inlineStr">
        <is>
          <t>TINGSRYD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Spillkråka</t>
        </is>
      </c>
      <c r="S308">
        <f>HYPERLINK("https://klasma.github.io/Logging_0763/artfynd/A 42487-2024 artfynd.xlsx", "A 42487-2024")</f>
        <v/>
      </c>
      <c r="T308">
        <f>HYPERLINK("https://klasma.github.io/Logging_0763/kartor/A 42487-2024 karta.png", "A 42487-2024")</f>
        <v/>
      </c>
      <c r="V308">
        <f>HYPERLINK("https://klasma.github.io/Logging_0763/klagomål/A 42487-2024 FSC-klagomål.docx", "A 42487-2024")</f>
        <v/>
      </c>
      <c r="W308">
        <f>HYPERLINK("https://klasma.github.io/Logging_0763/klagomålsmail/A 42487-2024 FSC-klagomål mail.docx", "A 42487-2024")</f>
        <v/>
      </c>
      <c r="X308">
        <f>HYPERLINK("https://klasma.github.io/Logging_0763/tillsyn/A 42487-2024 tillsynsbegäran.docx", "A 42487-2024")</f>
        <v/>
      </c>
      <c r="Y308">
        <f>HYPERLINK("https://klasma.github.io/Logging_0763/tillsynsmail/A 42487-2024 tillsynsbegäran mail.docx", "A 42487-2024")</f>
        <v/>
      </c>
      <c r="Z308">
        <f>HYPERLINK("https://klasma.github.io/Logging_0763/fåglar/A 42487-2024 prioriterade fågelarter.docx", "A 42487-2024")</f>
        <v/>
      </c>
    </row>
    <row r="309" ht="15" customHeight="1">
      <c r="A309" t="inlineStr">
        <is>
          <t>A 43653-2024</t>
        </is>
      </c>
      <c r="B309" s="1" t="n">
        <v>45569</v>
      </c>
      <c r="C309" s="1" t="n">
        <v>45833</v>
      </c>
      <c r="D309" t="inlineStr">
        <is>
          <t>KRONOBERGS LÄN</t>
        </is>
      </c>
      <c r="E309" t="inlineStr">
        <is>
          <t>LJUNGBY</t>
        </is>
      </c>
      <c r="G309" t="n">
        <v>11.6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HYPERLINK("https://klasma.github.io/Logging_0781/artfynd/A 43653-2024 artfynd.xlsx", "A 43653-2024")</f>
        <v/>
      </c>
      <c r="T309">
        <f>HYPERLINK("https://klasma.github.io/Logging_0781/kartor/A 43653-2024 karta.png", "A 43653-2024")</f>
        <v/>
      </c>
      <c r="V309">
        <f>HYPERLINK("https://klasma.github.io/Logging_0781/klagomål/A 43653-2024 FSC-klagomål.docx", "A 43653-2024")</f>
        <v/>
      </c>
      <c r="W309">
        <f>HYPERLINK("https://klasma.github.io/Logging_0781/klagomålsmail/A 43653-2024 FSC-klagomål mail.docx", "A 43653-2024")</f>
        <v/>
      </c>
      <c r="X309">
        <f>HYPERLINK("https://klasma.github.io/Logging_0781/tillsyn/A 43653-2024 tillsynsbegäran.docx", "A 43653-2024")</f>
        <v/>
      </c>
      <c r="Y309">
        <f>HYPERLINK("https://klasma.github.io/Logging_0781/tillsynsmail/A 43653-2024 tillsynsbegäran mail.docx", "A 43653-2024")</f>
        <v/>
      </c>
    </row>
    <row r="310" ht="15" customHeight="1">
      <c r="A310" t="inlineStr">
        <is>
          <t>A 44406-2024</t>
        </is>
      </c>
      <c r="B310" s="1" t="n">
        <v>45573</v>
      </c>
      <c r="C310" s="1" t="n">
        <v>45833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HYPERLINK("https://klasma.github.io/Logging_0764/artfynd/A 44406-2024 artfynd.xlsx", "A 44406-2024")</f>
        <v/>
      </c>
      <c r="T310">
        <f>HYPERLINK("https://klasma.github.io/Logging_0764/kartor/A 44406-2024 karta.png", "A 44406-2024")</f>
        <v/>
      </c>
      <c r="V310">
        <f>HYPERLINK("https://klasma.github.io/Logging_0764/klagomål/A 44406-2024 FSC-klagomål.docx", "A 44406-2024")</f>
        <v/>
      </c>
      <c r="W310">
        <f>HYPERLINK("https://klasma.github.io/Logging_0764/klagomålsmail/A 44406-2024 FSC-klagomål mail.docx", "A 44406-2024")</f>
        <v/>
      </c>
      <c r="X310">
        <f>HYPERLINK("https://klasma.github.io/Logging_0764/tillsyn/A 44406-2024 tillsynsbegäran.docx", "A 44406-2024")</f>
        <v/>
      </c>
      <c r="Y310">
        <f>HYPERLINK("https://klasma.github.io/Logging_0764/tillsynsmail/A 44406-2024 tillsynsbegäran mail.docx", "A 44406-2024")</f>
        <v/>
      </c>
    </row>
    <row r="311" ht="15" customHeight="1">
      <c r="A311" t="inlineStr">
        <is>
          <t>A 46344-2024</t>
        </is>
      </c>
      <c r="B311" s="1" t="n">
        <v>45582</v>
      </c>
      <c r="C311" s="1" t="n">
        <v>45833</v>
      </c>
      <c r="D311" t="inlineStr">
        <is>
          <t>KRONOBERGS LÄN</t>
        </is>
      </c>
      <c r="E311" t="inlineStr">
        <is>
          <t>ALVESTA</t>
        </is>
      </c>
      <c r="G311" t="n">
        <v>4.1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HYPERLINK("https://klasma.github.io/Logging_0764/artfynd/A 46344-2024 artfynd.xlsx", "A 46344-2024")</f>
        <v/>
      </c>
      <c r="T311">
        <f>HYPERLINK("https://klasma.github.io/Logging_0764/kartor/A 46344-2024 karta.png", "A 46344-2024")</f>
        <v/>
      </c>
      <c r="V311">
        <f>HYPERLINK("https://klasma.github.io/Logging_0764/klagomål/A 46344-2024 FSC-klagomål.docx", "A 46344-2024")</f>
        <v/>
      </c>
      <c r="W311">
        <f>HYPERLINK("https://klasma.github.io/Logging_0764/klagomålsmail/A 46344-2024 FSC-klagomål mail.docx", "A 46344-2024")</f>
        <v/>
      </c>
      <c r="X311">
        <f>HYPERLINK("https://klasma.github.io/Logging_0764/tillsyn/A 46344-2024 tillsynsbegäran.docx", "A 46344-2024")</f>
        <v/>
      </c>
      <c r="Y311">
        <f>HYPERLINK("https://klasma.github.io/Logging_0764/tillsynsmail/A 46344-2024 tillsynsbegäran mail.docx", "A 46344-2024")</f>
        <v/>
      </c>
    </row>
    <row r="312" ht="15" customHeight="1">
      <c r="A312" t="inlineStr">
        <is>
          <t>A 51647-2024</t>
        </is>
      </c>
      <c r="B312" s="1" t="n">
        <v>45606</v>
      </c>
      <c r="C312" s="1" t="n">
        <v>45833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Granspira</t>
        </is>
      </c>
      <c r="S312">
        <f>HYPERLINK("https://klasma.github.io/Logging_0780/artfynd/A 51647-2024 artfynd.xlsx", "A 51647-2024")</f>
        <v/>
      </c>
      <c r="T312">
        <f>HYPERLINK("https://klasma.github.io/Logging_0780/kartor/A 51647-2024 karta.png", "A 51647-2024")</f>
        <v/>
      </c>
      <c r="V312">
        <f>HYPERLINK("https://klasma.github.io/Logging_0780/klagomål/A 51647-2024 FSC-klagomål.docx", "A 51647-2024")</f>
        <v/>
      </c>
      <c r="W312">
        <f>HYPERLINK("https://klasma.github.io/Logging_0780/klagomålsmail/A 51647-2024 FSC-klagomål mail.docx", "A 51647-2024")</f>
        <v/>
      </c>
      <c r="X312">
        <f>HYPERLINK("https://klasma.github.io/Logging_0780/tillsyn/A 51647-2024 tillsynsbegäran.docx", "A 51647-2024")</f>
        <v/>
      </c>
      <c r="Y312">
        <f>HYPERLINK("https://klasma.github.io/Logging_0780/tillsynsmail/A 51647-2024 tillsynsbegäran mail.docx", "A 51647-2024")</f>
        <v/>
      </c>
    </row>
    <row r="313" ht="15" customHeight="1">
      <c r="A313" t="inlineStr">
        <is>
          <t>A 52628-2024</t>
        </is>
      </c>
      <c r="B313" s="1" t="n">
        <v>45610</v>
      </c>
      <c r="C313" s="1" t="n">
        <v>45833</v>
      </c>
      <c r="D313" t="inlineStr">
        <is>
          <t>KRONOBERGS LÄN</t>
        </is>
      </c>
      <c r="E313" t="inlineStr">
        <is>
          <t>VÄXJÖ</t>
        </is>
      </c>
      <c r="G313" t="n">
        <v>4.2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HYPERLINK("https://klasma.github.io/Logging_0780/artfynd/A 52628-2024 artfynd.xlsx", "A 52628-2024")</f>
        <v/>
      </c>
      <c r="T313">
        <f>HYPERLINK("https://klasma.github.io/Logging_0780/kartor/A 52628-2024 karta.png", "A 52628-2024")</f>
        <v/>
      </c>
      <c r="V313">
        <f>HYPERLINK("https://klasma.github.io/Logging_0780/klagomål/A 52628-2024 FSC-klagomål.docx", "A 52628-2024")</f>
        <v/>
      </c>
      <c r="W313">
        <f>HYPERLINK("https://klasma.github.io/Logging_0780/klagomålsmail/A 52628-2024 FSC-klagomål mail.docx", "A 52628-2024")</f>
        <v/>
      </c>
      <c r="X313">
        <f>HYPERLINK("https://klasma.github.io/Logging_0780/tillsyn/A 52628-2024 tillsynsbegäran.docx", "A 52628-2024")</f>
        <v/>
      </c>
      <c r="Y313">
        <f>HYPERLINK("https://klasma.github.io/Logging_0780/tillsynsmail/A 52628-2024 tillsynsbegäran mail.docx", "A 52628-2024")</f>
        <v/>
      </c>
      <c r="Z313">
        <f>HYPERLINK("https://klasma.github.io/Logging_0780/fåglar/A 52628-2024 prioriterade fågelarter.docx", "A 52628-2024")</f>
        <v/>
      </c>
    </row>
    <row r="314" ht="15" customHeight="1">
      <c r="A314" t="inlineStr">
        <is>
          <t>A 55799-2024</t>
        </is>
      </c>
      <c r="B314" s="1" t="n">
        <v>45623</v>
      </c>
      <c r="C314" s="1" t="n">
        <v>45833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Slåttergubbe</t>
        </is>
      </c>
      <c r="S314">
        <f>HYPERLINK("https://klasma.github.io/Logging_0760/artfynd/A 55799-2024 artfynd.xlsx", "A 55799-2024")</f>
        <v/>
      </c>
      <c r="T314">
        <f>HYPERLINK("https://klasma.github.io/Logging_0760/kartor/A 55799-2024 karta.png", "A 55799-2024")</f>
        <v/>
      </c>
      <c r="V314">
        <f>HYPERLINK("https://klasma.github.io/Logging_0760/klagomål/A 55799-2024 FSC-klagomål.docx", "A 55799-2024")</f>
        <v/>
      </c>
      <c r="W314">
        <f>HYPERLINK("https://klasma.github.io/Logging_0760/klagomålsmail/A 55799-2024 FSC-klagomål mail.docx", "A 55799-2024")</f>
        <v/>
      </c>
      <c r="X314">
        <f>HYPERLINK("https://klasma.github.io/Logging_0760/tillsyn/A 55799-2024 tillsynsbegäran.docx", "A 55799-2024")</f>
        <v/>
      </c>
      <c r="Y314">
        <f>HYPERLINK("https://klasma.github.io/Logging_0760/tillsynsmail/A 55799-2024 tillsynsbegäran mail.docx", "A 55799-2024")</f>
        <v/>
      </c>
    </row>
    <row r="315" ht="15" customHeight="1">
      <c r="A315" t="inlineStr">
        <is>
          <t>A 56472-2024</t>
        </is>
      </c>
      <c r="B315" s="1" t="n">
        <v>45625</v>
      </c>
      <c r="C315" s="1" t="n">
        <v>45833</v>
      </c>
      <c r="D315" t="inlineStr">
        <is>
          <t>KRONOBERGS LÄN</t>
        </is>
      </c>
      <c r="E315" t="inlineStr">
        <is>
          <t>LESSEBO</t>
        </is>
      </c>
      <c r="G315" t="n">
        <v>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HYPERLINK("https://klasma.github.io/Logging_0761/artfynd/A 56472-2024 artfynd.xlsx", "A 56472-2024")</f>
        <v/>
      </c>
      <c r="T315">
        <f>HYPERLINK("https://klasma.github.io/Logging_0761/kartor/A 56472-2024 karta.png", "A 56472-2024")</f>
        <v/>
      </c>
      <c r="V315">
        <f>HYPERLINK("https://klasma.github.io/Logging_0761/klagomål/A 56472-2024 FSC-klagomål.docx", "A 56472-2024")</f>
        <v/>
      </c>
      <c r="W315">
        <f>HYPERLINK("https://klasma.github.io/Logging_0761/klagomålsmail/A 56472-2024 FSC-klagomål mail.docx", "A 56472-2024")</f>
        <v/>
      </c>
      <c r="X315">
        <f>HYPERLINK("https://klasma.github.io/Logging_0761/tillsyn/A 56472-2024 tillsynsbegäran.docx", "A 56472-2024")</f>
        <v/>
      </c>
      <c r="Y315">
        <f>HYPERLINK("https://klasma.github.io/Logging_0761/tillsynsmail/A 56472-2024 tillsynsbegäran mail.docx", "A 56472-2024")</f>
        <v/>
      </c>
    </row>
    <row r="316" ht="15" customHeight="1">
      <c r="A316" t="inlineStr">
        <is>
          <t>A 57204-2024</t>
        </is>
      </c>
      <c r="B316" s="1" t="n">
        <v>45629</v>
      </c>
      <c r="C316" s="1" t="n">
        <v>45833</v>
      </c>
      <c r="D316" t="inlineStr">
        <is>
          <t>KRONOBERGS LÄN</t>
        </is>
      </c>
      <c r="E316" t="inlineStr">
        <is>
          <t>LJUNGBY</t>
        </is>
      </c>
      <c r="G316" t="n">
        <v>23.5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HYPERLINK("https://klasma.github.io/Logging_0781/artfynd/A 57204-2024 artfynd.xlsx", "A 57204-2024")</f>
        <v/>
      </c>
      <c r="T316">
        <f>HYPERLINK("https://klasma.github.io/Logging_0781/kartor/A 57204-2024 karta.png", "A 57204-2024")</f>
        <v/>
      </c>
      <c r="U316">
        <f>HYPERLINK("https://klasma.github.io/Logging_0781/knärot/A 57204-2024 karta knärot.png", "A 57204-2024")</f>
        <v/>
      </c>
      <c r="V316">
        <f>HYPERLINK("https://klasma.github.io/Logging_0781/klagomål/A 57204-2024 FSC-klagomål.docx", "A 57204-2024")</f>
        <v/>
      </c>
      <c r="W316">
        <f>HYPERLINK("https://klasma.github.io/Logging_0781/klagomålsmail/A 57204-2024 FSC-klagomål mail.docx", "A 57204-2024")</f>
        <v/>
      </c>
      <c r="X316">
        <f>HYPERLINK("https://klasma.github.io/Logging_0781/tillsyn/A 57204-2024 tillsynsbegäran.docx", "A 57204-2024")</f>
        <v/>
      </c>
      <c r="Y316">
        <f>HYPERLINK("https://klasma.github.io/Logging_0781/tillsynsmail/A 57204-2024 tillsynsbegäran mail.docx", "A 57204-2024")</f>
        <v/>
      </c>
    </row>
    <row r="317" ht="15" customHeight="1">
      <c r="A317" t="inlineStr">
        <is>
          <t>A 58048-2024</t>
        </is>
      </c>
      <c r="B317" s="1" t="n">
        <v>45631</v>
      </c>
      <c r="C317" s="1" t="n">
        <v>45833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Solvända</t>
        </is>
      </c>
      <c r="S317">
        <f>HYPERLINK("https://klasma.github.io/Logging_0765/artfynd/A 58048-2024 artfynd.xlsx", "A 58048-2024")</f>
        <v/>
      </c>
      <c r="T317">
        <f>HYPERLINK("https://klasma.github.io/Logging_0765/kartor/A 58048-2024 karta.png", "A 58048-2024")</f>
        <v/>
      </c>
      <c r="V317">
        <f>HYPERLINK("https://klasma.github.io/Logging_0765/klagomål/A 58048-2024 FSC-klagomål.docx", "A 58048-2024")</f>
        <v/>
      </c>
      <c r="W317">
        <f>HYPERLINK("https://klasma.github.io/Logging_0765/klagomålsmail/A 58048-2024 FSC-klagomål mail.docx", "A 58048-2024")</f>
        <v/>
      </c>
      <c r="X317">
        <f>HYPERLINK("https://klasma.github.io/Logging_0765/tillsyn/A 58048-2024 tillsynsbegäran.docx", "A 58048-2024")</f>
        <v/>
      </c>
      <c r="Y317">
        <f>HYPERLINK("https://klasma.github.io/Logging_0765/tillsynsmail/A 58048-2024 tillsynsbegäran mail.docx", "A 58048-2024")</f>
        <v/>
      </c>
    </row>
    <row r="318" ht="15" customHeight="1">
      <c r="A318" t="inlineStr">
        <is>
          <t>A 58359-2024</t>
        </is>
      </c>
      <c r="B318" s="1" t="n">
        <v>45632</v>
      </c>
      <c r="C318" s="1" t="n">
        <v>45833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Ljungögontröst</t>
        </is>
      </c>
      <c r="S318">
        <f>HYPERLINK("https://klasma.github.io/Logging_0765/artfynd/A 58359-2024 artfynd.xlsx", "A 58359-2024")</f>
        <v/>
      </c>
      <c r="T318">
        <f>HYPERLINK("https://klasma.github.io/Logging_0765/kartor/A 58359-2024 karta.png", "A 58359-2024")</f>
        <v/>
      </c>
      <c r="V318">
        <f>HYPERLINK("https://klasma.github.io/Logging_0765/klagomål/A 58359-2024 FSC-klagomål.docx", "A 58359-2024")</f>
        <v/>
      </c>
      <c r="W318">
        <f>HYPERLINK("https://klasma.github.io/Logging_0765/klagomålsmail/A 58359-2024 FSC-klagomål mail.docx", "A 58359-2024")</f>
        <v/>
      </c>
      <c r="X318">
        <f>HYPERLINK("https://klasma.github.io/Logging_0765/tillsyn/A 58359-2024 tillsynsbegäran.docx", "A 58359-2024")</f>
        <v/>
      </c>
      <c r="Y318">
        <f>HYPERLINK("https://klasma.github.io/Logging_0765/tillsynsmail/A 58359-2024 tillsynsbegäran mail.docx", "A 58359-2024")</f>
        <v/>
      </c>
    </row>
    <row r="319" ht="15" customHeight="1">
      <c r="A319" t="inlineStr">
        <is>
          <t>A 59362-2024</t>
        </is>
      </c>
      <c r="B319" s="1" t="n">
        <v>45638</v>
      </c>
      <c r="C319" s="1" t="n">
        <v>45833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HYPERLINK("https://klasma.github.io/Logging_0764/artfynd/A 59362-2024 artfynd.xlsx", "A 59362-2024")</f>
        <v/>
      </c>
      <c r="T319">
        <f>HYPERLINK("https://klasma.github.io/Logging_0764/kartor/A 59362-2024 karta.png", "A 59362-2024")</f>
        <v/>
      </c>
      <c r="V319">
        <f>HYPERLINK("https://klasma.github.io/Logging_0764/klagomål/A 59362-2024 FSC-klagomål.docx", "A 59362-2024")</f>
        <v/>
      </c>
      <c r="W319">
        <f>HYPERLINK("https://klasma.github.io/Logging_0764/klagomålsmail/A 59362-2024 FSC-klagomål mail.docx", "A 59362-2024")</f>
        <v/>
      </c>
      <c r="X319">
        <f>HYPERLINK("https://klasma.github.io/Logging_0764/tillsyn/A 59362-2024 tillsynsbegäran.docx", "A 59362-2024")</f>
        <v/>
      </c>
      <c r="Y319">
        <f>HYPERLINK("https://klasma.github.io/Logging_0764/tillsynsmail/A 59362-2024 tillsynsbegäran mail.docx", "A 59362-2024")</f>
        <v/>
      </c>
    </row>
    <row r="320" ht="15" customHeight="1">
      <c r="A320" t="inlineStr">
        <is>
          <t>A 60064-2024</t>
        </is>
      </c>
      <c r="B320" s="1" t="n">
        <v>45642</v>
      </c>
      <c r="C320" s="1" t="n">
        <v>45833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60064-2024 artfynd.xlsx", "A 60064-2024")</f>
        <v/>
      </c>
      <c r="T320">
        <f>HYPERLINK("https://klasma.github.io/Logging_0780/kartor/A 60064-2024 karta.png", "A 60064-2024")</f>
        <v/>
      </c>
      <c r="V320">
        <f>HYPERLINK("https://klasma.github.io/Logging_0780/klagomål/A 60064-2024 FSC-klagomål.docx", "A 60064-2024")</f>
        <v/>
      </c>
      <c r="W320">
        <f>HYPERLINK("https://klasma.github.io/Logging_0780/klagomålsmail/A 60064-2024 FSC-klagomål mail.docx", "A 60064-2024")</f>
        <v/>
      </c>
      <c r="X320">
        <f>HYPERLINK("https://klasma.github.io/Logging_0780/tillsyn/A 60064-2024 tillsynsbegäran.docx", "A 60064-2024")</f>
        <v/>
      </c>
      <c r="Y320">
        <f>HYPERLINK("https://klasma.github.io/Logging_0780/tillsynsmail/A 60064-2024 tillsynsbegäran mail.docx", "A 60064-2024")</f>
        <v/>
      </c>
    </row>
    <row r="321" ht="15" customHeight="1">
      <c r="A321" t="inlineStr">
        <is>
          <t>A 60139-2024</t>
        </is>
      </c>
      <c r="B321" s="1" t="n">
        <v>45642</v>
      </c>
      <c r="C321" s="1" t="n">
        <v>45833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HYPERLINK("https://klasma.github.io/Logging_0781/artfynd/A 60139-2024 artfynd.xlsx", "A 60139-2024")</f>
        <v/>
      </c>
      <c r="T321">
        <f>HYPERLINK("https://klasma.github.io/Logging_0781/kartor/A 60139-2024 karta.png", "A 60139-2024")</f>
        <v/>
      </c>
      <c r="V321">
        <f>HYPERLINK("https://klasma.github.io/Logging_0781/klagomål/A 60139-2024 FSC-klagomål.docx", "A 60139-2024")</f>
        <v/>
      </c>
      <c r="W321">
        <f>HYPERLINK("https://klasma.github.io/Logging_0781/klagomålsmail/A 60139-2024 FSC-klagomål mail.docx", "A 60139-2024")</f>
        <v/>
      </c>
      <c r="X321">
        <f>HYPERLINK("https://klasma.github.io/Logging_0781/tillsyn/A 60139-2024 tillsynsbegäran.docx", "A 60139-2024")</f>
        <v/>
      </c>
      <c r="Y321">
        <f>HYPERLINK("https://klasma.github.io/Logging_0781/tillsynsmail/A 60139-2024 tillsynsbegäran mail.docx", "A 60139-2024")</f>
        <v/>
      </c>
    </row>
    <row r="322" ht="15" customHeight="1">
      <c r="A322" t="inlineStr">
        <is>
          <t>A 60370-2024</t>
        </is>
      </c>
      <c r="B322" s="1" t="n">
        <v>45643</v>
      </c>
      <c r="C322" s="1" t="n">
        <v>45833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HYPERLINK("https://klasma.github.io/Logging_0780/artfynd/A 60370-2024 artfynd.xlsx", "A 60370-2024")</f>
        <v/>
      </c>
      <c r="T322">
        <f>HYPERLINK("https://klasma.github.io/Logging_0780/kartor/A 60370-2024 karta.png", "A 60370-2024")</f>
        <v/>
      </c>
      <c r="V322">
        <f>HYPERLINK("https://klasma.github.io/Logging_0780/klagomål/A 60370-2024 FSC-klagomål.docx", "A 60370-2024")</f>
        <v/>
      </c>
      <c r="W322">
        <f>HYPERLINK("https://klasma.github.io/Logging_0780/klagomålsmail/A 60370-2024 FSC-klagomål mail.docx", "A 60370-2024")</f>
        <v/>
      </c>
      <c r="X322">
        <f>HYPERLINK("https://klasma.github.io/Logging_0780/tillsyn/A 60370-2024 tillsynsbegäran.docx", "A 60370-2024")</f>
        <v/>
      </c>
      <c r="Y322">
        <f>HYPERLINK("https://klasma.github.io/Logging_0780/tillsynsmail/A 60370-2024 tillsynsbegäran mail.docx", "A 60370-2024")</f>
        <v/>
      </c>
    </row>
    <row r="323" ht="15" customHeight="1">
      <c r="A323" t="inlineStr">
        <is>
          <t>A 430-2025</t>
        </is>
      </c>
      <c r="B323" s="1" t="n">
        <v>45664</v>
      </c>
      <c r="C323" s="1" t="n">
        <v>45833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HYPERLINK("https://klasma.github.io/Logging_0764/artfynd/A 430-2025 artfynd.xlsx", "A 430-2025")</f>
        <v/>
      </c>
      <c r="T323">
        <f>HYPERLINK("https://klasma.github.io/Logging_0764/kartor/A 430-2025 karta.png", "A 430-2025")</f>
        <v/>
      </c>
      <c r="V323">
        <f>HYPERLINK("https://klasma.github.io/Logging_0764/klagomål/A 430-2025 FSC-klagomål.docx", "A 430-2025")</f>
        <v/>
      </c>
      <c r="W323">
        <f>HYPERLINK("https://klasma.github.io/Logging_0764/klagomålsmail/A 430-2025 FSC-klagomål mail.docx", "A 430-2025")</f>
        <v/>
      </c>
      <c r="X323">
        <f>HYPERLINK("https://klasma.github.io/Logging_0764/tillsyn/A 430-2025 tillsynsbegäran.docx", "A 430-2025")</f>
        <v/>
      </c>
      <c r="Y323">
        <f>HYPERLINK("https://klasma.github.io/Logging_0764/tillsynsmail/A 430-2025 tillsynsbegäran mail.docx", "A 430-2025")</f>
        <v/>
      </c>
      <c r="Z323">
        <f>HYPERLINK("https://klasma.github.io/Logging_0764/fåglar/A 430-2025 prioriterade fågelarter.docx", "A 430-2025")</f>
        <v/>
      </c>
    </row>
    <row r="324" ht="15" customHeight="1">
      <c r="A324" t="inlineStr">
        <is>
          <t>A 792-2025</t>
        </is>
      </c>
      <c r="B324" s="1" t="n">
        <v>45665</v>
      </c>
      <c r="C324" s="1" t="n">
        <v>45833</v>
      </c>
      <c r="D324" t="inlineStr">
        <is>
          <t>KRONOBERGS LÄN</t>
        </is>
      </c>
      <c r="E324" t="inlineStr">
        <is>
          <t>ÄLMHULT</t>
        </is>
      </c>
      <c r="G324" t="n">
        <v>6.1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Brandticka</t>
        </is>
      </c>
      <c r="S324">
        <f>HYPERLINK("https://klasma.github.io/Logging_0765/artfynd/A 792-2025 artfynd.xlsx", "A 792-2025")</f>
        <v/>
      </c>
      <c r="T324">
        <f>HYPERLINK("https://klasma.github.io/Logging_0765/kartor/A 792-2025 karta.png", "A 792-2025")</f>
        <v/>
      </c>
      <c r="V324">
        <f>HYPERLINK("https://klasma.github.io/Logging_0765/klagomål/A 792-2025 FSC-klagomål.docx", "A 792-2025")</f>
        <v/>
      </c>
      <c r="W324">
        <f>HYPERLINK("https://klasma.github.io/Logging_0765/klagomålsmail/A 792-2025 FSC-klagomål mail.docx", "A 792-2025")</f>
        <v/>
      </c>
      <c r="X324">
        <f>HYPERLINK("https://klasma.github.io/Logging_0765/tillsyn/A 792-2025 tillsynsbegäran.docx", "A 792-2025")</f>
        <v/>
      </c>
      <c r="Y324">
        <f>HYPERLINK("https://klasma.github.io/Logging_0765/tillsynsmail/A 792-2025 tillsynsbegäran mail.docx", "A 792-2025")</f>
        <v/>
      </c>
    </row>
    <row r="325" ht="15" customHeight="1">
      <c r="A325" t="inlineStr">
        <is>
          <t>A 1811-2025</t>
        </is>
      </c>
      <c r="B325" s="1" t="n">
        <v>45670</v>
      </c>
      <c r="C325" s="1" t="n">
        <v>45833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2.3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HYPERLINK("https://klasma.github.io/Logging_0764/artfynd/A 1811-2025 artfynd.xlsx", "A 1811-2025")</f>
        <v/>
      </c>
      <c r="T325">
        <f>HYPERLINK("https://klasma.github.io/Logging_0764/kartor/A 1811-2025 karta.png", "A 1811-2025")</f>
        <v/>
      </c>
      <c r="V325">
        <f>HYPERLINK("https://klasma.github.io/Logging_0764/klagomål/A 1811-2025 FSC-klagomål.docx", "A 1811-2025")</f>
        <v/>
      </c>
      <c r="W325">
        <f>HYPERLINK("https://klasma.github.io/Logging_0764/klagomålsmail/A 1811-2025 FSC-klagomål mail.docx", "A 1811-2025")</f>
        <v/>
      </c>
      <c r="X325">
        <f>HYPERLINK("https://klasma.github.io/Logging_0764/tillsyn/A 1811-2025 tillsynsbegäran.docx", "A 1811-2025")</f>
        <v/>
      </c>
      <c r="Y325">
        <f>HYPERLINK("https://klasma.github.io/Logging_0764/tillsynsmail/A 1811-2025 tillsynsbegäran mail.docx", "A 1811-2025")</f>
        <v/>
      </c>
      <c r="Z325">
        <f>HYPERLINK("https://klasma.github.io/Logging_0764/fåglar/A 1811-2025 prioriterade fågelarter.docx", "A 1811-2025")</f>
        <v/>
      </c>
    </row>
    <row r="326" ht="15" customHeight="1">
      <c r="A326" t="inlineStr">
        <is>
          <t>A 4451-2025</t>
        </is>
      </c>
      <c r="B326" s="1" t="n">
        <v>45686</v>
      </c>
      <c r="C326" s="1" t="n">
        <v>45833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Duvhök</t>
        </is>
      </c>
      <c r="S326">
        <f>HYPERLINK("https://klasma.github.io/Logging_0781/artfynd/A 4451-2025 artfynd.xlsx", "A 4451-2025")</f>
        <v/>
      </c>
      <c r="T326">
        <f>HYPERLINK("https://klasma.github.io/Logging_0781/kartor/A 4451-2025 karta.png", "A 4451-2025")</f>
        <v/>
      </c>
      <c r="V326">
        <f>HYPERLINK("https://klasma.github.io/Logging_0781/klagomål/A 4451-2025 FSC-klagomål.docx", "A 4451-2025")</f>
        <v/>
      </c>
      <c r="W326">
        <f>HYPERLINK("https://klasma.github.io/Logging_0781/klagomålsmail/A 4451-2025 FSC-klagomål mail.docx", "A 4451-2025")</f>
        <v/>
      </c>
      <c r="X326">
        <f>HYPERLINK("https://klasma.github.io/Logging_0781/tillsyn/A 4451-2025 tillsynsbegäran.docx", "A 4451-2025")</f>
        <v/>
      </c>
      <c r="Y326">
        <f>HYPERLINK("https://klasma.github.io/Logging_0781/tillsynsmail/A 4451-2025 tillsynsbegäran mail.docx", "A 4451-2025")</f>
        <v/>
      </c>
      <c r="Z326">
        <f>HYPERLINK("https://klasma.github.io/Logging_0781/fåglar/A 4451-2025 prioriterade fågelarter.docx", "A 4451-2025")</f>
        <v/>
      </c>
    </row>
    <row r="327" ht="15" customHeight="1">
      <c r="A327" t="inlineStr">
        <is>
          <t>A 4801-2025</t>
        </is>
      </c>
      <c r="B327" s="1" t="n">
        <v>45688</v>
      </c>
      <c r="C327" s="1" t="n">
        <v>45833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4801-2025 artfynd.xlsx", "A 4801-2025")</f>
        <v/>
      </c>
      <c r="T327">
        <f>HYPERLINK("https://klasma.github.io/Logging_0760/kartor/A 4801-2025 karta.png", "A 4801-2025")</f>
        <v/>
      </c>
      <c r="V327">
        <f>HYPERLINK("https://klasma.github.io/Logging_0760/klagomål/A 4801-2025 FSC-klagomål.docx", "A 4801-2025")</f>
        <v/>
      </c>
      <c r="W327">
        <f>HYPERLINK("https://klasma.github.io/Logging_0760/klagomålsmail/A 4801-2025 FSC-klagomål mail.docx", "A 4801-2025")</f>
        <v/>
      </c>
      <c r="X327">
        <f>HYPERLINK("https://klasma.github.io/Logging_0760/tillsyn/A 4801-2025 tillsynsbegäran.docx", "A 4801-2025")</f>
        <v/>
      </c>
      <c r="Y327">
        <f>HYPERLINK("https://klasma.github.io/Logging_0760/tillsynsmail/A 4801-2025 tillsynsbegäran mail.docx", "A 4801-2025")</f>
        <v/>
      </c>
    </row>
    <row r="328" ht="15" customHeight="1">
      <c r="A328" t="inlineStr">
        <is>
          <t>A 4720-2025</t>
        </is>
      </c>
      <c r="B328" s="1" t="n">
        <v>45688</v>
      </c>
      <c r="C328" s="1" t="n">
        <v>45833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4720-2025 artfynd.xlsx", "A 4720-2025")</f>
        <v/>
      </c>
      <c r="T328">
        <f>HYPERLINK("https://klasma.github.io/Logging_0760/kartor/A 4720-2025 karta.png", "A 4720-2025")</f>
        <v/>
      </c>
      <c r="V328">
        <f>HYPERLINK("https://klasma.github.io/Logging_0760/klagomål/A 4720-2025 FSC-klagomål.docx", "A 4720-2025")</f>
        <v/>
      </c>
      <c r="W328">
        <f>HYPERLINK("https://klasma.github.io/Logging_0760/klagomålsmail/A 4720-2025 FSC-klagomål mail.docx", "A 4720-2025")</f>
        <v/>
      </c>
      <c r="X328">
        <f>HYPERLINK("https://klasma.github.io/Logging_0760/tillsyn/A 4720-2025 tillsynsbegäran.docx", "A 4720-2025")</f>
        <v/>
      </c>
      <c r="Y328">
        <f>HYPERLINK("https://klasma.github.io/Logging_0760/tillsynsmail/A 4720-2025 tillsynsbegäran mail.docx", "A 4720-2025")</f>
        <v/>
      </c>
    </row>
    <row r="329" ht="15" customHeight="1">
      <c r="A329" t="inlineStr">
        <is>
          <t>A 6614-2025</t>
        </is>
      </c>
      <c r="B329" s="1" t="n">
        <v>45700</v>
      </c>
      <c r="C329" s="1" t="n">
        <v>45833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Borsttåg</t>
        </is>
      </c>
      <c r="S329">
        <f>HYPERLINK("https://klasma.github.io/Logging_0767/artfynd/A 6614-2025 artfynd.xlsx", "A 6614-2025")</f>
        <v/>
      </c>
      <c r="T329">
        <f>HYPERLINK("https://klasma.github.io/Logging_0767/kartor/A 6614-2025 karta.png", "A 6614-2025")</f>
        <v/>
      </c>
      <c r="V329">
        <f>HYPERLINK("https://klasma.github.io/Logging_0767/klagomål/A 6614-2025 FSC-klagomål.docx", "A 6614-2025")</f>
        <v/>
      </c>
      <c r="W329">
        <f>HYPERLINK("https://klasma.github.io/Logging_0767/klagomålsmail/A 6614-2025 FSC-klagomål mail.docx", "A 6614-2025")</f>
        <v/>
      </c>
      <c r="X329">
        <f>HYPERLINK("https://klasma.github.io/Logging_0767/tillsyn/A 6614-2025 tillsynsbegäran.docx", "A 6614-2025")</f>
        <v/>
      </c>
      <c r="Y329">
        <f>HYPERLINK("https://klasma.github.io/Logging_0767/tillsynsmail/A 6614-2025 tillsynsbegäran mail.docx", "A 6614-2025")</f>
        <v/>
      </c>
    </row>
    <row r="330" ht="15" customHeight="1">
      <c r="A330" t="inlineStr">
        <is>
          <t>A 9876-2025</t>
        </is>
      </c>
      <c r="B330" s="1" t="n">
        <v>45716</v>
      </c>
      <c r="C330" s="1" t="n">
        <v>45833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4.1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HYPERLINK("https://klasma.github.io/Logging_070765/artfynd/A 9876-2025 artfynd.xlsx", "A 9876-2025")</f>
        <v/>
      </c>
      <c r="T330">
        <f>HYPERLINK("https://klasma.github.io/Logging_070765/kartor/A 9876-2025 karta.png", "A 9876-2025")</f>
        <v/>
      </c>
      <c r="V330">
        <f>HYPERLINK("https://klasma.github.io/Logging_070765/klagomål/A 9876-2025 FSC-klagomål.docx", "A 9876-2025")</f>
        <v/>
      </c>
      <c r="W330">
        <f>HYPERLINK("https://klasma.github.io/Logging_070765/klagomålsmail/A 9876-2025 FSC-klagomål mail.docx", "A 9876-2025")</f>
        <v/>
      </c>
      <c r="X330">
        <f>HYPERLINK("https://klasma.github.io/Logging_070765/tillsyn/A 9876-2025 tillsynsbegäran.docx", "A 9876-2025")</f>
        <v/>
      </c>
      <c r="Y330">
        <f>HYPERLINK("https://klasma.github.io/Logging_070765/tillsynsmail/A 9876-2025 tillsynsbegäran mail.docx", "A 9876-2025")</f>
        <v/>
      </c>
    </row>
    <row r="331" ht="15" customHeight="1">
      <c r="A331" t="inlineStr">
        <is>
          <t>A 13604-2025</t>
        </is>
      </c>
      <c r="B331" s="1" t="n">
        <v>45736</v>
      </c>
      <c r="C331" s="1" t="n">
        <v>45833</v>
      </c>
      <c r="D331" t="inlineStr">
        <is>
          <t>KRONOBERGS LÄN</t>
        </is>
      </c>
      <c r="E331" t="inlineStr">
        <is>
          <t>TINGSRYD</t>
        </is>
      </c>
      <c r="G331" t="n">
        <v>2.2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Barkticka</t>
        </is>
      </c>
      <c r="S331">
        <f>HYPERLINK("https://klasma.github.io/Logging_070763/artfynd/A 13604-2025 artfynd.xlsx", "A 13604-2025")</f>
        <v/>
      </c>
      <c r="T331">
        <f>HYPERLINK("https://klasma.github.io/Logging_070763/kartor/A 13604-2025 karta.png", "A 13604-2025")</f>
        <v/>
      </c>
      <c r="V331">
        <f>HYPERLINK("https://klasma.github.io/Logging_070763/klagomål/A 13604-2025 FSC-klagomål.docx", "A 13604-2025")</f>
        <v/>
      </c>
      <c r="W331">
        <f>HYPERLINK("https://klasma.github.io/Logging_070763/klagomålsmail/A 13604-2025 FSC-klagomål mail.docx", "A 13604-2025")</f>
        <v/>
      </c>
      <c r="X331">
        <f>HYPERLINK("https://klasma.github.io/Logging_070763/tillsyn/A 13604-2025 tillsynsbegäran.docx", "A 13604-2025")</f>
        <v/>
      </c>
      <c r="Y331">
        <f>HYPERLINK("https://klasma.github.io/Logging_070763/tillsynsmail/A 13604-2025 tillsynsbegäran mail.docx", "A 13604-2025")</f>
        <v/>
      </c>
    </row>
    <row r="332" ht="15" customHeight="1">
      <c r="A332" t="inlineStr">
        <is>
          <t>A 14789-2025</t>
        </is>
      </c>
      <c r="B332" s="1" t="n">
        <v>45742</v>
      </c>
      <c r="C332" s="1" t="n">
        <v>45833</v>
      </c>
      <c r="D332" t="inlineStr">
        <is>
          <t>KRONOBERGS LÄN</t>
        </is>
      </c>
      <c r="E332" t="inlineStr">
        <is>
          <t>ÄLMHULT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1</v>
      </c>
      <c r="O332" t="n">
        <v>1</v>
      </c>
      <c r="P332" t="n">
        <v>0</v>
      </c>
      <c r="Q332" t="n">
        <v>1</v>
      </c>
      <c r="R332" s="2" t="inlineStr">
        <is>
          <t>Pimpinellros</t>
        </is>
      </c>
      <c r="S332">
        <f>HYPERLINK("https://klasma.github.io/Logging_070765/artfynd/A 14789-2025 artfynd.xlsx", "A 14789-2025")</f>
        <v/>
      </c>
      <c r="T332">
        <f>HYPERLINK("https://klasma.github.io/Logging_070765/kartor/A 14789-2025 karta.png", "A 14789-2025")</f>
        <v/>
      </c>
      <c r="V332">
        <f>HYPERLINK("https://klasma.github.io/Logging_070765/klagomål/A 14789-2025 FSC-klagomål.docx", "A 14789-2025")</f>
        <v/>
      </c>
      <c r="W332">
        <f>HYPERLINK("https://klasma.github.io/Logging_070765/klagomålsmail/A 14789-2025 FSC-klagomål mail.docx", "A 14789-2025")</f>
        <v/>
      </c>
      <c r="X332">
        <f>HYPERLINK("https://klasma.github.io/Logging_070765/tillsyn/A 14789-2025 tillsynsbegäran.docx", "A 14789-2025")</f>
        <v/>
      </c>
      <c r="Y332">
        <f>HYPERLINK("https://klasma.github.io/Logging_070765/tillsynsmail/A 14789-2025 tillsynsbegäran mail.docx", "A 14789-2025")</f>
        <v/>
      </c>
    </row>
    <row r="333" ht="15" customHeight="1">
      <c r="A333" t="inlineStr">
        <is>
          <t>A 15510-2025</t>
        </is>
      </c>
      <c r="B333" s="1" t="n">
        <v>45747</v>
      </c>
      <c r="C333" s="1" t="n">
        <v>45833</v>
      </c>
      <c r="D333" t="inlineStr">
        <is>
          <t>KRONOBERGS LÄN</t>
        </is>
      </c>
      <c r="E333" t="inlineStr">
        <is>
          <t>UPPVIDINGE</t>
        </is>
      </c>
      <c r="F333" t="inlineStr">
        <is>
          <t>Kommuner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HYPERLINK("https://klasma.github.io/Logging_070760/artfynd/A 15510-2025 artfynd.xlsx", "A 15510-2025")</f>
        <v/>
      </c>
      <c r="T333">
        <f>HYPERLINK("https://klasma.github.io/Logging_070760/kartor/A 15510-2025 karta.png", "A 15510-2025")</f>
        <v/>
      </c>
      <c r="V333">
        <f>HYPERLINK("https://klasma.github.io/Logging_070760/klagomål/A 15510-2025 FSC-klagomål.docx", "A 15510-2025")</f>
        <v/>
      </c>
      <c r="W333">
        <f>HYPERLINK("https://klasma.github.io/Logging_070760/klagomålsmail/A 15510-2025 FSC-klagomål mail.docx", "A 15510-2025")</f>
        <v/>
      </c>
      <c r="X333">
        <f>HYPERLINK("https://klasma.github.io/Logging_070760/tillsyn/A 15510-2025 tillsynsbegäran.docx", "A 15510-2025")</f>
        <v/>
      </c>
      <c r="Y333">
        <f>HYPERLINK("https://klasma.github.io/Logging_070760/tillsynsmail/A 15510-2025 tillsynsbegäran mail.docx", "A 15510-2025")</f>
        <v/>
      </c>
    </row>
    <row r="334" ht="15" customHeight="1">
      <c r="A334" t="inlineStr">
        <is>
          <t>A 15922-2025</t>
        </is>
      </c>
      <c r="B334" s="1" t="n">
        <v>45749</v>
      </c>
      <c r="C334" s="1" t="n">
        <v>45833</v>
      </c>
      <c r="D334" t="inlineStr">
        <is>
          <t>KRONOBERGS LÄN</t>
        </is>
      </c>
      <c r="E334" t="inlineStr">
        <is>
          <t>LJUNGBY</t>
        </is>
      </c>
      <c r="G334" t="n">
        <v>4.4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Kungsörn</t>
        </is>
      </c>
      <c r="S334">
        <f>HYPERLINK("https://klasma.github.io/Logging_070781/artfynd/A 15922-2025 artfynd.xlsx", "A 15922-2025")</f>
        <v/>
      </c>
      <c r="T334">
        <f>HYPERLINK("https://klasma.github.io/Logging_070781/kartor/A 15922-2025 karta.png", "A 15922-2025")</f>
        <v/>
      </c>
      <c r="V334">
        <f>HYPERLINK("https://klasma.github.io/Logging_070781/klagomål/A 15922-2025 FSC-klagomål.docx", "A 15922-2025")</f>
        <v/>
      </c>
      <c r="W334">
        <f>HYPERLINK("https://klasma.github.io/Logging_070781/klagomålsmail/A 15922-2025 FSC-klagomål mail.docx", "A 15922-2025")</f>
        <v/>
      </c>
      <c r="X334">
        <f>HYPERLINK("https://klasma.github.io/Logging_070781/tillsyn/A 15922-2025 tillsynsbegäran.docx", "A 15922-2025")</f>
        <v/>
      </c>
      <c r="Y334">
        <f>HYPERLINK("https://klasma.github.io/Logging_070781/tillsynsmail/A 15922-2025 tillsynsbegäran mail.docx", "A 15922-2025")</f>
        <v/>
      </c>
      <c r="Z334">
        <f>HYPERLINK("https://klasma.github.io/Logging_070781/fåglar/A 15922-2025 prioriterade fågelarter.docx", "A 15922-2025")</f>
        <v/>
      </c>
    </row>
    <row r="335" ht="15" customHeight="1">
      <c r="A335" t="inlineStr">
        <is>
          <t>A 16749-2025</t>
        </is>
      </c>
      <c r="B335" s="1" t="n">
        <v>45754</v>
      </c>
      <c r="C335" s="1" t="n">
        <v>45833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HYPERLINK("https://klasma.github.io/Logging_070781/artfynd/A 16749-2025 artfynd.xlsx", "A 16749-2025")</f>
        <v/>
      </c>
      <c r="T335">
        <f>HYPERLINK("https://klasma.github.io/Logging_070781/kartor/A 16749-2025 karta.png", "A 16749-2025")</f>
        <v/>
      </c>
      <c r="V335">
        <f>HYPERLINK("https://klasma.github.io/Logging_070781/klagomål/A 16749-2025 FSC-klagomål.docx", "A 16749-2025")</f>
        <v/>
      </c>
      <c r="W335">
        <f>HYPERLINK("https://klasma.github.io/Logging_070781/klagomålsmail/A 16749-2025 FSC-klagomål mail.docx", "A 16749-2025")</f>
        <v/>
      </c>
      <c r="X335">
        <f>HYPERLINK("https://klasma.github.io/Logging_070781/tillsyn/A 16749-2025 tillsynsbegäran.docx", "A 16749-2025")</f>
        <v/>
      </c>
      <c r="Y335">
        <f>HYPERLINK("https://klasma.github.io/Logging_070781/tillsynsmail/A 16749-2025 tillsynsbegäran mail.docx", "A 16749-2025")</f>
        <v/>
      </c>
      <c r="Z335">
        <f>HYPERLINK("https://klasma.github.io/Logging_070781/fåglar/A 16749-2025 prioriterade fågelarter.docx", "A 16749-2025")</f>
        <v/>
      </c>
    </row>
    <row r="336" ht="15" customHeight="1">
      <c r="A336" t="inlineStr">
        <is>
          <t>A 18079-2025</t>
        </is>
      </c>
      <c r="B336" s="1" t="n">
        <v>45761</v>
      </c>
      <c r="C336" s="1" t="n">
        <v>45833</v>
      </c>
      <c r="D336" t="inlineStr">
        <is>
          <t>KRONOBERGS LÄN</t>
        </is>
      </c>
      <c r="E336" t="inlineStr">
        <is>
          <t>VÄXJÖ</t>
        </is>
      </c>
      <c r="G336" t="n">
        <v>2.6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Blåmossa</t>
        </is>
      </c>
      <c r="S336">
        <f>HYPERLINK("https://klasma.github.io/Logging_070780/artfynd/A 18079-2025 artfynd.xlsx", "A 18079-2025")</f>
        <v/>
      </c>
      <c r="T336">
        <f>HYPERLINK("https://klasma.github.io/Logging_070780/kartor/A 18079-2025 karta.png", "A 18079-2025")</f>
        <v/>
      </c>
      <c r="V336">
        <f>HYPERLINK("https://klasma.github.io/Logging_070780/klagomål/A 18079-2025 FSC-klagomål.docx", "A 18079-2025")</f>
        <v/>
      </c>
      <c r="W336">
        <f>HYPERLINK("https://klasma.github.io/Logging_070780/klagomålsmail/A 18079-2025 FSC-klagomål mail.docx", "A 18079-2025")</f>
        <v/>
      </c>
      <c r="X336">
        <f>HYPERLINK("https://klasma.github.io/Logging_070780/tillsyn/A 18079-2025 tillsynsbegäran.docx", "A 18079-2025")</f>
        <v/>
      </c>
      <c r="Y336">
        <f>HYPERLINK("https://klasma.github.io/Logging_070780/tillsynsmail/A 18079-2025 tillsynsbegäran mail.docx", "A 18079-2025")</f>
        <v/>
      </c>
    </row>
    <row r="337" ht="15" customHeight="1">
      <c r="A337" t="inlineStr">
        <is>
          <t>A 18747-2025</t>
        </is>
      </c>
      <c r="B337" s="1" t="n">
        <v>45763</v>
      </c>
      <c r="C337" s="1" t="n">
        <v>45833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Borsttåg</t>
        </is>
      </c>
      <c r="S337">
        <f>HYPERLINK("https://klasma.github.io/Logging_070765/artfynd/A 18747-2025 artfynd.xlsx", "A 18747-2025")</f>
        <v/>
      </c>
      <c r="T337">
        <f>HYPERLINK("https://klasma.github.io/Logging_070765/kartor/A 18747-2025 karta.png", "A 18747-2025")</f>
        <v/>
      </c>
      <c r="V337">
        <f>HYPERLINK("https://klasma.github.io/Logging_070765/klagomål/A 18747-2025 FSC-klagomål.docx", "A 18747-2025")</f>
        <v/>
      </c>
      <c r="W337">
        <f>HYPERLINK("https://klasma.github.io/Logging_070765/klagomålsmail/A 18747-2025 FSC-klagomål mail.docx", "A 18747-2025")</f>
        <v/>
      </c>
      <c r="X337">
        <f>HYPERLINK("https://klasma.github.io/Logging_070765/tillsyn/A 18747-2025 tillsynsbegäran.docx", "A 18747-2025")</f>
        <v/>
      </c>
      <c r="Y337">
        <f>HYPERLINK("https://klasma.github.io/Logging_070765/tillsynsmail/A 18747-2025 tillsynsbegäran mail.docx", "A 18747-2025")</f>
        <v/>
      </c>
    </row>
    <row r="338" ht="15" customHeight="1">
      <c r="A338" t="inlineStr">
        <is>
          <t>A 18486-2025</t>
        </is>
      </c>
      <c r="B338" s="1" t="n">
        <v>45763</v>
      </c>
      <c r="C338" s="1" t="n">
        <v>45833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Spillkråka</t>
        </is>
      </c>
      <c r="S338">
        <f>HYPERLINK("https://klasma.github.io/Logging_070764/artfynd/A 18486-2025 artfynd.xlsx", "A 18486-2025")</f>
        <v/>
      </c>
      <c r="T338">
        <f>HYPERLINK("https://klasma.github.io/Logging_070764/kartor/A 18486-2025 karta.png", "A 18486-2025")</f>
        <v/>
      </c>
      <c r="V338">
        <f>HYPERLINK("https://klasma.github.io/Logging_070764/klagomål/A 18486-2025 FSC-klagomål.docx", "A 18486-2025")</f>
        <v/>
      </c>
      <c r="W338">
        <f>HYPERLINK("https://klasma.github.io/Logging_070764/klagomålsmail/A 18486-2025 FSC-klagomål mail.docx", "A 18486-2025")</f>
        <v/>
      </c>
      <c r="X338">
        <f>HYPERLINK("https://klasma.github.io/Logging_070764/tillsyn/A 18486-2025 tillsynsbegäran.docx", "A 18486-2025")</f>
        <v/>
      </c>
      <c r="Y338">
        <f>HYPERLINK("https://klasma.github.io/Logging_070764/tillsynsmail/A 18486-2025 tillsynsbegäran mail.docx", "A 18486-2025")</f>
        <v/>
      </c>
      <c r="Z338">
        <f>HYPERLINK("https://klasma.github.io/Logging_070764/fåglar/A 18486-2025 prioriterade fågelarter.docx", "A 18486-2025")</f>
        <v/>
      </c>
    </row>
    <row r="339" ht="15" customHeight="1">
      <c r="A339" t="inlineStr">
        <is>
          <t>A 18746-2025</t>
        </is>
      </c>
      <c r="B339" s="1" t="n">
        <v>45763</v>
      </c>
      <c r="C339" s="1" t="n">
        <v>45833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HYPERLINK("https://klasma.github.io/Logging_070765/artfynd/A 18746-2025 artfynd.xlsx", "A 18746-2025")</f>
        <v/>
      </c>
      <c r="T339">
        <f>HYPERLINK("https://klasma.github.io/Logging_070765/kartor/A 18746-2025 karta.png", "A 18746-2025")</f>
        <v/>
      </c>
      <c r="V339">
        <f>HYPERLINK("https://klasma.github.io/Logging_070765/klagomål/A 18746-2025 FSC-klagomål.docx", "A 18746-2025")</f>
        <v/>
      </c>
      <c r="W339">
        <f>HYPERLINK("https://klasma.github.io/Logging_070765/klagomålsmail/A 18746-2025 FSC-klagomål mail.docx", "A 18746-2025")</f>
        <v/>
      </c>
      <c r="X339">
        <f>HYPERLINK("https://klasma.github.io/Logging_070765/tillsyn/A 18746-2025 tillsynsbegäran.docx", "A 18746-2025")</f>
        <v/>
      </c>
      <c r="Y339">
        <f>HYPERLINK("https://klasma.github.io/Logging_070765/tillsynsmail/A 18746-2025 tillsynsbegäran mail.docx", "A 18746-2025")</f>
        <v/>
      </c>
    </row>
    <row r="340" ht="15" customHeight="1">
      <c r="A340" t="inlineStr">
        <is>
          <t>A 21107-2025</t>
        </is>
      </c>
      <c r="B340" s="1" t="n">
        <v>45777</v>
      </c>
      <c r="C340" s="1" t="n">
        <v>45833</v>
      </c>
      <c r="D340" t="inlineStr">
        <is>
          <t>KRONOBERGS LÄN</t>
        </is>
      </c>
      <c r="E340" t="inlineStr">
        <is>
          <t>VÄXJÖ</t>
        </is>
      </c>
      <c r="G340" t="n">
        <v>5.6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Fjällvråk</t>
        </is>
      </c>
      <c r="S340">
        <f>HYPERLINK("https://klasma.github.io/Logging_070780/artfynd/A 21107-2025 artfynd.xlsx", "A 21107-2025")</f>
        <v/>
      </c>
      <c r="T340">
        <f>HYPERLINK("https://klasma.github.io/Logging_070780/kartor/A 21107-2025 karta.png", "A 21107-2025")</f>
        <v/>
      </c>
      <c r="V340">
        <f>HYPERLINK("https://klasma.github.io/Logging_070780/klagomål/A 21107-2025 FSC-klagomål.docx", "A 21107-2025")</f>
        <v/>
      </c>
      <c r="W340">
        <f>HYPERLINK("https://klasma.github.io/Logging_070780/klagomålsmail/A 21107-2025 FSC-klagomål mail.docx", "A 21107-2025")</f>
        <v/>
      </c>
      <c r="X340">
        <f>HYPERLINK("https://klasma.github.io/Logging_070780/tillsyn/A 21107-2025 tillsynsbegäran.docx", "A 21107-2025")</f>
        <v/>
      </c>
      <c r="Y340">
        <f>HYPERLINK("https://klasma.github.io/Logging_070780/tillsynsmail/A 21107-2025 tillsynsbegäran mail.docx", "A 21107-2025")</f>
        <v/>
      </c>
      <c r="Z340">
        <f>HYPERLINK("https://klasma.github.io/Logging_070780/fåglar/A 21107-2025 prioriterade fågelarter.docx", "A 21107-2025")</f>
        <v/>
      </c>
    </row>
    <row r="341" ht="15" customHeight="1">
      <c r="A341" t="inlineStr">
        <is>
          <t>A 20998-2025</t>
        </is>
      </c>
      <c r="B341" s="1" t="n">
        <v>45777</v>
      </c>
      <c r="C341" s="1" t="n">
        <v>45833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HYPERLINK("https://klasma.github.io/Logging_070760/artfynd/A 20998-2025 artfynd.xlsx", "A 20998-2025")</f>
        <v/>
      </c>
      <c r="T341">
        <f>HYPERLINK("https://klasma.github.io/Logging_070760/kartor/A 20998-2025 karta.png", "A 20998-2025")</f>
        <v/>
      </c>
      <c r="V341">
        <f>HYPERLINK("https://klasma.github.io/Logging_070760/klagomål/A 20998-2025 FSC-klagomål.docx", "A 20998-2025")</f>
        <v/>
      </c>
      <c r="W341">
        <f>HYPERLINK("https://klasma.github.io/Logging_070760/klagomålsmail/A 20998-2025 FSC-klagomål mail.docx", "A 20998-2025")</f>
        <v/>
      </c>
      <c r="X341">
        <f>HYPERLINK("https://klasma.github.io/Logging_070760/tillsyn/A 20998-2025 tillsynsbegäran.docx", "A 20998-2025")</f>
        <v/>
      </c>
      <c r="Y341">
        <f>HYPERLINK("https://klasma.github.io/Logging_070760/tillsynsmail/A 20998-2025 tillsynsbegäran mail.docx", "A 20998-2025")</f>
        <v/>
      </c>
      <c r="Z341">
        <f>HYPERLINK("https://klasma.github.io/Logging_070760/fåglar/A 20998-2025 prioriterade fågelarter.docx", "A 20998-2025")</f>
        <v/>
      </c>
    </row>
    <row r="342" ht="15" customHeight="1">
      <c r="A342" t="inlineStr">
        <is>
          <t>A 21527-2025</t>
        </is>
      </c>
      <c r="B342" s="1" t="n">
        <v>45782</v>
      </c>
      <c r="C342" s="1" t="n">
        <v>45833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Linmåra/småsnärjmåra</t>
        </is>
      </c>
      <c r="S342">
        <f>HYPERLINK("https://klasma.github.io/Logging_070780/artfynd/A 21527-2025 artfynd.xlsx", "A 21527-2025")</f>
        <v/>
      </c>
      <c r="T342">
        <f>HYPERLINK("https://klasma.github.io/Logging_070780/kartor/A 21527-2025 karta.png", "A 21527-2025")</f>
        <v/>
      </c>
      <c r="V342">
        <f>HYPERLINK("https://klasma.github.io/Logging_070780/klagomål/A 21527-2025 FSC-klagomål.docx", "A 21527-2025")</f>
        <v/>
      </c>
      <c r="W342">
        <f>HYPERLINK("https://klasma.github.io/Logging_070780/klagomålsmail/A 21527-2025 FSC-klagomål mail.docx", "A 21527-2025")</f>
        <v/>
      </c>
      <c r="X342">
        <f>HYPERLINK("https://klasma.github.io/Logging_070780/tillsyn/A 21527-2025 tillsynsbegäran.docx", "A 21527-2025")</f>
        <v/>
      </c>
      <c r="Y342">
        <f>HYPERLINK("https://klasma.github.io/Logging_070780/tillsynsmail/A 21527-2025 tillsynsbegäran mail.docx", "A 21527-2025")</f>
        <v/>
      </c>
    </row>
    <row r="343" ht="15" customHeight="1">
      <c r="A343" t="inlineStr">
        <is>
          <t>A 22758-2025</t>
        </is>
      </c>
      <c r="B343" s="1" t="n">
        <v>45789</v>
      </c>
      <c r="C343" s="1" t="n">
        <v>45833</v>
      </c>
      <c r="D343" t="inlineStr">
        <is>
          <t>KRONOBERGS LÄN</t>
        </is>
      </c>
      <c r="E343" t="inlineStr">
        <is>
          <t>UPPVIDINGE</t>
        </is>
      </c>
      <c r="G343" t="n">
        <v>2.9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HYPERLINK("https://klasma.github.io/Logging_070760/artfynd/A 22758-2025 artfynd.xlsx", "A 22758-2025")</f>
        <v/>
      </c>
      <c r="T343">
        <f>HYPERLINK("https://klasma.github.io/Logging_070760/kartor/A 22758-2025 karta.png", "A 22758-2025")</f>
        <v/>
      </c>
      <c r="U343">
        <f>HYPERLINK("https://klasma.github.io/Logging_070760/knärot/A 22758-2025 karta knärot.png", "A 22758-2025")</f>
        <v/>
      </c>
      <c r="V343">
        <f>HYPERLINK("https://klasma.github.io/Logging_070760/klagomål/A 22758-2025 FSC-klagomål.docx", "A 22758-2025")</f>
        <v/>
      </c>
      <c r="W343">
        <f>HYPERLINK("https://klasma.github.io/Logging_070760/klagomålsmail/A 22758-2025 FSC-klagomål mail.docx", "A 22758-2025")</f>
        <v/>
      </c>
      <c r="X343">
        <f>HYPERLINK("https://klasma.github.io/Logging_070760/tillsyn/A 22758-2025 tillsynsbegäran.docx", "A 22758-2025")</f>
        <v/>
      </c>
      <c r="Y343">
        <f>HYPERLINK("https://klasma.github.io/Logging_070760/tillsynsmail/A 22758-2025 tillsynsbegäran mail.docx", "A 22758-2025")</f>
        <v/>
      </c>
    </row>
    <row r="344" ht="15" customHeight="1">
      <c r="A344" t="inlineStr">
        <is>
          <t>A 23183-2025</t>
        </is>
      </c>
      <c r="B344" s="1" t="n">
        <v>45791</v>
      </c>
      <c r="C344" s="1" t="n">
        <v>45833</v>
      </c>
      <c r="D344" t="inlineStr">
        <is>
          <t>KRONOBERGS LÄN</t>
        </is>
      </c>
      <c r="E344" t="inlineStr">
        <is>
          <t>UPPVIDINGE</t>
        </is>
      </c>
      <c r="G344" t="n">
        <v>4.3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HYPERLINK("https://klasma.github.io/Logging_070760/artfynd/A 23183-2025 artfynd.xlsx", "A 23183-2025")</f>
        <v/>
      </c>
      <c r="T344">
        <f>HYPERLINK("https://klasma.github.io/Logging_070760/kartor/A 23183-2025 karta.png", "A 23183-2025")</f>
        <v/>
      </c>
      <c r="V344">
        <f>HYPERLINK("https://klasma.github.io/Logging_070760/klagomål/A 23183-2025 FSC-klagomål.docx", "A 23183-2025")</f>
        <v/>
      </c>
      <c r="W344">
        <f>HYPERLINK("https://klasma.github.io/Logging_070760/klagomålsmail/A 23183-2025 FSC-klagomål mail.docx", "A 23183-2025")</f>
        <v/>
      </c>
      <c r="X344">
        <f>HYPERLINK("https://klasma.github.io/Logging_070760/tillsyn/A 23183-2025 tillsynsbegäran.docx", "A 23183-2025")</f>
        <v/>
      </c>
      <c r="Y344">
        <f>HYPERLINK("https://klasma.github.io/Logging_070760/tillsynsmail/A 23183-2025 tillsynsbegäran mail.docx", "A 23183-2025")</f>
        <v/>
      </c>
    </row>
    <row r="345" ht="15" customHeight="1">
      <c r="A345" t="inlineStr">
        <is>
          <t>A 28325-2025</t>
        </is>
      </c>
      <c r="B345" s="1" t="n">
        <v>45818</v>
      </c>
      <c r="C345" s="1" t="n">
        <v>45833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HYPERLINK("https://klasma.github.io/Logging_070765/artfynd/A 28325-2025 artfynd.xlsx", "A 28325-2025")</f>
        <v/>
      </c>
      <c r="T345">
        <f>HYPERLINK("https://klasma.github.io/Logging_070765/kartor/A 28325-2025 karta.png", "A 28325-2025")</f>
        <v/>
      </c>
      <c r="V345">
        <f>HYPERLINK("https://klasma.github.io/Logging_070765/klagomål/A 28325-2025 FSC-klagomål.docx", "A 28325-2025")</f>
        <v/>
      </c>
      <c r="W345">
        <f>HYPERLINK("https://klasma.github.io/Logging_070765/klagomålsmail/A 28325-2025 FSC-klagomål mail.docx", "A 28325-2025")</f>
        <v/>
      </c>
      <c r="X345">
        <f>HYPERLINK("https://klasma.github.io/Logging_070765/tillsyn/A 28325-2025 tillsynsbegäran.docx", "A 28325-2025")</f>
        <v/>
      </c>
      <c r="Y345">
        <f>HYPERLINK("https://klasma.github.io/Logging_070765/tillsynsmail/A 28325-2025 tillsynsbegäran mail.docx", "A 28325-2025")</f>
        <v/>
      </c>
    </row>
    <row r="346" ht="15" customHeight="1">
      <c r="A346" t="inlineStr">
        <is>
          <t>A 28560-2025</t>
        </is>
      </c>
      <c r="B346" s="1" t="n">
        <v>45819</v>
      </c>
      <c r="C346" s="1" t="n">
        <v>45833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Svinrot</t>
        </is>
      </c>
      <c r="S346">
        <f>HYPERLINK("https://klasma.github.io/Logging_070781/artfynd/A 28560-2025 artfynd.xlsx", "A 28560-2025")</f>
        <v/>
      </c>
      <c r="T346">
        <f>HYPERLINK("https://klasma.github.io/Logging_070781/kartor/A 28560-2025 karta.png", "A 28560-2025")</f>
        <v/>
      </c>
      <c r="V346">
        <f>HYPERLINK("https://klasma.github.io/Logging_070781/klagomål/A 28560-2025 FSC-klagomål.docx", "A 28560-2025")</f>
        <v/>
      </c>
      <c r="W346">
        <f>HYPERLINK("https://klasma.github.io/Logging_070781/klagomålsmail/A 28560-2025 FSC-klagomål mail.docx", "A 28560-2025")</f>
        <v/>
      </c>
      <c r="X346">
        <f>HYPERLINK("https://klasma.github.io/Logging_070781/tillsyn/A 28560-2025 tillsynsbegäran.docx", "A 28560-2025")</f>
        <v/>
      </c>
      <c r="Y346">
        <f>HYPERLINK("https://klasma.github.io/Logging_070781/tillsynsmail/A 28560-2025 tillsynsbegäran mail.docx", "A 28560-2025")</f>
        <v/>
      </c>
    </row>
    <row r="347" ht="15" customHeight="1">
      <c r="A347" t="inlineStr">
        <is>
          <t>A 28798-2025</t>
        </is>
      </c>
      <c r="B347" s="1" t="n">
        <v>45820</v>
      </c>
      <c r="C347" s="1" t="n">
        <v>45833</v>
      </c>
      <c r="D347" t="inlineStr">
        <is>
          <t>KRONOBERGS LÄN</t>
        </is>
      </c>
      <c r="E347" t="inlineStr">
        <is>
          <t>UPPVIDINGE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Igelkott</t>
        </is>
      </c>
      <c r="S347">
        <f>HYPERLINK("https://klasma.github.io/Logging_070760/artfynd/A 28798-2025 artfynd.xlsx", "A 28798-2025")</f>
        <v/>
      </c>
      <c r="T347">
        <f>HYPERLINK("https://klasma.github.io/Logging_070760/kartor/A 28798-2025 karta.png", "A 28798-2025")</f>
        <v/>
      </c>
      <c r="V347">
        <f>HYPERLINK("https://klasma.github.io/Logging_070760/klagomål/A 28798-2025 FSC-klagomål.docx", "A 28798-2025")</f>
        <v/>
      </c>
      <c r="W347">
        <f>HYPERLINK("https://klasma.github.io/Logging_070760/klagomålsmail/A 28798-2025 FSC-klagomål mail.docx", "A 28798-2025")</f>
        <v/>
      </c>
      <c r="X347">
        <f>HYPERLINK("https://klasma.github.io/Logging_070760/tillsyn/A 28798-2025 tillsynsbegäran.docx", "A 28798-2025")</f>
        <v/>
      </c>
      <c r="Y347">
        <f>HYPERLINK("https://klasma.github.io/Logging_070760/tillsynsmail/A 28798-2025 tillsynsbegäran mail.docx", "A 28798-2025")</f>
        <v/>
      </c>
    </row>
    <row r="348" ht="15" customHeight="1">
      <c r="A348" t="inlineStr">
        <is>
          <t>A 29201-2025</t>
        </is>
      </c>
      <c r="B348" s="1" t="n">
        <v>45823</v>
      </c>
      <c r="C348" s="1" t="n">
        <v>45833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HYPERLINK("https://klasma.github.io/Logging_070767/artfynd/A 29201-2025 artfynd.xlsx", "A 29201-2025")</f>
        <v/>
      </c>
      <c r="T348">
        <f>HYPERLINK("https://klasma.github.io/Logging_070767/kartor/A 29201-2025 karta.png", "A 29201-2025")</f>
        <v/>
      </c>
      <c r="V348">
        <f>HYPERLINK("https://klasma.github.io/Logging_070767/klagomål/A 29201-2025 FSC-klagomål.docx", "A 29201-2025")</f>
        <v/>
      </c>
      <c r="W348">
        <f>HYPERLINK("https://klasma.github.io/Logging_070767/klagomålsmail/A 29201-2025 FSC-klagomål mail.docx", "A 29201-2025")</f>
        <v/>
      </c>
      <c r="X348">
        <f>HYPERLINK("https://klasma.github.io/Logging_070767/tillsyn/A 29201-2025 tillsynsbegäran.docx", "A 29201-2025")</f>
        <v/>
      </c>
      <c r="Y348">
        <f>HYPERLINK("https://klasma.github.io/Logging_070767/tillsynsmail/A 29201-2025 tillsynsbegäran mail.docx", "A 29201-2025")</f>
        <v/>
      </c>
    </row>
    <row r="349" ht="15" customHeight="1">
      <c r="A349" t="inlineStr">
        <is>
          <t>A 29290-2025</t>
        </is>
      </c>
      <c r="B349" s="1" t="n">
        <v>45824</v>
      </c>
      <c r="C349" s="1" t="n">
        <v>45833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HYPERLINK("https://klasma.github.io/Logging_070780/artfynd/A 29290-2025 artfynd.xlsx", "A 29290-2025")</f>
        <v/>
      </c>
      <c r="T349">
        <f>HYPERLINK("https://klasma.github.io/Logging_070780/kartor/A 29290-2025 karta.png", "A 29290-2025")</f>
        <v/>
      </c>
      <c r="V349">
        <f>HYPERLINK("https://klasma.github.io/Logging_070780/klagomål/A 29290-2025 FSC-klagomål.docx", "A 29290-2025")</f>
        <v/>
      </c>
      <c r="W349">
        <f>HYPERLINK("https://klasma.github.io/Logging_070780/klagomålsmail/A 29290-2025 FSC-klagomål mail.docx", "A 29290-2025")</f>
        <v/>
      </c>
      <c r="X349">
        <f>HYPERLINK("https://klasma.github.io/Logging_070780/tillsyn/A 29290-2025 tillsynsbegäran.docx", "A 29290-2025")</f>
        <v/>
      </c>
      <c r="Y349">
        <f>HYPERLINK("https://klasma.github.io/Logging_070780/tillsynsmail/A 29290-2025 tillsynsbegäran mail.docx", "A 29290-2025")</f>
        <v/>
      </c>
    </row>
    <row r="350" ht="15" customHeight="1">
      <c r="A350" t="inlineStr">
        <is>
          <t>A 29588-2025</t>
        </is>
      </c>
      <c r="B350" s="1" t="n">
        <v>45825</v>
      </c>
      <c r="C350" s="1" t="n">
        <v>45833</v>
      </c>
      <c r="D350" t="inlineStr">
        <is>
          <t>KRONOBERGS LÄN</t>
        </is>
      </c>
      <c r="E350" t="inlineStr">
        <is>
          <t>UPPVIDINGE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1</v>
      </c>
      <c r="O350" t="n">
        <v>1</v>
      </c>
      <c r="P350" t="n">
        <v>0</v>
      </c>
      <c r="Q350" t="n">
        <v>1</v>
      </c>
      <c r="R350" s="2" t="inlineStr">
        <is>
          <t>Pimpinellros</t>
        </is>
      </c>
      <c r="S350">
        <f>HYPERLINK("https://klasma.github.io/Logging_070760/artfynd/A 29588-2025 artfynd.xlsx", "A 29588-2025")</f>
        <v/>
      </c>
      <c r="T350">
        <f>HYPERLINK("https://klasma.github.io/Logging_070760/kartor/A 29588-2025 karta.png", "A 29588-2025")</f>
        <v/>
      </c>
      <c r="V350">
        <f>HYPERLINK("https://klasma.github.io/Logging_070760/klagomål/A 29588-2025 FSC-klagomål.docx", "A 29588-2025")</f>
        <v/>
      </c>
      <c r="W350">
        <f>HYPERLINK("https://klasma.github.io/Logging_070760/klagomålsmail/A 29588-2025 FSC-klagomål mail.docx", "A 29588-2025")</f>
        <v/>
      </c>
      <c r="X350">
        <f>HYPERLINK("https://klasma.github.io/Logging_070760/tillsyn/A 29588-2025 tillsynsbegäran.docx", "A 29588-2025")</f>
        <v/>
      </c>
      <c r="Y350">
        <f>HYPERLINK("https://klasma.github.io/Logging_070760/tillsynsmail/A 29588-2025 tillsynsbegäran mail.docx", "A 29588-2025")</f>
        <v/>
      </c>
    </row>
    <row r="351" ht="15" customHeight="1">
      <c r="A351" t="inlineStr">
        <is>
          <t>A 30330-2025</t>
        </is>
      </c>
      <c r="B351" s="1" t="n">
        <v>45827</v>
      </c>
      <c r="C351" s="1" t="n">
        <v>45833</v>
      </c>
      <c r="D351" t="inlineStr">
        <is>
          <t>KRONOBERGS LÄN</t>
        </is>
      </c>
      <c r="E351" t="inlineStr">
        <is>
          <t>TINGSRYD</t>
        </is>
      </c>
      <c r="F351" t="inlineStr">
        <is>
          <t>Kommuner</t>
        </is>
      </c>
      <c r="G351" t="n">
        <v>1.8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HYPERLINK("https://klasma.github.io/Logging_070763/artfynd/A 30330-2025 artfynd.xlsx", "A 30330-2025")</f>
        <v/>
      </c>
      <c r="T351">
        <f>HYPERLINK("https://klasma.github.io/Logging_070763/kartor/A 30330-2025 karta.png", "A 30330-2025")</f>
        <v/>
      </c>
      <c r="V351">
        <f>HYPERLINK("https://klasma.github.io/Logging_070763/klagomål/A 30330-2025 FSC-klagomål.docx", "A 30330-2025")</f>
        <v/>
      </c>
      <c r="W351">
        <f>HYPERLINK("https://klasma.github.io/Logging_070763/klagomålsmail/A 30330-2025 FSC-klagomål mail.docx", "A 30330-2025")</f>
        <v/>
      </c>
      <c r="X351">
        <f>HYPERLINK("https://klasma.github.io/Logging_070763/tillsyn/A 30330-2025 tillsynsbegäran.docx", "A 30330-2025")</f>
        <v/>
      </c>
      <c r="Y351">
        <f>HYPERLINK("https://klasma.github.io/Logging_070763/tillsynsmail/A 30330-2025 tillsynsbegäran mail.docx", "A 30330-2025")</f>
        <v/>
      </c>
    </row>
    <row r="352" ht="15" customHeight="1">
      <c r="A352" t="inlineStr">
        <is>
          <t>A 17746-2019</t>
        </is>
      </c>
      <c r="B352" s="1" t="n">
        <v>43556</v>
      </c>
      <c r="C352" s="1" t="n">
        <v>45833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17832-2019</t>
        </is>
      </c>
      <c r="B353" s="1" t="n">
        <v>43556</v>
      </c>
      <c r="C353" s="1" t="n">
        <v>45833</v>
      </c>
      <c r="D353" t="inlineStr">
        <is>
          <t>KRONOBERGS LÄN</t>
        </is>
      </c>
      <c r="E353" t="inlineStr">
        <is>
          <t>UPPVIDINGE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17840-2019</t>
        </is>
      </c>
      <c r="B354" s="1" t="n">
        <v>43556</v>
      </c>
      <c r="C354" s="1" t="n">
        <v>45833</v>
      </c>
      <c r="D354" t="inlineStr">
        <is>
          <t>KRONOBERGS LÄN</t>
        </is>
      </c>
      <c r="E354" t="inlineStr">
        <is>
          <t>ÄLMHULT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17709-2019</t>
        </is>
      </c>
      <c r="B355" s="1" t="n">
        <v>43556</v>
      </c>
      <c r="C355" s="1" t="n">
        <v>45833</v>
      </c>
      <c r="D355" t="inlineStr">
        <is>
          <t>KRONOBERGS LÄN</t>
        </is>
      </c>
      <c r="E355" t="inlineStr">
        <is>
          <t>LJUNGBY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18005-2019</t>
        </is>
      </c>
      <c r="B356" s="1" t="n">
        <v>43556</v>
      </c>
      <c r="C356" s="1" t="n">
        <v>45833</v>
      </c>
      <c r="D356" t="inlineStr">
        <is>
          <t>KRONOBERGS LÄN</t>
        </is>
      </c>
      <c r="E356" t="inlineStr">
        <is>
          <t>TINGSRYD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18046-2019</t>
        </is>
      </c>
      <c r="B357" s="1" t="n">
        <v>43557</v>
      </c>
      <c r="C357" s="1" t="n">
        <v>45833</v>
      </c>
      <c r="D357" t="inlineStr">
        <is>
          <t>KRONOBERGS LÄN</t>
        </is>
      </c>
      <c r="E357" t="inlineStr">
        <is>
          <t>TINGSRYD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18025-2019</t>
        </is>
      </c>
      <c r="B358" s="1" t="n">
        <v>43557</v>
      </c>
      <c r="C358" s="1" t="n">
        <v>45833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18007-2019</t>
        </is>
      </c>
      <c r="B359" s="1" t="n">
        <v>43557</v>
      </c>
      <c r="C359" s="1" t="n">
        <v>45833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18084-2019</t>
        </is>
      </c>
      <c r="B360" s="1" t="n">
        <v>43558</v>
      </c>
      <c r="C360" s="1" t="n">
        <v>45833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18263-2019</t>
        </is>
      </c>
      <c r="B361" s="1" t="n">
        <v>43558</v>
      </c>
      <c r="C361" s="1" t="n">
        <v>45833</v>
      </c>
      <c r="D361" t="inlineStr">
        <is>
          <t>KRONOBERGS LÄN</t>
        </is>
      </c>
      <c r="E361" t="inlineStr">
        <is>
          <t>VÄXJÖ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18280-2019</t>
        </is>
      </c>
      <c r="B362" s="1" t="n">
        <v>43558</v>
      </c>
      <c r="C362" s="1" t="n">
        <v>45833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18089-2019</t>
        </is>
      </c>
      <c r="B363" s="1" t="n">
        <v>43558</v>
      </c>
      <c r="C363" s="1" t="n">
        <v>45833</v>
      </c>
      <c r="D363" t="inlineStr">
        <is>
          <t>KRONOBERGS LÄN</t>
        </is>
      </c>
      <c r="E363" t="inlineStr">
        <is>
          <t>LJUNGBY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18634-2019</t>
        </is>
      </c>
      <c r="B364" s="1" t="n">
        <v>43560</v>
      </c>
      <c r="C364" s="1" t="n">
        <v>45833</v>
      </c>
      <c r="D364" t="inlineStr">
        <is>
          <t>KRONOBERGS LÄN</t>
        </is>
      </c>
      <c r="E364" t="inlineStr">
        <is>
          <t>LJUNGBY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18725-2019</t>
        </is>
      </c>
      <c r="B365" s="1" t="n">
        <v>43560</v>
      </c>
      <c r="C365" s="1" t="n">
        <v>45833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18637-2019</t>
        </is>
      </c>
      <c r="B366" s="1" t="n">
        <v>43560</v>
      </c>
      <c r="C366" s="1" t="n">
        <v>45833</v>
      </c>
      <c r="D366" t="inlineStr">
        <is>
          <t>KRONOBERGS LÄN</t>
        </is>
      </c>
      <c r="E366" t="inlineStr">
        <is>
          <t>ALVESTA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18677-2019</t>
        </is>
      </c>
      <c r="B367" s="1" t="n">
        <v>43560</v>
      </c>
      <c r="C367" s="1" t="n">
        <v>45833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18726-2019</t>
        </is>
      </c>
      <c r="B368" s="1" t="n">
        <v>43560</v>
      </c>
      <c r="C368" s="1" t="n">
        <v>45833</v>
      </c>
      <c r="D368" t="inlineStr">
        <is>
          <t>KRONOBERGS LÄN</t>
        </is>
      </c>
      <c r="E368" t="inlineStr">
        <is>
          <t>ALVESTA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18594-2019</t>
        </is>
      </c>
      <c r="B369" s="1" t="n">
        <v>43560</v>
      </c>
      <c r="C369" s="1" t="n">
        <v>45833</v>
      </c>
      <c r="D369" t="inlineStr">
        <is>
          <t>KRONOBERGS LÄN</t>
        </is>
      </c>
      <c r="E369" t="inlineStr">
        <is>
          <t>ALVESTA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18742-2019</t>
        </is>
      </c>
      <c r="B370" s="1" t="n">
        <v>43560</v>
      </c>
      <c r="C370" s="1" t="n">
        <v>45833</v>
      </c>
      <c r="D370" t="inlineStr">
        <is>
          <t>KRONOBERGS LÄN</t>
        </is>
      </c>
      <c r="E370" t="inlineStr">
        <is>
          <t>UPPVIDINGE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18775-2019</t>
        </is>
      </c>
      <c r="B371" s="1" t="n">
        <v>43561</v>
      </c>
      <c r="C371" s="1" t="n">
        <v>45833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18945-2019</t>
        </is>
      </c>
      <c r="B372" s="1" t="n">
        <v>43563</v>
      </c>
      <c r="C372" s="1" t="n">
        <v>45833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18983-2019</t>
        </is>
      </c>
      <c r="B373" s="1" t="n">
        <v>43563</v>
      </c>
      <c r="C373" s="1" t="n">
        <v>45833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18974-2019</t>
        </is>
      </c>
      <c r="B374" s="1" t="n">
        <v>43563</v>
      </c>
      <c r="C374" s="1" t="n">
        <v>45833</v>
      </c>
      <c r="D374" t="inlineStr">
        <is>
          <t>KRONOBERGS LÄN</t>
        </is>
      </c>
      <c r="E374" t="inlineStr">
        <is>
          <t>UPPVIDINGE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19002-2019</t>
        </is>
      </c>
      <c r="B375" s="1" t="n">
        <v>43563</v>
      </c>
      <c r="C375" s="1" t="n">
        <v>45833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19241-2019</t>
        </is>
      </c>
      <c r="B376" s="1" t="n">
        <v>43564</v>
      </c>
      <c r="C376" s="1" t="n">
        <v>45833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19217-2019</t>
        </is>
      </c>
      <c r="B377" s="1" t="n">
        <v>43564</v>
      </c>
      <c r="C377" s="1" t="n">
        <v>45833</v>
      </c>
      <c r="D377" t="inlineStr">
        <is>
          <t>KRONOBERGS LÄN</t>
        </is>
      </c>
      <c r="E377" t="inlineStr">
        <is>
          <t>MARKARYD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19420-2019</t>
        </is>
      </c>
      <c r="B378" s="1" t="n">
        <v>43565</v>
      </c>
      <c r="C378" s="1" t="n">
        <v>45833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19509-2019</t>
        </is>
      </c>
      <c r="B379" s="1" t="n">
        <v>43565</v>
      </c>
      <c r="C379" s="1" t="n">
        <v>45833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19376-2019</t>
        </is>
      </c>
      <c r="B380" s="1" t="n">
        <v>43565</v>
      </c>
      <c r="C380" s="1" t="n">
        <v>45833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19506-2019</t>
        </is>
      </c>
      <c r="B381" s="1" t="n">
        <v>43565</v>
      </c>
      <c r="C381" s="1" t="n">
        <v>45833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19399-2019</t>
        </is>
      </c>
      <c r="B382" s="1" t="n">
        <v>43565</v>
      </c>
      <c r="C382" s="1" t="n">
        <v>45833</v>
      </c>
      <c r="D382" t="inlineStr">
        <is>
          <t>KRONOBERGS LÄN</t>
        </is>
      </c>
      <c r="E382" t="inlineStr">
        <is>
          <t>UPPVIDINGE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19590-2019</t>
        </is>
      </c>
      <c r="B383" s="1" t="n">
        <v>43566</v>
      </c>
      <c r="C383" s="1" t="n">
        <v>45833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19687-2019</t>
        </is>
      </c>
      <c r="B384" s="1" t="n">
        <v>43566</v>
      </c>
      <c r="C384" s="1" t="n">
        <v>45833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19586-2019</t>
        </is>
      </c>
      <c r="B385" s="1" t="n">
        <v>43566</v>
      </c>
      <c r="C385" s="1" t="n">
        <v>45833</v>
      </c>
      <c r="D385" t="inlineStr">
        <is>
          <t>KRONOBERGS LÄN</t>
        </is>
      </c>
      <c r="E385" t="inlineStr">
        <is>
          <t>LJUNGBY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19816-2019</t>
        </is>
      </c>
      <c r="B386" s="1" t="n">
        <v>43567</v>
      </c>
      <c r="C386" s="1" t="n">
        <v>45833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19948-2019</t>
        </is>
      </c>
      <c r="B387" s="1" t="n">
        <v>43569</v>
      </c>
      <c r="C387" s="1" t="n">
        <v>45833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19949-2019</t>
        </is>
      </c>
      <c r="B388" s="1" t="n">
        <v>43569</v>
      </c>
      <c r="C388" s="1" t="n">
        <v>45833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20123-2019</t>
        </is>
      </c>
      <c r="B389" s="1" t="n">
        <v>43570</v>
      </c>
      <c r="C389" s="1" t="n">
        <v>45833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20369-2019</t>
        </is>
      </c>
      <c r="B390" s="1" t="n">
        <v>43571</v>
      </c>
      <c r="C390" s="1" t="n">
        <v>45833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20212-2019</t>
        </is>
      </c>
      <c r="B391" s="1" t="n">
        <v>43571</v>
      </c>
      <c r="C391" s="1" t="n">
        <v>45833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20598-2019</t>
        </is>
      </c>
      <c r="B392" s="1" t="n">
        <v>43572</v>
      </c>
      <c r="C392" s="1" t="n">
        <v>45833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20542-2019</t>
        </is>
      </c>
      <c r="B393" s="1" t="n">
        <v>43572</v>
      </c>
      <c r="C393" s="1" t="n">
        <v>45833</v>
      </c>
      <c r="D393" t="inlineStr">
        <is>
          <t>KRONOBERGS LÄN</t>
        </is>
      </c>
      <c r="E393" t="inlineStr">
        <is>
          <t>LJUNGBY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20543-2019</t>
        </is>
      </c>
      <c r="B394" s="1" t="n">
        <v>43572</v>
      </c>
      <c r="C394" s="1" t="n">
        <v>45833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20545-2019</t>
        </is>
      </c>
      <c r="B395" s="1" t="n">
        <v>43572</v>
      </c>
      <c r="C395" s="1" t="n">
        <v>45833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20526-2019</t>
        </is>
      </c>
      <c r="B396" s="1" t="n">
        <v>43572</v>
      </c>
      <c r="C396" s="1" t="n">
        <v>45833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20708-2019</t>
        </is>
      </c>
      <c r="B397" s="1" t="n">
        <v>43573</v>
      </c>
      <c r="C397" s="1" t="n">
        <v>45833</v>
      </c>
      <c r="D397" t="inlineStr">
        <is>
          <t>KRONOBERGS LÄN</t>
        </is>
      </c>
      <c r="E397" t="inlineStr">
        <is>
          <t>UPPVIDINGE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20658-2019</t>
        </is>
      </c>
      <c r="B398" s="1" t="n">
        <v>43573</v>
      </c>
      <c r="C398" s="1" t="n">
        <v>45833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20665-2019</t>
        </is>
      </c>
      <c r="B399" s="1" t="n">
        <v>43573</v>
      </c>
      <c r="C399" s="1" t="n">
        <v>45833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20663-2019</t>
        </is>
      </c>
      <c r="B400" s="1" t="n">
        <v>43573</v>
      </c>
      <c r="C400" s="1" t="n">
        <v>45833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20662-2019</t>
        </is>
      </c>
      <c r="B401" s="1" t="n">
        <v>43573</v>
      </c>
      <c r="C401" s="1" t="n">
        <v>45833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20944-2019</t>
        </is>
      </c>
      <c r="B402" s="1" t="n">
        <v>43578</v>
      </c>
      <c r="C402" s="1" t="n">
        <v>45833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21043-2019</t>
        </is>
      </c>
      <c r="B403" s="1" t="n">
        <v>43578</v>
      </c>
      <c r="C403" s="1" t="n">
        <v>45833</v>
      </c>
      <c r="D403" t="inlineStr">
        <is>
          <t>KRONOBERGS LÄN</t>
        </is>
      </c>
      <c r="E403" t="inlineStr">
        <is>
          <t>TINGSRYD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21057-2019</t>
        </is>
      </c>
      <c r="B404" s="1" t="n">
        <v>43578</v>
      </c>
      <c r="C404" s="1" t="n">
        <v>45833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20938-2019</t>
        </is>
      </c>
      <c r="B405" s="1" t="n">
        <v>43578</v>
      </c>
      <c r="C405" s="1" t="n">
        <v>45833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20988-2019</t>
        </is>
      </c>
      <c r="B406" s="1" t="n">
        <v>43578</v>
      </c>
      <c r="C406" s="1" t="n">
        <v>45833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21076-2019</t>
        </is>
      </c>
      <c r="B407" s="1" t="n">
        <v>43578</v>
      </c>
      <c r="C407" s="1" t="n">
        <v>45833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21053-2019</t>
        </is>
      </c>
      <c r="B408" s="1" t="n">
        <v>43578</v>
      </c>
      <c r="C408" s="1" t="n">
        <v>45833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21048-2019</t>
        </is>
      </c>
      <c r="B409" s="1" t="n">
        <v>43578</v>
      </c>
      <c r="C409" s="1" t="n">
        <v>45833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21176-2019</t>
        </is>
      </c>
      <c r="B410" s="1" t="n">
        <v>43579</v>
      </c>
      <c r="C410" s="1" t="n">
        <v>45833</v>
      </c>
      <c r="D410" t="inlineStr">
        <is>
          <t>KRONOBERGS LÄN</t>
        </is>
      </c>
      <c r="E410" t="inlineStr">
        <is>
          <t>ÄLMHULT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21179-2019</t>
        </is>
      </c>
      <c r="B411" s="1" t="n">
        <v>43579</v>
      </c>
      <c r="C411" s="1" t="n">
        <v>45833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21152-2019</t>
        </is>
      </c>
      <c r="B412" s="1" t="n">
        <v>43579</v>
      </c>
      <c r="C412" s="1" t="n">
        <v>45833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21231-2019</t>
        </is>
      </c>
      <c r="B413" s="1" t="n">
        <v>43579</v>
      </c>
      <c r="C413" s="1" t="n">
        <v>45833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21317-2019</t>
        </is>
      </c>
      <c r="B414" s="1" t="n">
        <v>43579</v>
      </c>
      <c r="C414" s="1" t="n">
        <v>45833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21313-2019</t>
        </is>
      </c>
      <c r="B415" s="1" t="n">
        <v>43579</v>
      </c>
      <c r="C415" s="1" t="n">
        <v>45833</v>
      </c>
      <c r="D415" t="inlineStr">
        <is>
          <t>KRONOBERGS LÄN</t>
        </is>
      </c>
      <c r="E415" t="inlineStr">
        <is>
          <t>LJUNGBY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21318-2019</t>
        </is>
      </c>
      <c r="B416" s="1" t="n">
        <v>43579</v>
      </c>
      <c r="C416" s="1" t="n">
        <v>45833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21314-2019</t>
        </is>
      </c>
      <c r="B417" s="1" t="n">
        <v>43579</v>
      </c>
      <c r="C417" s="1" t="n">
        <v>45833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21320-2019</t>
        </is>
      </c>
      <c r="B418" s="1" t="n">
        <v>43579</v>
      </c>
      <c r="C418" s="1" t="n">
        <v>45833</v>
      </c>
      <c r="D418" t="inlineStr">
        <is>
          <t>KRONOBERGS LÄN</t>
        </is>
      </c>
      <c r="E418" t="inlineStr">
        <is>
          <t>TINGSRYD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21564-2019</t>
        </is>
      </c>
      <c r="B419" s="1" t="n">
        <v>43580</v>
      </c>
      <c r="C419" s="1" t="n">
        <v>45833</v>
      </c>
      <c r="D419" t="inlineStr">
        <is>
          <t>KRONOBERGS LÄN</t>
        </is>
      </c>
      <c r="E419" t="inlineStr">
        <is>
          <t>MARKARYD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21488-2019</t>
        </is>
      </c>
      <c r="B420" s="1" t="n">
        <v>43580</v>
      </c>
      <c r="C420" s="1" t="n">
        <v>45833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21712-2019</t>
        </is>
      </c>
      <c r="B421" s="1" t="n">
        <v>43581</v>
      </c>
      <c r="C421" s="1" t="n">
        <v>45833</v>
      </c>
      <c r="D421" t="inlineStr">
        <is>
          <t>KRONOBERGS LÄN</t>
        </is>
      </c>
      <c r="E421" t="inlineStr">
        <is>
          <t>VÄXJÖ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21665-2019</t>
        </is>
      </c>
      <c r="B422" s="1" t="n">
        <v>43581</v>
      </c>
      <c r="C422" s="1" t="n">
        <v>45833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21626-2019</t>
        </is>
      </c>
      <c r="B423" s="1" t="n">
        <v>43581</v>
      </c>
      <c r="C423" s="1" t="n">
        <v>45833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21881-2019</t>
        </is>
      </c>
      <c r="B424" s="1" t="n">
        <v>43584</v>
      </c>
      <c r="C424" s="1" t="n">
        <v>45833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22084-2019</t>
        </is>
      </c>
      <c r="B425" s="1" t="n">
        <v>43584</v>
      </c>
      <c r="C425" s="1" t="n">
        <v>45833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22163-2019</t>
        </is>
      </c>
      <c r="B426" s="1" t="n">
        <v>43585</v>
      </c>
      <c r="C426" s="1" t="n">
        <v>45833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22395-2019</t>
        </is>
      </c>
      <c r="B427" s="1" t="n">
        <v>43585</v>
      </c>
      <c r="C427" s="1" t="n">
        <v>45833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22263-2019</t>
        </is>
      </c>
      <c r="B428" s="1" t="n">
        <v>43585</v>
      </c>
      <c r="C428" s="1" t="n">
        <v>45833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22264-2019</t>
        </is>
      </c>
      <c r="B429" s="1" t="n">
        <v>43585</v>
      </c>
      <c r="C429" s="1" t="n">
        <v>45833</v>
      </c>
      <c r="D429" t="inlineStr">
        <is>
          <t>KRONOBERGS LÄN</t>
        </is>
      </c>
      <c r="E429" t="inlineStr">
        <is>
          <t>ÄLMHULT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22381-2019</t>
        </is>
      </c>
      <c r="B430" s="1" t="n">
        <v>43585</v>
      </c>
      <c r="C430" s="1" t="n">
        <v>45833</v>
      </c>
      <c r="D430" t="inlineStr">
        <is>
          <t>KRONOBERGS LÄN</t>
        </is>
      </c>
      <c r="E430" t="inlineStr">
        <is>
          <t>VÄXJÖ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22397-2019</t>
        </is>
      </c>
      <c r="B431" s="1" t="n">
        <v>43585</v>
      </c>
      <c r="C431" s="1" t="n">
        <v>45833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22166-2019</t>
        </is>
      </c>
      <c r="B432" s="1" t="n">
        <v>43585</v>
      </c>
      <c r="C432" s="1" t="n">
        <v>45833</v>
      </c>
      <c r="D432" t="inlineStr">
        <is>
          <t>KRONOBERGS LÄN</t>
        </is>
      </c>
      <c r="E432" t="inlineStr">
        <is>
          <t>TINGSRYD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22327-2019</t>
        </is>
      </c>
      <c r="B433" s="1" t="n">
        <v>43586</v>
      </c>
      <c r="C433" s="1" t="n">
        <v>45833</v>
      </c>
      <c r="D433" t="inlineStr">
        <is>
          <t>KRONOBERGS LÄN</t>
        </is>
      </c>
      <c r="E433" t="inlineStr">
        <is>
          <t>MARKARYD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22419-2019</t>
        </is>
      </c>
      <c r="B434" s="1" t="n">
        <v>43587</v>
      </c>
      <c r="C434" s="1" t="n">
        <v>45833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22584-2019</t>
        </is>
      </c>
      <c r="B435" s="1" t="n">
        <v>43587</v>
      </c>
      <c r="C435" s="1" t="n">
        <v>45833</v>
      </c>
      <c r="D435" t="inlineStr">
        <is>
          <t>KRONOBERGS LÄN</t>
        </is>
      </c>
      <c r="E435" t="inlineStr">
        <is>
          <t>TINGSRYD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22458-2019</t>
        </is>
      </c>
      <c r="B436" s="1" t="n">
        <v>43587</v>
      </c>
      <c r="C436" s="1" t="n">
        <v>45833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22346-2019</t>
        </is>
      </c>
      <c r="B437" s="1" t="n">
        <v>43587</v>
      </c>
      <c r="C437" s="1" t="n">
        <v>45833</v>
      </c>
      <c r="D437" t="inlineStr">
        <is>
          <t>KRONOBERGS LÄN</t>
        </is>
      </c>
      <c r="E437" t="inlineStr">
        <is>
          <t>VÄXJÖ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22349-2019</t>
        </is>
      </c>
      <c r="B438" s="1" t="n">
        <v>43587</v>
      </c>
      <c r="C438" s="1" t="n">
        <v>45833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22677-2019</t>
        </is>
      </c>
      <c r="B439" s="1" t="n">
        <v>43588</v>
      </c>
      <c r="C439" s="1" t="n">
        <v>45833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22731-2019</t>
        </is>
      </c>
      <c r="B440" s="1" t="n">
        <v>43588</v>
      </c>
      <c r="C440" s="1" t="n">
        <v>45833</v>
      </c>
      <c r="D440" t="inlineStr">
        <is>
          <t>KRONOBERGS LÄN</t>
        </is>
      </c>
      <c r="E440" t="inlineStr">
        <is>
          <t>LJUNGBY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22802-2019</t>
        </is>
      </c>
      <c r="B441" s="1" t="n">
        <v>43590</v>
      </c>
      <c r="C441" s="1" t="n">
        <v>45833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22805-2019</t>
        </is>
      </c>
      <c r="B442" s="1" t="n">
        <v>43590</v>
      </c>
      <c r="C442" s="1" t="n">
        <v>45833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22803-2019</t>
        </is>
      </c>
      <c r="B443" s="1" t="n">
        <v>43590</v>
      </c>
      <c r="C443" s="1" t="n">
        <v>45833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22847-2019</t>
        </is>
      </c>
      <c r="B444" s="1" t="n">
        <v>43591</v>
      </c>
      <c r="C444" s="1" t="n">
        <v>45833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22921-2019</t>
        </is>
      </c>
      <c r="B445" s="1" t="n">
        <v>43591</v>
      </c>
      <c r="C445" s="1" t="n">
        <v>45833</v>
      </c>
      <c r="D445" t="inlineStr">
        <is>
          <t>KRONOBERGS LÄN</t>
        </is>
      </c>
      <c r="E445" t="inlineStr">
        <is>
          <t>UPPVIDINGE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22918-2019</t>
        </is>
      </c>
      <c r="B446" s="1" t="n">
        <v>43591</v>
      </c>
      <c r="C446" s="1" t="n">
        <v>45833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22944-2019</t>
        </is>
      </c>
      <c r="B447" s="1" t="n">
        <v>43591</v>
      </c>
      <c r="C447" s="1" t="n">
        <v>45833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22948-2019</t>
        </is>
      </c>
      <c r="B448" s="1" t="n">
        <v>43591</v>
      </c>
      <c r="C448" s="1" t="n">
        <v>45833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22923-2019</t>
        </is>
      </c>
      <c r="B449" s="1" t="n">
        <v>43591</v>
      </c>
      <c r="C449" s="1" t="n">
        <v>45833</v>
      </c>
      <c r="D449" t="inlineStr">
        <is>
          <t>KRONOBERGS LÄN</t>
        </is>
      </c>
      <c r="E449" t="inlineStr">
        <is>
          <t>UPPVIDINGE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22989-2019</t>
        </is>
      </c>
      <c r="B450" s="1" t="n">
        <v>43591</v>
      </c>
      <c r="C450" s="1" t="n">
        <v>45833</v>
      </c>
      <c r="D450" t="inlineStr">
        <is>
          <t>KRONOBERGS LÄN</t>
        </is>
      </c>
      <c r="E450" t="inlineStr">
        <is>
          <t>ÄLMHULT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22870-2019</t>
        </is>
      </c>
      <c r="B451" s="1" t="n">
        <v>43591</v>
      </c>
      <c r="C451" s="1" t="n">
        <v>45833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23183-2019</t>
        </is>
      </c>
      <c r="B452" s="1" t="n">
        <v>43592</v>
      </c>
      <c r="C452" s="1" t="n">
        <v>45833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23427-2019</t>
        </is>
      </c>
      <c r="B453" s="1" t="n">
        <v>43592</v>
      </c>
      <c r="C453" s="1" t="n">
        <v>45833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23252-2019</t>
        </is>
      </c>
      <c r="B454" s="1" t="n">
        <v>43592</v>
      </c>
      <c r="C454" s="1" t="n">
        <v>45833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23224-2019</t>
        </is>
      </c>
      <c r="B455" s="1" t="n">
        <v>43592</v>
      </c>
      <c r="C455" s="1" t="n">
        <v>45833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23207-2019</t>
        </is>
      </c>
      <c r="B456" s="1" t="n">
        <v>43592</v>
      </c>
      <c r="C456" s="1" t="n">
        <v>45833</v>
      </c>
      <c r="D456" t="inlineStr">
        <is>
          <t>KRONOBERGS LÄN</t>
        </is>
      </c>
      <c r="E456" t="inlineStr">
        <is>
          <t>UPPVIDINGE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23258-2019</t>
        </is>
      </c>
      <c r="B457" s="1" t="n">
        <v>43592</v>
      </c>
      <c r="C457" s="1" t="n">
        <v>45833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23355-2019</t>
        </is>
      </c>
      <c r="B458" s="1" t="n">
        <v>43593</v>
      </c>
      <c r="C458" s="1" t="n">
        <v>45833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23375-2019</t>
        </is>
      </c>
      <c r="B459" s="1" t="n">
        <v>43593</v>
      </c>
      <c r="C459" s="1" t="n">
        <v>45833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23469-2019</t>
        </is>
      </c>
      <c r="B460" s="1" t="n">
        <v>43593</v>
      </c>
      <c r="C460" s="1" t="n">
        <v>45833</v>
      </c>
      <c r="D460" t="inlineStr">
        <is>
          <t>KRONOBERGS LÄN</t>
        </is>
      </c>
      <c r="E460" t="inlineStr">
        <is>
          <t>ÄLMHULT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23470-2019</t>
        </is>
      </c>
      <c r="B461" s="1" t="n">
        <v>43593</v>
      </c>
      <c r="C461" s="1" t="n">
        <v>45833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23420-2019</t>
        </is>
      </c>
      <c r="B462" s="1" t="n">
        <v>43593</v>
      </c>
      <c r="C462" s="1" t="n">
        <v>45833</v>
      </c>
      <c r="D462" t="inlineStr">
        <is>
          <t>KRONOBERGS LÄN</t>
        </is>
      </c>
      <c r="E462" t="inlineStr">
        <is>
          <t>ÄLMHULT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23472-2019</t>
        </is>
      </c>
      <c r="B463" s="1" t="n">
        <v>43593</v>
      </c>
      <c r="C463" s="1" t="n">
        <v>45833</v>
      </c>
      <c r="D463" t="inlineStr">
        <is>
          <t>KRONOBERGS LÄN</t>
        </is>
      </c>
      <c r="E463" t="inlineStr">
        <is>
          <t>ÄLMHULT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23467-2019</t>
        </is>
      </c>
      <c r="B464" s="1" t="n">
        <v>43593</v>
      </c>
      <c r="C464" s="1" t="n">
        <v>45833</v>
      </c>
      <c r="D464" t="inlineStr">
        <is>
          <t>KRONOBERGS LÄN</t>
        </is>
      </c>
      <c r="E464" t="inlineStr">
        <is>
          <t>ÄLMHULT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23471-2019</t>
        </is>
      </c>
      <c r="B465" s="1" t="n">
        <v>43593</v>
      </c>
      <c r="C465" s="1" t="n">
        <v>45833</v>
      </c>
      <c r="D465" t="inlineStr">
        <is>
          <t>KRONOBERGS LÄN</t>
        </is>
      </c>
      <c r="E465" t="inlineStr">
        <is>
          <t>ÄLMHULT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23580-2019</t>
        </is>
      </c>
      <c r="B466" s="1" t="n">
        <v>43594</v>
      </c>
      <c r="C466" s="1" t="n">
        <v>45833</v>
      </c>
      <c r="D466" t="inlineStr">
        <is>
          <t>KRONOBERGS LÄN</t>
        </is>
      </c>
      <c r="E466" t="inlineStr">
        <is>
          <t>UPPVIDINGE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23525-2019</t>
        </is>
      </c>
      <c r="B467" s="1" t="n">
        <v>43594</v>
      </c>
      <c r="C467" s="1" t="n">
        <v>45833</v>
      </c>
      <c r="D467" t="inlineStr">
        <is>
          <t>KRONOBERGS LÄN</t>
        </is>
      </c>
      <c r="E467" t="inlineStr">
        <is>
          <t>VÄXJÖ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23776-2019</t>
        </is>
      </c>
      <c r="B468" s="1" t="n">
        <v>43595</v>
      </c>
      <c r="C468" s="1" t="n">
        <v>45833</v>
      </c>
      <c r="D468" t="inlineStr">
        <is>
          <t>KRONOBERGS LÄN</t>
        </is>
      </c>
      <c r="E468" t="inlineStr">
        <is>
          <t>VÄXJÖ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23882-2019</t>
        </is>
      </c>
      <c r="B469" s="1" t="n">
        <v>43595</v>
      </c>
      <c r="C469" s="1" t="n">
        <v>45833</v>
      </c>
      <c r="D469" t="inlineStr">
        <is>
          <t>KRONOBERGS LÄN</t>
        </is>
      </c>
      <c r="E469" t="inlineStr">
        <is>
          <t>VÄXJÖ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24093-2019</t>
        </is>
      </c>
      <c r="B470" s="1" t="n">
        <v>43598</v>
      </c>
      <c r="C470" s="1" t="n">
        <v>45833</v>
      </c>
      <c r="D470" t="inlineStr">
        <is>
          <t>KRONOBERGS LÄN</t>
        </is>
      </c>
      <c r="E470" t="inlineStr">
        <is>
          <t>MARKARYD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24049-2019</t>
        </is>
      </c>
      <c r="B471" s="1" t="n">
        <v>43598</v>
      </c>
      <c r="C471" s="1" t="n">
        <v>45833</v>
      </c>
      <c r="D471" t="inlineStr">
        <is>
          <t>KRONOBERGS LÄN</t>
        </is>
      </c>
      <c r="E471" t="inlineStr">
        <is>
          <t>UPPVIDINGE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24044-2019</t>
        </is>
      </c>
      <c r="B472" s="1" t="n">
        <v>43598</v>
      </c>
      <c r="C472" s="1" t="n">
        <v>45833</v>
      </c>
      <c r="D472" t="inlineStr">
        <is>
          <t>KRONOBERGS LÄN</t>
        </is>
      </c>
      <c r="E472" t="inlineStr">
        <is>
          <t>TINGSRYD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23987-2019</t>
        </is>
      </c>
      <c r="B473" s="1" t="n">
        <v>43598</v>
      </c>
      <c r="C473" s="1" t="n">
        <v>45833</v>
      </c>
      <c r="D473" t="inlineStr">
        <is>
          <t>KRONOBERGS LÄN</t>
        </is>
      </c>
      <c r="E473" t="inlineStr">
        <is>
          <t>TINGSRYD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23983-2019</t>
        </is>
      </c>
      <c r="B474" s="1" t="n">
        <v>43598</v>
      </c>
      <c r="C474" s="1" t="n">
        <v>45833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24055-2019</t>
        </is>
      </c>
      <c r="B475" s="1" t="n">
        <v>43598</v>
      </c>
      <c r="C475" s="1" t="n">
        <v>45833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24310-2019</t>
        </is>
      </c>
      <c r="B476" s="1" t="n">
        <v>43599</v>
      </c>
      <c r="C476" s="1" t="n">
        <v>45833</v>
      </c>
      <c r="D476" t="inlineStr">
        <is>
          <t>KRONOBERGS LÄN</t>
        </is>
      </c>
      <c r="E476" t="inlineStr">
        <is>
          <t>LJUNGBY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24377-2019</t>
        </is>
      </c>
      <c r="B477" s="1" t="n">
        <v>43599</v>
      </c>
      <c r="C477" s="1" t="n">
        <v>45833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24244-2019</t>
        </is>
      </c>
      <c r="B478" s="1" t="n">
        <v>43599</v>
      </c>
      <c r="C478" s="1" t="n">
        <v>45833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24373-2019</t>
        </is>
      </c>
      <c r="B479" s="1" t="n">
        <v>43599</v>
      </c>
      <c r="C479" s="1" t="n">
        <v>45833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24378-2019</t>
        </is>
      </c>
      <c r="B480" s="1" t="n">
        <v>43599</v>
      </c>
      <c r="C480" s="1" t="n">
        <v>45833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24374-2019</t>
        </is>
      </c>
      <c r="B481" s="1" t="n">
        <v>43599</v>
      </c>
      <c r="C481" s="1" t="n">
        <v>45833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24376-2019</t>
        </is>
      </c>
      <c r="B482" s="1" t="n">
        <v>43599</v>
      </c>
      <c r="C482" s="1" t="n">
        <v>45833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24450-2019</t>
        </is>
      </c>
      <c r="B483" s="1" t="n">
        <v>43600</v>
      </c>
      <c r="C483" s="1" t="n">
        <v>45833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24452-2019</t>
        </is>
      </c>
      <c r="B484" s="1" t="n">
        <v>43600</v>
      </c>
      <c r="C484" s="1" t="n">
        <v>45833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25117-2019</t>
        </is>
      </c>
      <c r="B485" s="1" t="n">
        <v>43600</v>
      </c>
      <c r="C485" s="1" t="n">
        <v>45833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24971-2019</t>
        </is>
      </c>
      <c r="B486" s="1" t="n">
        <v>43600</v>
      </c>
      <c r="C486" s="1" t="n">
        <v>45833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24546-2019</t>
        </is>
      </c>
      <c r="B487" s="1" t="n">
        <v>43600</v>
      </c>
      <c r="C487" s="1" t="n">
        <v>45833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25113-2019</t>
        </is>
      </c>
      <c r="B488" s="1" t="n">
        <v>43600</v>
      </c>
      <c r="C488" s="1" t="n">
        <v>45833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24705-2019</t>
        </is>
      </c>
      <c r="B489" s="1" t="n">
        <v>43601</v>
      </c>
      <c r="C489" s="1" t="n">
        <v>45833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24701-2019</t>
        </is>
      </c>
      <c r="B490" s="1" t="n">
        <v>43601</v>
      </c>
      <c r="C490" s="1" t="n">
        <v>45833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24748-2019</t>
        </is>
      </c>
      <c r="B491" s="1" t="n">
        <v>43601</v>
      </c>
      <c r="C491" s="1" t="n">
        <v>45833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24678-2019</t>
        </is>
      </c>
      <c r="B492" s="1" t="n">
        <v>43601</v>
      </c>
      <c r="C492" s="1" t="n">
        <v>45833</v>
      </c>
      <c r="D492" t="inlineStr">
        <is>
          <t>KRONOBERGS LÄN</t>
        </is>
      </c>
      <c r="E492" t="inlineStr">
        <is>
          <t>TINGSRYD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24627-2019</t>
        </is>
      </c>
      <c r="B493" s="1" t="n">
        <v>43601</v>
      </c>
      <c r="C493" s="1" t="n">
        <v>45833</v>
      </c>
      <c r="D493" t="inlineStr">
        <is>
          <t>KRONOBERGS LÄN</t>
        </is>
      </c>
      <c r="E493" t="inlineStr">
        <is>
          <t>UPPVIDINGE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24697-2019</t>
        </is>
      </c>
      <c r="B494" s="1" t="n">
        <v>43601</v>
      </c>
      <c r="C494" s="1" t="n">
        <v>45833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25843-2019</t>
        </is>
      </c>
      <c r="B495" s="1" t="n">
        <v>43605</v>
      </c>
      <c r="C495" s="1" t="n">
        <v>45833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25254-2019</t>
        </is>
      </c>
      <c r="B496" s="1" t="n">
        <v>43605</v>
      </c>
      <c r="C496" s="1" t="n">
        <v>45833</v>
      </c>
      <c r="D496" t="inlineStr">
        <is>
          <t>KRONOBERGS LÄN</t>
        </is>
      </c>
      <c r="E496" t="inlineStr">
        <is>
          <t>LESSEBO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25261-2019</t>
        </is>
      </c>
      <c r="B497" s="1" t="n">
        <v>43605</v>
      </c>
      <c r="C497" s="1" t="n">
        <v>45833</v>
      </c>
      <c r="D497" t="inlineStr">
        <is>
          <t>KRONOBERGS LÄN</t>
        </is>
      </c>
      <c r="E497" t="inlineStr">
        <is>
          <t>ALVESTA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25905-2019</t>
        </is>
      </c>
      <c r="B498" s="1" t="n">
        <v>43605</v>
      </c>
      <c r="C498" s="1" t="n">
        <v>45833</v>
      </c>
      <c r="D498" t="inlineStr">
        <is>
          <t>KRONOBERGS LÄN</t>
        </is>
      </c>
      <c r="E498" t="inlineStr">
        <is>
          <t>ALVESTA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25108-2019</t>
        </is>
      </c>
      <c r="B499" s="1" t="n">
        <v>43605</v>
      </c>
      <c r="C499" s="1" t="n">
        <v>45833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25899-2019</t>
        </is>
      </c>
      <c r="B500" s="1" t="n">
        <v>43605</v>
      </c>
      <c r="C500" s="1" t="n">
        <v>45833</v>
      </c>
      <c r="D500" t="inlineStr">
        <is>
          <t>KRONOBERGS LÄN</t>
        </is>
      </c>
      <c r="E500" t="inlineStr">
        <is>
          <t>ÄLMHULT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25376-2019</t>
        </is>
      </c>
      <c r="B501" s="1" t="n">
        <v>43606</v>
      </c>
      <c r="C501" s="1" t="n">
        <v>45833</v>
      </c>
      <c r="D501" t="inlineStr">
        <is>
          <t>KRONOBERGS LÄN</t>
        </is>
      </c>
      <c r="E501" t="inlineStr">
        <is>
          <t>ALVESTA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25388-2019</t>
        </is>
      </c>
      <c r="B502" s="1" t="n">
        <v>43606</v>
      </c>
      <c r="C502" s="1" t="n">
        <v>45833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25377-2019</t>
        </is>
      </c>
      <c r="B503" s="1" t="n">
        <v>43606</v>
      </c>
      <c r="C503" s="1" t="n">
        <v>45833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26421-2019</t>
        </is>
      </c>
      <c r="B504" s="1" t="n">
        <v>43606</v>
      </c>
      <c r="C504" s="1" t="n">
        <v>45833</v>
      </c>
      <c r="D504" t="inlineStr">
        <is>
          <t>KRONOBERGS LÄN</t>
        </is>
      </c>
      <c r="E504" t="inlineStr">
        <is>
          <t>LESSEBO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25383-2019</t>
        </is>
      </c>
      <c r="B505" s="1" t="n">
        <v>43606</v>
      </c>
      <c r="C505" s="1" t="n">
        <v>45833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26478-2019</t>
        </is>
      </c>
      <c r="B506" s="1" t="n">
        <v>43607</v>
      </c>
      <c r="C506" s="1" t="n">
        <v>45833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26466-2019</t>
        </is>
      </c>
      <c r="B507" s="1" t="n">
        <v>43607</v>
      </c>
      <c r="C507" s="1" t="n">
        <v>45833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26494-2019</t>
        </is>
      </c>
      <c r="B508" s="1" t="n">
        <v>43607</v>
      </c>
      <c r="C508" s="1" t="n">
        <v>45833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26439-2019</t>
        </is>
      </c>
      <c r="B509" s="1" t="n">
        <v>43607</v>
      </c>
      <c r="C509" s="1" t="n">
        <v>45833</v>
      </c>
      <c r="D509" t="inlineStr">
        <is>
          <t>KRONOBERGS LÄN</t>
        </is>
      </c>
      <c r="E509" t="inlineStr">
        <is>
          <t>ALVESTA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25580-2019</t>
        </is>
      </c>
      <c r="B510" s="1" t="n">
        <v>43607</v>
      </c>
      <c r="C510" s="1" t="n">
        <v>45833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25761-2019</t>
        </is>
      </c>
      <c r="B511" s="1" t="n">
        <v>43608</v>
      </c>
      <c r="C511" s="1" t="n">
        <v>45833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25734-2019</t>
        </is>
      </c>
      <c r="B512" s="1" t="n">
        <v>43608</v>
      </c>
      <c r="C512" s="1" t="n">
        <v>45833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25879-2019</t>
        </is>
      </c>
      <c r="B513" s="1" t="n">
        <v>43608</v>
      </c>
      <c r="C513" s="1" t="n">
        <v>45833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25732-2019</t>
        </is>
      </c>
      <c r="B514" s="1" t="n">
        <v>43608</v>
      </c>
      <c r="C514" s="1" t="n">
        <v>45833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25735-2019</t>
        </is>
      </c>
      <c r="B515" s="1" t="n">
        <v>43608</v>
      </c>
      <c r="C515" s="1" t="n">
        <v>45833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25731-2019</t>
        </is>
      </c>
      <c r="B516" s="1" t="n">
        <v>43608</v>
      </c>
      <c r="C516" s="1" t="n">
        <v>45833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26152-2019</t>
        </is>
      </c>
      <c r="B517" s="1" t="n">
        <v>43609</v>
      </c>
      <c r="C517" s="1" t="n">
        <v>45833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26160-2019</t>
        </is>
      </c>
      <c r="B518" s="1" t="n">
        <v>43609</v>
      </c>
      <c r="C518" s="1" t="n">
        <v>45833</v>
      </c>
      <c r="D518" t="inlineStr">
        <is>
          <t>KRONOBERGS LÄN</t>
        </is>
      </c>
      <c r="E518" t="inlineStr">
        <is>
          <t>ALVESTA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26159-2019</t>
        </is>
      </c>
      <c r="B519" s="1" t="n">
        <v>43609</v>
      </c>
      <c r="C519" s="1" t="n">
        <v>45833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27105-2019</t>
        </is>
      </c>
      <c r="B520" s="1" t="n">
        <v>43609</v>
      </c>
      <c r="C520" s="1" t="n">
        <v>45833</v>
      </c>
      <c r="D520" t="inlineStr">
        <is>
          <t>KRONOBERGS LÄN</t>
        </is>
      </c>
      <c r="E520" t="inlineStr">
        <is>
          <t>MARKARYD</t>
        </is>
      </c>
      <c r="F520" t="inlineStr">
        <is>
          <t>Övriga Aktiebolag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26108-2019</t>
        </is>
      </c>
      <c r="B521" s="1" t="n">
        <v>43609</v>
      </c>
      <c r="C521" s="1" t="n">
        <v>45833</v>
      </c>
      <c r="D521" t="inlineStr">
        <is>
          <t>KRONOBERGS LÄN</t>
        </is>
      </c>
      <c r="E521" t="inlineStr">
        <is>
          <t>MARKARYD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26630-2019</t>
        </is>
      </c>
      <c r="B522" s="1" t="n">
        <v>43612</v>
      </c>
      <c r="C522" s="1" t="n">
        <v>45833</v>
      </c>
      <c r="D522" t="inlineStr">
        <is>
          <t>KRONOBERGS LÄN</t>
        </is>
      </c>
      <c r="E522" t="inlineStr">
        <is>
          <t>ALVESTA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27695-2019</t>
        </is>
      </c>
      <c r="B523" s="1" t="n">
        <v>43612</v>
      </c>
      <c r="C523" s="1" t="n">
        <v>45833</v>
      </c>
      <c r="D523" t="inlineStr">
        <is>
          <t>KRONOBERGS LÄN</t>
        </is>
      </c>
      <c r="E523" t="inlineStr">
        <is>
          <t>ALVESTA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26299-2019</t>
        </is>
      </c>
      <c r="B524" s="1" t="n">
        <v>43612</v>
      </c>
      <c r="C524" s="1" t="n">
        <v>45833</v>
      </c>
      <c r="D524" t="inlineStr">
        <is>
          <t>KRONOBERGS LÄN</t>
        </is>
      </c>
      <c r="E524" t="inlineStr">
        <is>
          <t>UPPVIDINGE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28022-2019</t>
        </is>
      </c>
      <c r="B525" s="1" t="n">
        <v>43613</v>
      </c>
      <c r="C525" s="1" t="n">
        <v>45833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27192-2019</t>
        </is>
      </c>
      <c r="B526" s="1" t="n">
        <v>43614</v>
      </c>
      <c r="C526" s="1" t="n">
        <v>45833</v>
      </c>
      <c r="D526" t="inlineStr">
        <is>
          <t>KRONOBERGS LÄN</t>
        </is>
      </c>
      <c r="E526" t="inlineStr">
        <is>
          <t>TINGSRYD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27380-2019</t>
        </is>
      </c>
      <c r="B527" s="1" t="n">
        <v>43616</v>
      </c>
      <c r="C527" s="1" t="n">
        <v>45833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27353-2019</t>
        </is>
      </c>
      <c r="B528" s="1" t="n">
        <v>43616</v>
      </c>
      <c r="C528" s="1" t="n">
        <v>45833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27537-2019</t>
        </is>
      </c>
      <c r="B529" s="1" t="n">
        <v>43616</v>
      </c>
      <c r="C529" s="1" t="n">
        <v>45833</v>
      </c>
      <c r="D529" t="inlineStr">
        <is>
          <t>KRONOBERGS LÄN</t>
        </is>
      </c>
      <c r="E529" t="inlineStr">
        <is>
          <t>TINGSRYD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27333-2019</t>
        </is>
      </c>
      <c r="B530" s="1" t="n">
        <v>43616</v>
      </c>
      <c r="C530" s="1" t="n">
        <v>45833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27437-2019</t>
        </is>
      </c>
      <c r="B531" s="1" t="n">
        <v>43618</v>
      </c>
      <c r="C531" s="1" t="n">
        <v>45833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27445-2019</t>
        </is>
      </c>
      <c r="B532" s="1" t="n">
        <v>43618</v>
      </c>
      <c r="C532" s="1" t="n">
        <v>45833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27446-2019</t>
        </is>
      </c>
      <c r="B533" s="1" t="n">
        <v>43618</v>
      </c>
      <c r="C533" s="1" t="n">
        <v>45833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27440-2019</t>
        </is>
      </c>
      <c r="B534" s="1" t="n">
        <v>43618</v>
      </c>
      <c r="C534" s="1" t="n">
        <v>45833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27443-2019</t>
        </is>
      </c>
      <c r="B535" s="1" t="n">
        <v>43618</v>
      </c>
      <c r="C535" s="1" t="n">
        <v>45833</v>
      </c>
      <c r="D535" t="inlineStr">
        <is>
          <t>KRONOBERGS LÄN</t>
        </is>
      </c>
      <c r="E535" t="inlineStr">
        <is>
          <t>TINGSRYD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27442-2019</t>
        </is>
      </c>
      <c r="B536" s="1" t="n">
        <v>43618</v>
      </c>
      <c r="C536" s="1" t="n">
        <v>45833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27614-2019</t>
        </is>
      </c>
      <c r="B537" s="1" t="n">
        <v>43619</v>
      </c>
      <c r="C537" s="1" t="n">
        <v>45833</v>
      </c>
      <c r="D537" t="inlineStr">
        <is>
          <t>KRONOBERGS LÄN</t>
        </is>
      </c>
      <c r="E537" t="inlineStr">
        <is>
          <t>VÄXJÖ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27704-2019</t>
        </is>
      </c>
      <c r="B538" s="1" t="n">
        <v>43619</v>
      </c>
      <c r="C538" s="1" t="n">
        <v>45833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28931-2019</t>
        </is>
      </c>
      <c r="B539" s="1" t="n">
        <v>43619</v>
      </c>
      <c r="C539" s="1" t="n">
        <v>45833</v>
      </c>
      <c r="D539" t="inlineStr">
        <is>
          <t>KRONOBERGS LÄN</t>
        </is>
      </c>
      <c r="E539" t="inlineStr">
        <is>
          <t>LESSEBO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27483-2019</t>
        </is>
      </c>
      <c r="B540" s="1" t="n">
        <v>43619</v>
      </c>
      <c r="C540" s="1" t="n">
        <v>45833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27568-2019</t>
        </is>
      </c>
      <c r="B541" s="1" t="n">
        <v>43619</v>
      </c>
      <c r="C541" s="1" t="n">
        <v>45833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27919-2019</t>
        </is>
      </c>
      <c r="B542" s="1" t="n">
        <v>43620</v>
      </c>
      <c r="C542" s="1" t="n">
        <v>45833</v>
      </c>
      <c r="D542" t="inlineStr">
        <is>
          <t>KRONOBERGS LÄN</t>
        </is>
      </c>
      <c r="E542" t="inlineStr">
        <is>
          <t>VÄXJÖ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27913-2019</t>
        </is>
      </c>
      <c r="B543" s="1" t="n">
        <v>43620</v>
      </c>
      <c r="C543" s="1" t="n">
        <v>45833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27936-2019</t>
        </is>
      </c>
      <c r="B544" s="1" t="n">
        <v>43620</v>
      </c>
      <c r="C544" s="1" t="n">
        <v>45833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27940-2019</t>
        </is>
      </c>
      <c r="B545" s="1" t="n">
        <v>43620</v>
      </c>
      <c r="C545" s="1" t="n">
        <v>45833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28145-2019</t>
        </is>
      </c>
      <c r="B546" s="1" t="n">
        <v>43621</v>
      </c>
      <c r="C546" s="1" t="n">
        <v>45833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28198-2019</t>
        </is>
      </c>
      <c r="B547" s="1" t="n">
        <v>43621</v>
      </c>
      <c r="C547" s="1" t="n">
        <v>45833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29431-2019</t>
        </is>
      </c>
      <c r="B548" s="1" t="n">
        <v>43623</v>
      </c>
      <c r="C548" s="1" t="n">
        <v>45833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29432-2019</t>
        </is>
      </c>
      <c r="B549" s="1" t="n">
        <v>43623</v>
      </c>
      <c r="C549" s="1" t="n">
        <v>45833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29198-2019</t>
        </is>
      </c>
      <c r="B550" s="1" t="n">
        <v>43623</v>
      </c>
      <c r="C550" s="1" t="n">
        <v>45833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29425-2019</t>
        </is>
      </c>
      <c r="B551" s="1" t="n">
        <v>43623</v>
      </c>
      <c r="C551" s="1" t="n">
        <v>45833</v>
      </c>
      <c r="D551" t="inlineStr">
        <is>
          <t>KRONOBERGS LÄN</t>
        </is>
      </c>
      <c r="E551" t="inlineStr">
        <is>
          <t>MARKARYD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28547-2019</t>
        </is>
      </c>
      <c r="B552" s="1" t="n">
        <v>43626</v>
      </c>
      <c r="C552" s="1" t="n">
        <v>45833</v>
      </c>
      <c r="D552" t="inlineStr">
        <is>
          <t>KRONOBERGS LÄN</t>
        </is>
      </c>
      <c r="E552" t="inlineStr">
        <is>
          <t>ALVESTA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28458-2019</t>
        </is>
      </c>
      <c r="B553" s="1" t="n">
        <v>43626</v>
      </c>
      <c r="C553" s="1" t="n">
        <v>45833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28447-2019</t>
        </is>
      </c>
      <c r="B554" s="1" t="n">
        <v>43626</v>
      </c>
      <c r="C554" s="1" t="n">
        <v>45833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28556-2019</t>
        </is>
      </c>
      <c r="B555" s="1" t="n">
        <v>43626</v>
      </c>
      <c r="C555" s="1" t="n">
        <v>45833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28686-2019</t>
        </is>
      </c>
      <c r="B556" s="1" t="n">
        <v>43627</v>
      </c>
      <c r="C556" s="1" t="n">
        <v>45833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28760-2019</t>
        </is>
      </c>
      <c r="B557" s="1" t="n">
        <v>43627</v>
      </c>
      <c r="C557" s="1" t="n">
        <v>45833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28844-2019</t>
        </is>
      </c>
      <c r="B558" s="1" t="n">
        <v>43627</v>
      </c>
      <c r="C558" s="1" t="n">
        <v>45833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28728-2019</t>
        </is>
      </c>
      <c r="B559" s="1" t="n">
        <v>43627</v>
      </c>
      <c r="C559" s="1" t="n">
        <v>45833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28758-2019</t>
        </is>
      </c>
      <c r="B560" s="1" t="n">
        <v>43627</v>
      </c>
      <c r="C560" s="1" t="n">
        <v>45833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28833-2019</t>
        </is>
      </c>
      <c r="B561" s="1" t="n">
        <v>43627</v>
      </c>
      <c r="C561" s="1" t="n">
        <v>45833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28648-2019</t>
        </is>
      </c>
      <c r="B562" s="1" t="n">
        <v>43627</v>
      </c>
      <c r="C562" s="1" t="n">
        <v>45833</v>
      </c>
      <c r="D562" t="inlineStr">
        <is>
          <t>KRONOBERGS LÄN</t>
        </is>
      </c>
      <c r="E562" t="inlineStr">
        <is>
          <t>TINGSRYD</t>
        </is>
      </c>
      <c r="G562" t="n">
        <v>16.6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28687-2019</t>
        </is>
      </c>
      <c r="B563" s="1" t="n">
        <v>43627</v>
      </c>
      <c r="C563" s="1" t="n">
        <v>45833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28835-2019</t>
        </is>
      </c>
      <c r="B564" s="1" t="n">
        <v>43627</v>
      </c>
      <c r="C564" s="1" t="n">
        <v>45833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28837-2019</t>
        </is>
      </c>
      <c r="B565" s="1" t="n">
        <v>43627</v>
      </c>
      <c r="C565" s="1" t="n">
        <v>45833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28836-2019</t>
        </is>
      </c>
      <c r="B566" s="1" t="n">
        <v>43627</v>
      </c>
      <c r="C566" s="1" t="n">
        <v>45833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28960-2019</t>
        </is>
      </c>
      <c r="B567" s="1" t="n">
        <v>43628</v>
      </c>
      <c r="C567" s="1" t="n">
        <v>45833</v>
      </c>
      <c r="D567" t="inlineStr">
        <is>
          <t>KRONOBERGS LÄN</t>
        </is>
      </c>
      <c r="E567" t="inlineStr">
        <is>
          <t>LESSEBO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28985-2019</t>
        </is>
      </c>
      <c r="B568" s="1" t="n">
        <v>43628</v>
      </c>
      <c r="C568" s="1" t="n">
        <v>45833</v>
      </c>
      <c r="D568" t="inlineStr">
        <is>
          <t>KRONOBERGS LÄN</t>
        </is>
      </c>
      <c r="E568" t="inlineStr">
        <is>
          <t>ALVESTA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28961-2019</t>
        </is>
      </c>
      <c r="B569" s="1" t="n">
        <v>43628</v>
      </c>
      <c r="C569" s="1" t="n">
        <v>45833</v>
      </c>
      <c r="D569" t="inlineStr">
        <is>
          <t>KRONOBERGS LÄN</t>
        </is>
      </c>
      <c r="E569" t="inlineStr">
        <is>
          <t>UPPVIDINGE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29656-2019</t>
        </is>
      </c>
      <c r="B570" s="1" t="n">
        <v>43628</v>
      </c>
      <c r="C570" s="1" t="n">
        <v>45833</v>
      </c>
      <c r="D570" t="inlineStr">
        <is>
          <t>KRONOBERGS LÄN</t>
        </is>
      </c>
      <c r="E570" t="inlineStr">
        <is>
          <t>TINGSRYD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29057-2019</t>
        </is>
      </c>
      <c r="B571" s="1" t="n">
        <v>43628</v>
      </c>
      <c r="C571" s="1" t="n">
        <v>45833</v>
      </c>
      <c r="D571" t="inlineStr">
        <is>
          <t>KRONOBERGS LÄN</t>
        </is>
      </c>
      <c r="E571" t="inlineStr">
        <is>
          <t>UPPVIDINGE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28873-2019</t>
        </is>
      </c>
      <c r="B572" s="1" t="n">
        <v>43628</v>
      </c>
      <c r="C572" s="1" t="n">
        <v>45833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29250-2019</t>
        </is>
      </c>
      <c r="B573" s="1" t="n">
        <v>43629</v>
      </c>
      <c r="C573" s="1" t="n">
        <v>45833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29353-2019</t>
        </is>
      </c>
      <c r="B574" s="1" t="n">
        <v>43629</v>
      </c>
      <c r="C574" s="1" t="n">
        <v>45833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29607-2019</t>
        </is>
      </c>
      <c r="B575" s="1" t="n">
        <v>43630</v>
      </c>
      <c r="C575" s="1" t="n">
        <v>45833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29622-2019</t>
        </is>
      </c>
      <c r="B576" s="1" t="n">
        <v>43630</v>
      </c>
      <c r="C576" s="1" t="n">
        <v>45833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29645-2019</t>
        </is>
      </c>
      <c r="B577" s="1" t="n">
        <v>43630</v>
      </c>
      <c r="C577" s="1" t="n">
        <v>45833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29738-2019</t>
        </is>
      </c>
      <c r="B578" s="1" t="n">
        <v>43630</v>
      </c>
      <c r="C578" s="1" t="n">
        <v>45833</v>
      </c>
      <c r="D578" t="inlineStr">
        <is>
          <t>KRONOBERGS LÄN</t>
        </is>
      </c>
      <c r="E578" t="inlineStr">
        <is>
          <t>UPPVIDINGE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29643-2019</t>
        </is>
      </c>
      <c r="B579" s="1" t="n">
        <v>43630</v>
      </c>
      <c r="C579" s="1" t="n">
        <v>45833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29739-2019</t>
        </is>
      </c>
      <c r="B580" s="1" t="n">
        <v>43630</v>
      </c>
      <c r="C580" s="1" t="n">
        <v>45833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29798-2019</t>
        </is>
      </c>
      <c r="B581" s="1" t="n">
        <v>43633</v>
      </c>
      <c r="C581" s="1" t="n">
        <v>45833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29883-2019</t>
        </is>
      </c>
      <c r="B582" s="1" t="n">
        <v>43633</v>
      </c>
      <c r="C582" s="1" t="n">
        <v>45833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29982-2019</t>
        </is>
      </c>
      <c r="B583" s="1" t="n">
        <v>43633</v>
      </c>
      <c r="C583" s="1" t="n">
        <v>45833</v>
      </c>
      <c r="D583" t="inlineStr">
        <is>
          <t>KRONOBERGS LÄN</t>
        </is>
      </c>
      <c r="E583" t="inlineStr">
        <is>
          <t>TINGSRYD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29797-2019</t>
        </is>
      </c>
      <c r="B584" s="1" t="n">
        <v>43633</v>
      </c>
      <c r="C584" s="1" t="n">
        <v>45833</v>
      </c>
      <c r="D584" t="inlineStr">
        <is>
          <t>KRONOBERGS LÄN</t>
        </is>
      </c>
      <c r="E584" t="inlineStr">
        <is>
          <t>LJUNGBY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30001-2019</t>
        </is>
      </c>
      <c r="B585" s="1" t="n">
        <v>43633</v>
      </c>
      <c r="C585" s="1" t="n">
        <v>45833</v>
      </c>
      <c r="D585" t="inlineStr">
        <is>
          <t>KRONOBERGS LÄN</t>
        </is>
      </c>
      <c r="E585" t="inlineStr">
        <is>
          <t>TINGSRYD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30388-2019</t>
        </is>
      </c>
      <c r="B586" s="1" t="n">
        <v>43633</v>
      </c>
      <c r="C586" s="1" t="n">
        <v>45833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30006-2019</t>
        </is>
      </c>
      <c r="B587" s="1" t="n">
        <v>43633</v>
      </c>
      <c r="C587" s="1" t="n">
        <v>45833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30215-2019</t>
        </is>
      </c>
      <c r="B588" s="1" t="n">
        <v>43634</v>
      </c>
      <c r="C588" s="1" t="n">
        <v>45833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30193-2019</t>
        </is>
      </c>
      <c r="B589" s="1" t="n">
        <v>43634</v>
      </c>
      <c r="C589" s="1" t="n">
        <v>45833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30241-2019</t>
        </is>
      </c>
      <c r="B590" s="1" t="n">
        <v>43634</v>
      </c>
      <c r="C590" s="1" t="n">
        <v>45833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30190-2019</t>
        </is>
      </c>
      <c r="B591" s="1" t="n">
        <v>43634</v>
      </c>
      <c r="C591" s="1" t="n">
        <v>45833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30200-2019</t>
        </is>
      </c>
      <c r="B592" s="1" t="n">
        <v>43634</v>
      </c>
      <c r="C592" s="1" t="n">
        <v>45833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30204-2019</t>
        </is>
      </c>
      <c r="B593" s="1" t="n">
        <v>43634</v>
      </c>
      <c r="C593" s="1" t="n">
        <v>45833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30201-2019</t>
        </is>
      </c>
      <c r="B594" s="1" t="n">
        <v>43634</v>
      </c>
      <c r="C594" s="1" t="n">
        <v>45833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30208-2019</t>
        </is>
      </c>
      <c r="B595" s="1" t="n">
        <v>43634</v>
      </c>
      <c r="C595" s="1" t="n">
        <v>45833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30291-2019</t>
        </is>
      </c>
      <c r="B596" s="1" t="n">
        <v>43634</v>
      </c>
      <c r="C596" s="1" t="n">
        <v>45833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30587-2019</t>
        </is>
      </c>
      <c r="B597" s="1" t="n">
        <v>43635</v>
      </c>
      <c r="C597" s="1" t="n">
        <v>45833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30663-2019</t>
        </is>
      </c>
      <c r="B598" s="1" t="n">
        <v>43636</v>
      </c>
      <c r="C598" s="1" t="n">
        <v>45833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30642-2019</t>
        </is>
      </c>
      <c r="B599" s="1" t="n">
        <v>43636</v>
      </c>
      <c r="C599" s="1" t="n">
        <v>45833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30659-2019</t>
        </is>
      </c>
      <c r="B600" s="1" t="n">
        <v>43636</v>
      </c>
      <c r="C600" s="1" t="n">
        <v>45833</v>
      </c>
      <c r="D600" t="inlineStr">
        <is>
          <t>KRONOBERGS LÄN</t>
        </is>
      </c>
      <c r="E600" t="inlineStr">
        <is>
          <t>ALVESTA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30753-2019</t>
        </is>
      </c>
      <c r="B601" s="1" t="n">
        <v>43636</v>
      </c>
      <c r="C601" s="1" t="n">
        <v>45833</v>
      </c>
      <c r="D601" t="inlineStr">
        <is>
          <t>KRONOBERGS LÄN</t>
        </is>
      </c>
      <c r="E601" t="inlineStr">
        <is>
          <t>UPPVIDINGE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30668-2019</t>
        </is>
      </c>
      <c r="B602" s="1" t="n">
        <v>43636</v>
      </c>
      <c r="C602" s="1" t="n">
        <v>45833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30875-2019</t>
        </is>
      </c>
      <c r="B603" s="1" t="n">
        <v>43636</v>
      </c>
      <c r="C603" s="1" t="n">
        <v>45833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30907-2019</t>
        </is>
      </c>
      <c r="B604" s="1" t="n">
        <v>43636</v>
      </c>
      <c r="C604" s="1" t="n">
        <v>45833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31378-2019</t>
        </is>
      </c>
      <c r="B605" s="1" t="n">
        <v>43636</v>
      </c>
      <c r="C605" s="1" t="n">
        <v>45833</v>
      </c>
      <c r="D605" t="inlineStr">
        <is>
          <t>KRONOBERGS LÄN</t>
        </is>
      </c>
      <c r="E605" t="inlineStr">
        <is>
          <t>TINGSRYD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30874-2019</t>
        </is>
      </c>
      <c r="B606" s="1" t="n">
        <v>43636</v>
      </c>
      <c r="C606" s="1" t="n">
        <v>45833</v>
      </c>
      <c r="D606" t="inlineStr">
        <is>
          <t>KRONOBERGS LÄN</t>
        </is>
      </c>
      <c r="E606" t="inlineStr">
        <is>
          <t>UPPVIDINGE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30672-2019</t>
        </is>
      </c>
      <c r="B607" s="1" t="n">
        <v>43636</v>
      </c>
      <c r="C607" s="1" t="n">
        <v>45833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30798-2019</t>
        </is>
      </c>
      <c r="B608" s="1" t="n">
        <v>43636</v>
      </c>
      <c r="C608" s="1" t="n">
        <v>45833</v>
      </c>
      <c r="D608" t="inlineStr">
        <is>
          <t>KRONOBERGS LÄN</t>
        </is>
      </c>
      <c r="E608" t="inlineStr">
        <is>
          <t>UPPVIDINGE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30749-2019</t>
        </is>
      </c>
      <c r="B609" s="1" t="n">
        <v>43636</v>
      </c>
      <c r="C609" s="1" t="n">
        <v>45833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31013-2019</t>
        </is>
      </c>
      <c r="B610" s="1" t="n">
        <v>43640</v>
      </c>
      <c r="C610" s="1" t="n">
        <v>45833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31002-2019</t>
        </is>
      </c>
      <c r="B611" s="1" t="n">
        <v>43640</v>
      </c>
      <c r="C611" s="1" t="n">
        <v>45833</v>
      </c>
      <c r="D611" t="inlineStr">
        <is>
          <t>KRONOBERGS LÄN</t>
        </is>
      </c>
      <c r="E611" t="inlineStr">
        <is>
          <t>TINGSRYD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30984-2019</t>
        </is>
      </c>
      <c r="B612" s="1" t="n">
        <v>43640</v>
      </c>
      <c r="C612" s="1" t="n">
        <v>45833</v>
      </c>
      <c r="D612" t="inlineStr">
        <is>
          <t>KRONOBERGS LÄN</t>
        </is>
      </c>
      <c r="E612" t="inlineStr">
        <is>
          <t>LJUNGBY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31003-2019</t>
        </is>
      </c>
      <c r="B613" s="1" t="n">
        <v>43640</v>
      </c>
      <c r="C613" s="1" t="n">
        <v>45833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31150-2019</t>
        </is>
      </c>
      <c r="B614" s="1" t="n">
        <v>43640</v>
      </c>
      <c r="C614" s="1" t="n">
        <v>45833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31182-2019</t>
        </is>
      </c>
      <c r="B615" s="1" t="n">
        <v>43640</v>
      </c>
      <c r="C615" s="1" t="n">
        <v>45833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31256-2019</t>
        </is>
      </c>
      <c r="B616" s="1" t="n">
        <v>43640</v>
      </c>
      <c r="C616" s="1" t="n">
        <v>45833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31255-2019</t>
        </is>
      </c>
      <c r="B617" s="1" t="n">
        <v>43640</v>
      </c>
      <c r="C617" s="1" t="n">
        <v>45833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31114-2019</t>
        </is>
      </c>
      <c r="B618" s="1" t="n">
        <v>43640</v>
      </c>
      <c r="C618" s="1" t="n">
        <v>45833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31484-2019</t>
        </is>
      </c>
      <c r="B619" s="1" t="n">
        <v>43641</v>
      </c>
      <c r="C619" s="1" t="n">
        <v>45833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31545-2019</t>
        </is>
      </c>
      <c r="B620" s="1" t="n">
        <v>43641</v>
      </c>
      <c r="C620" s="1" t="n">
        <v>45833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31339-2019</t>
        </is>
      </c>
      <c r="B621" s="1" t="n">
        <v>43641</v>
      </c>
      <c r="C621" s="1" t="n">
        <v>45833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31550-2019</t>
        </is>
      </c>
      <c r="B622" s="1" t="n">
        <v>43641</v>
      </c>
      <c r="C622" s="1" t="n">
        <v>45833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31505-2019</t>
        </is>
      </c>
      <c r="B623" s="1" t="n">
        <v>43641</v>
      </c>
      <c r="C623" s="1" t="n">
        <v>45833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31741-2019</t>
        </is>
      </c>
      <c r="B624" s="1" t="n">
        <v>43642</v>
      </c>
      <c r="C624" s="1" t="n">
        <v>45833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31623-2019</t>
        </is>
      </c>
      <c r="B625" s="1" t="n">
        <v>43642</v>
      </c>
      <c r="C625" s="1" t="n">
        <v>45833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31694-2019</t>
        </is>
      </c>
      <c r="B626" s="1" t="n">
        <v>43642</v>
      </c>
      <c r="C626" s="1" t="n">
        <v>45833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31797-2019</t>
        </is>
      </c>
      <c r="B627" s="1" t="n">
        <v>43642</v>
      </c>
      <c r="C627" s="1" t="n">
        <v>45833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31799-2019</t>
        </is>
      </c>
      <c r="B628" s="1" t="n">
        <v>43642</v>
      </c>
      <c r="C628" s="1" t="n">
        <v>45833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31946-2019</t>
        </is>
      </c>
      <c r="B629" s="1" t="n">
        <v>43643</v>
      </c>
      <c r="C629" s="1" t="n">
        <v>45833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31999-2019</t>
        </is>
      </c>
      <c r="B630" s="1" t="n">
        <v>43643</v>
      </c>
      <c r="C630" s="1" t="n">
        <v>45833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32004-2019</t>
        </is>
      </c>
      <c r="B631" s="1" t="n">
        <v>43643</v>
      </c>
      <c r="C631" s="1" t="n">
        <v>45833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31928-2019</t>
        </is>
      </c>
      <c r="B632" s="1" t="n">
        <v>43643</v>
      </c>
      <c r="C632" s="1" t="n">
        <v>45833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31943-2019</t>
        </is>
      </c>
      <c r="B633" s="1" t="n">
        <v>43643</v>
      </c>
      <c r="C633" s="1" t="n">
        <v>45833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32118-2019</t>
        </is>
      </c>
      <c r="B634" s="1" t="n">
        <v>43643</v>
      </c>
      <c r="C634" s="1" t="n">
        <v>45833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32080-2019</t>
        </is>
      </c>
      <c r="B635" s="1" t="n">
        <v>43643</v>
      </c>
      <c r="C635" s="1" t="n">
        <v>45833</v>
      </c>
      <c r="D635" t="inlineStr">
        <is>
          <t>KRONOBERGS LÄN</t>
        </is>
      </c>
      <c r="E635" t="inlineStr">
        <is>
          <t>MARKARYD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32063-2019</t>
        </is>
      </c>
      <c r="B636" s="1" t="n">
        <v>43643</v>
      </c>
      <c r="C636" s="1" t="n">
        <v>45833</v>
      </c>
      <c r="D636" t="inlineStr">
        <is>
          <t>KRONOBERGS LÄN</t>
        </is>
      </c>
      <c r="E636" t="inlineStr">
        <is>
          <t>VÄXJÖ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32246-2019</t>
        </is>
      </c>
      <c r="B637" s="1" t="n">
        <v>43644</v>
      </c>
      <c r="C637" s="1" t="n">
        <v>45833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32240-2019</t>
        </is>
      </c>
      <c r="B638" s="1" t="n">
        <v>43644</v>
      </c>
      <c r="C638" s="1" t="n">
        <v>45833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32508-2019</t>
        </is>
      </c>
      <c r="B639" s="1" t="n">
        <v>43645</v>
      </c>
      <c r="C639" s="1" t="n">
        <v>45833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32507-2019</t>
        </is>
      </c>
      <c r="B640" s="1" t="n">
        <v>43645</v>
      </c>
      <c r="C640" s="1" t="n">
        <v>45833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32518-2019</t>
        </is>
      </c>
      <c r="B641" s="1" t="n">
        <v>43646</v>
      </c>
      <c r="C641" s="1" t="n">
        <v>45833</v>
      </c>
      <c r="D641" t="inlineStr">
        <is>
          <t>KRONOBERGS LÄN</t>
        </is>
      </c>
      <c r="E641" t="inlineStr">
        <is>
          <t>VÄXJÖ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32598-2019</t>
        </is>
      </c>
      <c r="B642" s="1" t="n">
        <v>43647</v>
      </c>
      <c r="C642" s="1" t="n">
        <v>45833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32605-2019</t>
        </is>
      </c>
      <c r="B643" s="1" t="n">
        <v>43647</v>
      </c>
      <c r="C643" s="1" t="n">
        <v>45833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32574-2019</t>
        </is>
      </c>
      <c r="B644" s="1" t="n">
        <v>43647</v>
      </c>
      <c r="C644" s="1" t="n">
        <v>45833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32892-2019</t>
        </is>
      </c>
      <c r="B645" s="1" t="n">
        <v>43648</v>
      </c>
      <c r="C645" s="1" t="n">
        <v>45833</v>
      </c>
      <c r="D645" t="inlineStr">
        <is>
          <t>KRONOBERGS LÄN</t>
        </is>
      </c>
      <c r="E645" t="inlineStr">
        <is>
          <t>TINGSRYD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32867-2019</t>
        </is>
      </c>
      <c r="B646" s="1" t="n">
        <v>43648</v>
      </c>
      <c r="C646" s="1" t="n">
        <v>45833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32967-2019</t>
        </is>
      </c>
      <c r="B647" s="1" t="n">
        <v>43648</v>
      </c>
      <c r="C647" s="1" t="n">
        <v>45833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32893-2019</t>
        </is>
      </c>
      <c r="B648" s="1" t="n">
        <v>43648</v>
      </c>
      <c r="C648" s="1" t="n">
        <v>45833</v>
      </c>
      <c r="D648" t="inlineStr">
        <is>
          <t>KRONOBERGS LÄN</t>
        </is>
      </c>
      <c r="E648" t="inlineStr">
        <is>
          <t>LJUNGBY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32943-2019</t>
        </is>
      </c>
      <c r="B649" s="1" t="n">
        <v>43648</v>
      </c>
      <c r="C649" s="1" t="n">
        <v>45833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32777-2019</t>
        </is>
      </c>
      <c r="B650" s="1" t="n">
        <v>43648</v>
      </c>
      <c r="C650" s="1" t="n">
        <v>45833</v>
      </c>
      <c r="D650" t="inlineStr">
        <is>
          <t>KRONOBERGS LÄN</t>
        </is>
      </c>
      <c r="E650" t="inlineStr">
        <is>
          <t>LESSEBO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33054-2019</t>
        </is>
      </c>
      <c r="B651" s="1" t="n">
        <v>43649</v>
      </c>
      <c r="C651" s="1" t="n">
        <v>45833</v>
      </c>
      <c r="D651" t="inlineStr">
        <is>
          <t>KRONOBERGS LÄN</t>
        </is>
      </c>
      <c r="E651" t="inlineStr">
        <is>
          <t>ÄLMHULT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33067-2019</t>
        </is>
      </c>
      <c r="B652" s="1" t="n">
        <v>43649</v>
      </c>
      <c r="C652" s="1" t="n">
        <v>45833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33085-2019</t>
        </is>
      </c>
      <c r="B653" s="1" t="n">
        <v>43649</v>
      </c>
      <c r="C653" s="1" t="n">
        <v>45833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33152-2019</t>
        </is>
      </c>
      <c r="B654" s="1" t="n">
        <v>43649</v>
      </c>
      <c r="C654" s="1" t="n">
        <v>45833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33105-2019</t>
        </is>
      </c>
      <c r="B655" s="1" t="n">
        <v>43649</v>
      </c>
      <c r="C655" s="1" t="n">
        <v>45833</v>
      </c>
      <c r="D655" t="inlineStr">
        <is>
          <t>KRONOBERGS LÄN</t>
        </is>
      </c>
      <c r="E655" t="inlineStr">
        <is>
          <t>TINGSRYD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33049-2019</t>
        </is>
      </c>
      <c r="B656" s="1" t="n">
        <v>43649</v>
      </c>
      <c r="C656" s="1" t="n">
        <v>45833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33139-2019</t>
        </is>
      </c>
      <c r="B657" s="1" t="n">
        <v>43649</v>
      </c>
      <c r="C657" s="1" t="n">
        <v>45833</v>
      </c>
      <c r="D657" t="inlineStr">
        <is>
          <t>KRONOBERGS LÄN</t>
        </is>
      </c>
      <c r="E657" t="inlineStr">
        <is>
          <t>VÄXJÖ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33178-2019</t>
        </is>
      </c>
      <c r="B658" s="1" t="n">
        <v>43649</v>
      </c>
      <c r="C658" s="1" t="n">
        <v>45833</v>
      </c>
      <c r="D658" t="inlineStr">
        <is>
          <t>KRONOBERGS LÄN</t>
        </is>
      </c>
      <c r="E658" t="inlineStr">
        <is>
          <t>ÄLMHULT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33190-2019</t>
        </is>
      </c>
      <c r="B659" s="1" t="n">
        <v>43649</v>
      </c>
      <c r="C659" s="1" t="n">
        <v>45833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33022-2019</t>
        </is>
      </c>
      <c r="B660" s="1" t="n">
        <v>43649</v>
      </c>
      <c r="C660" s="1" t="n">
        <v>45833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33273-2019</t>
        </is>
      </c>
      <c r="B661" s="1" t="n">
        <v>43650</v>
      </c>
      <c r="C661" s="1" t="n">
        <v>45833</v>
      </c>
      <c r="D661" t="inlineStr">
        <is>
          <t>KRONOBERGS LÄN</t>
        </is>
      </c>
      <c r="E661" t="inlineStr">
        <is>
          <t>TINGSRYD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33446-2019</t>
        </is>
      </c>
      <c r="B662" s="1" t="n">
        <v>43650</v>
      </c>
      <c r="C662" s="1" t="n">
        <v>45833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33445-2019</t>
        </is>
      </c>
      <c r="B663" s="1" t="n">
        <v>43650</v>
      </c>
      <c r="C663" s="1" t="n">
        <v>45833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33449-2019</t>
        </is>
      </c>
      <c r="B664" s="1" t="n">
        <v>43650</v>
      </c>
      <c r="C664" s="1" t="n">
        <v>45833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33286-2019</t>
        </is>
      </c>
      <c r="B665" s="1" t="n">
        <v>43650</v>
      </c>
      <c r="C665" s="1" t="n">
        <v>45833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35194-2019</t>
        </is>
      </c>
      <c r="B666" s="1" t="n">
        <v>43650</v>
      </c>
      <c r="C666" s="1" t="n">
        <v>45833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33432-2019</t>
        </is>
      </c>
      <c r="B667" s="1" t="n">
        <v>43650</v>
      </c>
      <c r="C667" s="1" t="n">
        <v>45833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33454-2019</t>
        </is>
      </c>
      <c r="B668" s="1" t="n">
        <v>43650</v>
      </c>
      <c r="C668" s="1" t="n">
        <v>45833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33448-2019</t>
        </is>
      </c>
      <c r="B669" s="1" t="n">
        <v>43650</v>
      </c>
      <c r="C669" s="1" t="n">
        <v>45833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35201-2019</t>
        </is>
      </c>
      <c r="B670" s="1" t="n">
        <v>43650</v>
      </c>
      <c r="C670" s="1" t="n">
        <v>45833</v>
      </c>
      <c r="D670" t="inlineStr">
        <is>
          <t>KRONOBERGS LÄN</t>
        </is>
      </c>
      <c r="E670" t="inlineStr">
        <is>
          <t>UPPVIDINGE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34942-2019</t>
        </is>
      </c>
      <c r="B671" s="1" t="n">
        <v>43650</v>
      </c>
      <c r="C671" s="1" t="n">
        <v>45833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35185-2019</t>
        </is>
      </c>
      <c r="B672" s="1" t="n">
        <v>43650</v>
      </c>
      <c r="C672" s="1" t="n">
        <v>45833</v>
      </c>
      <c r="D672" t="inlineStr">
        <is>
          <t>KRONOBERGS LÄN</t>
        </is>
      </c>
      <c r="E672" t="inlineStr">
        <is>
          <t>UPPVIDINGE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33453-2019</t>
        </is>
      </c>
      <c r="B673" s="1" t="n">
        <v>43650</v>
      </c>
      <c r="C673" s="1" t="n">
        <v>45833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33487-2019</t>
        </is>
      </c>
      <c r="B674" s="1" t="n">
        <v>43651</v>
      </c>
      <c r="C674" s="1" t="n">
        <v>45833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35278-2019</t>
        </is>
      </c>
      <c r="B675" s="1" t="n">
        <v>43651</v>
      </c>
      <c r="C675" s="1" t="n">
        <v>45833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33754-2019</t>
        </is>
      </c>
      <c r="B676" s="1" t="n">
        <v>43651</v>
      </c>
      <c r="C676" s="1" t="n">
        <v>45833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35352-2019</t>
        </is>
      </c>
      <c r="B677" s="1" t="n">
        <v>43651</v>
      </c>
      <c r="C677" s="1" t="n">
        <v>45833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33894-2019</t>
        </is>
      </c>
      <c r="B678" s="1" t="n">
        <v>43653</v>
      </c>
      <c r="C678" s="1" t="n">
        <v>45833</v>
      </c>
      <c r="D678" t="inlineStr">
        <is>
          <t>KRONOBERGS LÄN</t>
        </is>
      </c>
      <c r="E678" t="inlineStr">
        <is>
          <t>ALVESTA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33896-2019</t>
        </is>
      </c>
      <c r="B679" s="1" t="n">
        <v>43653</v>
      </c>
      <c r="C679" s="1" t="n">
        <v>45833</v>
      </c>
      <c r="D679" t="inlineStr">
        <is>
          <t>KRONOBERGS LÄN</t>
        </is>
      </c>
      <c r="E679" t="inlineStr">
        <is>
          <t>VÄXJÖ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33897-2019</t>
        </is>
      </c>
      <c r="B680" s="1" t="n">
        <v>43653</v>
      </c>
      <c r="C680" s="1" t="n">
        <v>45833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34087-2019</t>
        </is>
      </c>
      <c r="B681" s="1" t="n">
        <v>43654</v>
      </c>
      <c r="C681" s="1" t="n">
        <v>45833</v>
      </c>
      <c r="D681" t="inlineStr">
        <is>
          <t>KRONOBERGS LÄN</t>
        </is>
      </c>
      <c r="E681" t="inlineStr">
        <is>
          <t>LESSEBO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34077-2019</t>
        </is>
      </c>
      <c r="B682" s="1" t="n">
        <v>43654</v>
      </c>
      <c r="C682" s="1" t="n">
        <v>45833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33970-2019</t>
        </is>
      </c>
      <c r="B683" s="1" t="n">
        <v>43654</v>
      </c>
      <c r="C683" s="1" t="n">
        <v>45833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34293-2019</t>
        </is>
      </c>
      <c r="B684" s="1" t="n">
        <v>43655</v>
      </c>
      <c r="C684" s="1" t="n">
        <v>45833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34298-2019</t>
        </is>
      </c>
      <c r="B685" s="1" t="n">
        <v>43655</v>
      </c>
      <c r="C685" s="1" t="n">
        <v>45833</v>
      </c>
      <c r="D685" t="inlineStr">
        <is>
          <t>KRONOBERGS LÄN</t>
        </is>
      </c>
      <c r="E685" t="inlineStr">
        <is>
          <t>LESSEBO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34200-2019</t>
        </is>
      </c>
      <c r="B686" s="1" t="n">
        <v>43655</v>
      </c>
      <c r="C686" s="1" t="n">
        <v>45833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34206-2019</t>
        </is>
      </c>
      <c r="B687" s="1" t="n">
        <v>43655</v>
      </c>
      <c r="C687" s="1" t="n">
        <v>45833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34294-2019</t>
        </is>
      </c>
      <c r="B688" s="1" t="n">
        <v>43655</v>
      </c>
      <c r="C688" s="1" t="n">
        <v>45833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34295-2019</t>
        </is>
      </c>
      <c r="B689" s="1" t="n">
        <v>43655</v>
      </c>
      <c r="C689" s="1" t="n">
        <v>45833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35626-2019</t>
        </is>
      </c>
      <c r="B690" s="1" t="n">
        <v>43655</v>
      </c>
      <c r="C690" s="1" t="n">
        <v>45833</v>
      </c>
      <c r="D690" t="inlineStr">
        <is>
          <t>KRONOBERGS LÄN</t>
        </is>
      </c>
      <c r="E690" t="inlineStr">
        <is>
          <t>ALVESTA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34292-2019</t>
        </is>
      </c>
      <c r="B691" s="1" t="n">
        <v>43655</v>
      </c>
      <c r="C691" s="1" t="n">
        <v>45833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34296-2019</t>
        </is>
      </c>
      <c r="B692" s="1" t="n">
        <v>43655</v>
      </c>
      <c r="C692" s="1" t="n">
        <v>45833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35640-2019</t>
        </is>
      </c>
      <c r="B693" s="1" t="n">
        <v>43655</v>
      </c>
      <c r="C693" s="1" t="n">
        <v>45833</v>
      </c>
      <c r="D693" t="inlineStr">
        <is>
          <t>KRONOBERGS LÄN</t>
        </is>
      </c>
      <c r="E693" t="inlineStr">
        <is>
          <t>VÄXJÖ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35632-2019</t>
        </is>
      </c>
      <c r="B694" s="1" t="n">
        <v>43655</v>
      </c>
      <c r="C694" s="1" t="n">
        <v>45833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35635-2019</t>
        </is>
      </c>
      <c r="B695" s="1" t="n">
        <v>43655</v>
      </c>
      <c r="C695" s="1" t="n">
        <v>45833</v>
      </c>
      <c r="D695" t="inlineStr">
        <is>
          <t>KRONOBERGS LÄN</t>
        </is>
      </c>
      <c r="E695" t="inlineStr">
        <is>
          <t>UPPVIDINGE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34299-2019</t>
        </is>
      </c>
      <c r="B696" s="1" t="n">
        <v>43655</v>
      </c>
      <c r="C696" s="1" t="n">
        <v>45833</v>
      </c>
      <c r="D696" t="inlineStr">
        <is>
          <t>KRONOBERGS LÄN</t>
        </is>
      </c>
      <c r="E696" t="inlineStr">
        <is>
          <t>LESSEBO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34355-2019</t>
        </is>
      </c>
      <c r="B697" s="1" t="n">
        <v>43656</v>
      </c>
      <c r="C697" s="1" t="n">
        <v>45833</v>
      </c>
      <c r="D697" t="inlineStr">
        <is>
          <t>KRONOBERGS LÄN</t>
        </is>
      </c>
      <c r="E697" t="inlineStr">
        <is>
          <t>LJUNGBY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34358-2019</t>
        </is>
      </c>
      <c r="B698" s="1" t="n">
        <v>43656</v>
      </c>
      <c r="C698" s="1" t="n">
        <v>45833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34339-2019</t>
        </is>
      </c>
      <c r="B699" s="1" t="n">
        <v>43656</v>
      </c>
      <c r="C699" s="1" t="n">
        <v>45833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34466-2019</t>
        </is>
      </c>
      <c r="B700" s="1" t="n">
        <v>43656</v>
      </c>
      <c r="C700" s="1" t="n">
        <v>45833</v>
      </c>
      <c r="D700" t="inlineStr">
        <is>
          <t>KRONOBERGS LÄN</t>
        </is>
      </c>
      <c r="E700" t="inlineStr">
        <is>
          <t>LESSEBO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34440-2019</t>
        </is>
      </c>
      <c r="B701" s="1" t="n">
        <v>43656</v>
      </c>
      <c r="C701" s="1" t="n">
        <v>45833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34429-2019</t>
        </is>
      </c>
      <c r="B702" s="1" t="n">
        <v>43656</v>
      </c>
      <c r="C702" s="1" t="n">
        <v>45833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34761-2019</t>
        </is>
      </c>
      <c r="B703" s="1" t="n">
        <v>43658</v>
      </c>
      <c r="C703" s="1" t="n">
        <v>45833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34931-2019</t>
        </is>
      </c>
      <c r="B704" s="1" t="n">
        <v>43658</v>
      </c>
      <c r="C704" s="1" t="n">
        <v>45833</v>
      </c>
      <c r="D704" t="inlineStr">
        <is>
          <t>KRONOBERGS LÄN</t>
        </is>
      </c>
      <c r="E704" t="inlineStr">
        <is>
          <t>MARKARYD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36110-2019</t>
        </is>
      </c>
      <c r="B705" s="1" t="n">
        <v>43658</v>
      </c>
      <c r="C705" s="1" t="n">
        <v>45833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34990-2019</t>
        </is>
      </c>
      <c r="B706" s="1" t="n">
        <v>43659</v>
      </c>
      <c r="C706" s="1" t="n">
        <v>45833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35159-2019</t>
        </is>
      </c>
      <c r="B707" s="1" t="n">
        <v>43661</v>
      </c>
      <c r="C707" s="1" t="n">
        <v>45833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35008-2019</t>
        </is>
      </c>
      <c r="B708" s="1" t="n">
        <v>43661</v>
      </c>
      <c r="C708" s="1" t="n">
        <v>45833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35162-2019</t>
        </is>
      </c>
      <c r="B709" s="1" t="n">
        <v>43661</v>
      </c>
      <c r="C709" s="1" t="n">
        <v>45833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35305-2019</t>
        </is>
      </c>
      <c r="B710" s="1" t="n">
        <v>43662</v>
      </c>
      <c r="C710" s="1" t="n">
        <v>45833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35368-2019</t>
        </is>
      </c>
      <c r="B711" s="1" t="n">
        <v>43663</v>
      </c>
      <c r="C711" s="1" t="n">
        <v>45833</v>
      </c>
      <c r="D711" t="inlineStr">
        <is>
          <t>KRONOBERGS LÄN</t>
        </is>
      </c>
      <c r="E711" t="inlineStr">
        <is>
          <t>UPPVIDINGE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35476-2019</t>
        </is>
      </c>
      <c r="B712" s="1" t="n">
        <v>43663</v>
      </c>
      <c r="C712" s="1" t="n">
        <v>45833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35473-2019</t>
        </is>
      </c>
      <c r="B713" s="1" t="n">
        <v>43663</v>
      </c>
      <c r="C713" s="1" t="n">
        <v>45833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35599-2019</t>
        </is>
      </c>
      <c r="B714" s="1" t="n">
        <v>43664</v>
      </c>
      <c r="C714" s="1" t="n">
        <v>45833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35556-2019</t>
        </is>
      </c>
      <c r="B715" s="1" t="n">
        <v>43664</v>
      </c>
      <c r="C715" s="1" t="n">
        <v>45833</v>
      </c>
      <c r="D715" t="inlineStr">
        <is>
          <t>KRONOBERGS LÄN</t>
        </is>
      </c>
      <c r="E715" t="inlineStr">
        <is>
          <t>UPPVIDINGE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35604-2019</t>
        </is>
      </c>
      <c r="B716" s="1" t="n">
        <v>43664</v>
      </c>
      <c r="C716" s="1" t="n">
        <v>45833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35541-2019</t>
        </is>
      </c>
      <c r="B717" s="1" t="n">
        <v>43664</v>
      </c>
      <c r="C717" s="1" t="n">
        <v>45833</v>
      </c>
      <c r="D717" t="inlineStr">
        <is>
          <t>KRONOBERGS LÄN</t>
        </is>
      </c>
      <c r="E717" t="inlineStr">
        <is>
          <t>TINGSRYD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35711-2019</t>
        </is>
      </c>
      <c r="B718" s="1" t="n">
        <v>43664</v>
      </c>
      <c r="C718" s="1" t="n">
        <v>45833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35605-2019</t>
        </is>
      </c>
      <c r="B719" s="1" t="n">
        <v>43664</v>
      </c>
      <c r="C719" s="1" t="n">
        <v>45833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35783-2019</t>
        </is>
      </c>
      <c r="B720" s="1" t="n">
        <v>43665</v>
      </c>
      <c r="C720" s="1" t="n">
        <v>45833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35878-2019</t>
        </is>
      </c>
      <c r="B721" s="1" t="n">
        <v>43665</v>
      </c>
      <c r="C721" s="1" t="n">
        <v>45833</v>
      </c>
      <c r="D721" t="inlineStr">
        <is>
          <t>KRONOBERGS LÄN</t>
        </is>
      </c>
      <c r="E721" t="inlineStr">
        <is>
          <t>TINGSRYD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35974-2019</t>
        </is>
      </c>
      <c r="B722" s="1" t="n">
        <v>43666</v>
      </c>
      <c r="C722" s="1" t="n">
        <v>45833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35978-2019</t>
        </is>
      </c>
      <c r="B723" s="1" t="n">
        <v>43667</v>
      </c>
      <c r="C723" s="1" t="n">
        <v>45833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35981-2019</t>
        </is>
      </c>
      <c r="B724" s="1" t="n">
        <v>43667</v>
      </c>
      <c r="C724" s="1" t="n">
        <v>45833</v>
      </c>
      <c r="D724" t="inlineStr">
        <is>
          <t>KRONOBERGS LÄN</t>
        </is>
      </c>
      <c r="E724" t="inlineStr">
        <is>
          <t>ALVESTA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35979-2019</t>
        </is>
      </c>
      <c r="B725" s="1" t="n">
        <v>43667</v>
      </c>
      <c r="C725" s="1" t="n">
        <v>45833</v>
      </c>
      <c r="D725" t="inlineStr">
        <is>
          <t>KRONOBERGS LÄN</t>
        </is>
      </c>
      <c r="E725" t="inlineStr">
        <is>
          <t>ALVESTA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36067-2019</t>
        </is>
      </c>
      <c r="B726" s="1" t="n">
        <v>43668</v>
      </c>
      <c r="C726" s="1" t="n">
        <v>45833</v>
      </c>
      <c r="D726" t="inlineStr">
        <is>
          <t>KRONOBERGS LÄN</t>
        </is>
      </c>
      <c r="E726" t="inlineStr">
        <is>
          <t>UPPVIDINGE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36068-2019</t>
        </is>
      </c>
      <c r="B727" s="1" t="n">
        <v>43668</v>
      </c>
      <c r="C727" s="1" t="n">
        <v>45833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36076-2019</t>
        </is>
      </c>
      <c r="B728" s="1" t="n">
        <v>43668</v>
      </c>
      <c r="C728" s="1" t="n">
        <v>45833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36005-2019</t>
        </is>
      </c>
      <c r="B729" s="1" t="n">
        <v>43668</v>
      </c>
      <c r="C729" s="1" t="n">
        <v>45833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36078-2019</t>
        </is>
      </c>
      <c r="B730" s="1" t="n">
        <v>43668</v>
      </c>
      <c r="C730" s="1" t="n">
        <v>45833</v>
      </c>
      <c r="D730" t="inlineStr">
        <is>
          <t>KRONOBERGS LÄN</t>
        </is>
      </c>
      <c r="E730" t="inlineStr">
        <is>
          <t>ALVESTA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36204-2019</t>
        </is>
      </c>
      <c r="B731" s="1" t="n">
        <v>43669</v>
      </c>
      <c r="C731" s="1" t="n">
        <v>45833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36228-2019</t>
        </is>
      </c>
      <c r="B732" s="1" t="n">
        <v>43669</v>
      </c>
      <c r="C732" s="1" t="n">
        <v>45833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36247-2019</t>
        </is>
      </c>
      <c r="B733" s="1" t="n">
        <v>43669</v>
      </c>
      <c r="C733" s="1" t="n">
        <v>45833</v>
      </c>
      <c r="D733" t="inlineStr">
        <is>
          <t>KRONOBERGS LÄN</t>
        </is>
      </c>
      <c r="E733" t="inlineStr">
        <is>
          <t>MARKARYD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36264-2019</t>
        </is>
      </c>
      <c r="B734" s="1" t="n">
        <v>43669</v>
      </c>
      <c r="C734" s="1" t="n">
        <v>45833</v>
      </c>
      <c r="D734" t="inlineStr">
        <is>
          <t>KRONOBERGS LÄN</t>
        </is>
      </c>
      <c r="E734" t="inlineStr">
        <is>
          <t>VÄXJÖ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45833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45833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45833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45833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45833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45833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45833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45833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45833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45833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45833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45833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45833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45833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45833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45833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45833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45833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45833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45833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45833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45833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45833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45833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45833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45833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45833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45833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45833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45833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45833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45833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45833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45833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45833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45833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45833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45833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45833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45833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45833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45833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45833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45833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45833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45833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45833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45833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45833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45833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45833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45833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45833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45833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45833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45833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45833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45833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45833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45833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45833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45833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45833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45833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45833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45833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45833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45833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45833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45833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45833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45833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45833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45833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45833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45833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45833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45833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45833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45833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45833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45833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45833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45833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45833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45833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45833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45833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45833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45833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45833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45833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45833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45833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45833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45833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45833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45833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45833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45833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45833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45833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45833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45833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45833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45833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45833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45833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45833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45833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45833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45833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45833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45833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45833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45833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45833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45833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45833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45833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45833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45833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45833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45833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45833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45833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45833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45833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45833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45833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45833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45833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45833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45833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45833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45833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45833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45833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45833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45833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45833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45833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45833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45833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45833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45833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45833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45833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45833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45833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45833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45833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45833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45833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45833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45833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45833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45833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45833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45833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45833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45833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45833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45833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45833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45833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45833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45833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45833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45833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45833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45833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45833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45833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45833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45833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45833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45833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45833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45833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45833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45833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45833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45833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45833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45833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45833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45833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45833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45833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45833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45833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45833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45833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45833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45833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45833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45833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45833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45833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45833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45833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45833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45833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45833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45833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45833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45833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45833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45833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45833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45833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45833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45833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45833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45833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45833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45833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45833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45833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45833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45833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45833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45833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45833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45833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45833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45833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45833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45833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45833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45833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45833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45833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45833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45833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45833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45833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45833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45833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45833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45833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45833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45833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45833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45833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45833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45833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45833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45833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45833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45833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45833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45833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45833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45833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45833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45833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45833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45833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45833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45833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45833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45833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45833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45833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45833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45833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45833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45833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45833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45833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45833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45833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45833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45833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45833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45833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45833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45833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45833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45833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45833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45833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45833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45833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45833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45833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45833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45833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45833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45833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45833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45833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45833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45833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45833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45833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45833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45833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45833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45833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45833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45833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45833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45833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45833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45833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45833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45833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45833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45833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45833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45833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45833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45833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45833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45833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45833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45833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45833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45833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45833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45833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45833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45833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45833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45833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45833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45833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45833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45833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45833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45833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45833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45833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45833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45833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45833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45833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45833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45833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45833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45833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45833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45833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45833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45833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45833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45833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45833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45833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45833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45833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45833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45833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45833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45833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45833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45833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45833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45833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45833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45833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45833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45833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45833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45833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45833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45833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45833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45833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45833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45833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45833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45833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45833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45833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45833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45833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45833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45833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45833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45833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45833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45833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45833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45833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45833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45833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45833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45833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45833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45833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45833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45833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45833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45833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45833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45833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45833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45833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45833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45833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45833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45833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45833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45833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45833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45833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45833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45833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45833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45833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45833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45833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45833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45833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45833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45833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45833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45833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45833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45833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45833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45833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45833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45833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45833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45833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45833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45833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45833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45833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45833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45833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45833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45833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45833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45833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45833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45833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45833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45833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45833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45833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45833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45833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45833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45833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45833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45833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45833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45833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45833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45833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45833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45833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45833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45833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45833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45833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45833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45833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45833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45833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45833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45833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45833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45833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45833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45833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45833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45833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45833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45833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45833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45833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45833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45833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45833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45833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45833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45833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45833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45833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45833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45833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45833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45833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45833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45833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45833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45833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45833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45833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45833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45833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45833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45833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45833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45833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45833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45833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45833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45833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45833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45833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45833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45833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45833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45833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45833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45833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45833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45833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45833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45833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45833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45833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45833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45833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45833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45833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45833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45833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45833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45833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45833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45833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45833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45833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45833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45833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45833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45833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45833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45833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45833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45833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45833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45833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45833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45833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45833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45833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45833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45833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45833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45833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45833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45833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45833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45833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45833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45833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45833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45833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45833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45833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45833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45833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45833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45833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45833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45833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45833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45833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45833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45833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45833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45833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45833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45833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45833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45833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45833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45833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45833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45833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45833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45833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45833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45833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45833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45833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45833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45833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45833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45833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45833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45833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45833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45833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45833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45833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45833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45833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45833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45833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45833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45833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45833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45833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45833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45833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45833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45833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45833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45833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45833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45833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45833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45833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45833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45833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45833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45833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45833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45833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45833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45833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45833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45833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45833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45833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45833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45833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45833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45833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45833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45833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45833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45833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45833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45833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45833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45833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45833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45833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45833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45833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45833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45833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45833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45833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45833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45833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45833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45833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45833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45833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45833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45833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45833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45833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45833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45833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45833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45833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45833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45833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45833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45833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45833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45833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45833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45833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45833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45833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45833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45833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45833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45833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45833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45833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45833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45833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45833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45833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45833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45833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45833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45833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45833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45833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45833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45833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45833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45833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45833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45833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45833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45833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45833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45833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45833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45833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45833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45833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45833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45833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45833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45833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45833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45833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45833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45833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45833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45833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45833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45833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45833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45833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45833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45833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45833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45833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45833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45833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45833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45833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45833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45833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45833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45833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45833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45833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45833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45833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45833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45833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45833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45833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45833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45833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45833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45833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45833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45833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45833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45833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45833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45833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45833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45833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45833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45833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45833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45833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45833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45833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45833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45833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45833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45833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45833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45833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45833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45833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45833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45833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45833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45833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45833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45833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45833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45833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45833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45833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45833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45833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45833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45833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45833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45833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45833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45833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45833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45833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45833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45833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45833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45833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45833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45833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45833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45833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45833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45833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45833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45833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45833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45833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45833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45833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45833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45833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45833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45833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45833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45833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45833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45833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45833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45833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45833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45833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45833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45833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45833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45833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45833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45833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45833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45833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45833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45833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45833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45833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45833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45833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45833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45833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45833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45833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45833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45833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45833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45833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45833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45833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45833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45833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45833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45833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45833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45833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45833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45833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45833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45833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45833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45833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45833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45833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45833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45833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45833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45833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45833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45833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45833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45833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45833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45833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45833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45833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45833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45833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45833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45833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45833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45833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45833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45833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45833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45833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45833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45833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45833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45833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45833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45833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45833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45833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45833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45833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45833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45833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45833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45833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45833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45833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45833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45833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45833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45833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45833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45833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45833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45833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45833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45833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45833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45833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45833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45833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45833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45833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45833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45833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45833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45833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45833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45833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45833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45833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45833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45833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45833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45833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45833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45833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45833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45833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45833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45833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45833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45833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45833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45833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45833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45833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45833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45833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45833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45833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45833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45833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45833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45833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45833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45833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45833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45833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45833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45833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45833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45833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45833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45833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45833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45833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45833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45833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45833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45833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45833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45833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45833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45833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45833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45833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45833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45833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45833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45833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45833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45833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45833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45833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45833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45833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45833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45833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45833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45833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45833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45833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45833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45833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45833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45833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45833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45833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45833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45833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45833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45833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45833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45833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45833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45833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45833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45833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45833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45833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45833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45833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45833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45833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45833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45833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45833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45833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45833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45833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45833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45833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45833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45833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45833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45833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45833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45833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45833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45833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45833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45833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45833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45833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45833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45833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45833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45833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45833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45833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45833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45833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45833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45833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45833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45833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45833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45833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45833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45833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45833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45833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45833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45833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45833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45833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45833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45833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45833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45833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45833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45833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45833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45833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45833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45833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45833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45833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45833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45833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45833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45833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45833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45833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45833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45833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45833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45833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45833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45833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45833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45833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45833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45833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45833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45833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45833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45833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45833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45833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45833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45833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45833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45833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45833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45833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45833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45833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45833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45833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45833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45833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45833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45833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45833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45833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45833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45833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45833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45833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45833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45833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45833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45833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45833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45833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45833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45833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45833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45833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45833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45833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45833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45833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45833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45833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45833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45833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45833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45833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45833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45833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45833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45833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45833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45833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45833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45833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45833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45833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45833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45833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45833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45833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45833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45833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45833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45833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45833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45833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45833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45833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45833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45833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45833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45833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45833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45833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45833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45833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45833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45833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45833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45833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45833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45833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45833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45833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45833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45833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45833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45833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45833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45833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45833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45833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45833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45833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45833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45833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45833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45833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45833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45833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45833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45833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45833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45833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45833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45833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45833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45833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45833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45833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45833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45833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45833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45833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45833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45833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45833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45833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45833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45833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45833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45833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45833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45833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45833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45833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45833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45833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45833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45833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45833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45833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45833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45833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45833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45833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45833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45833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45833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45833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45833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45833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45833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45833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45833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45833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45833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45833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45833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45833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45833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45833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45833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45833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45833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45833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45833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45833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45833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45833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45833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45833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45833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45833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45833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45833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45833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45833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45833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45833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45833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45833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45833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45833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45833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45833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45833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45833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45833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45833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45833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45833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45833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45833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45833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45833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45833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45833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45833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45833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45833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45833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45833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45833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45833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45833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45833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45833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45833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45833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45833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45833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45833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45833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45833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45833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45833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45833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45833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45833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45833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45833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45833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45833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45833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45833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45833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45833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45833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45833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45833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45833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45833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45833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45833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45833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45833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45833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45833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45833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45833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45833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45833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45833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45833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45833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45833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45833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45833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45833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45833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45833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45833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45833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45833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45833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45833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45833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45833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45833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45833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45833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45833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45833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45833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45833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45833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45833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45833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45833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45833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45833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45833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45833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45833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45833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45833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45833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45833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45833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45833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45833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45833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45833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45833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45833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45833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45833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45833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45833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45833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45833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45833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45833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45833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45833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45833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45833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45833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45833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45833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45833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45833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45833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45833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45833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45833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45833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45833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45833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45833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45833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45833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45833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45833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45833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45833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45833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45833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45833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45833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45833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45833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45833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45833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45833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45833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45833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45833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45833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45833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45833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45833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45833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45833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45833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45833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45833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45833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45833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45833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45833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45833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45833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45833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45833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45833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45833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45833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45833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45833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45833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45833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45833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45833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45833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45833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45833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45833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45833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45833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45833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45833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45833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45833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45833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45833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45833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45833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45833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45833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45833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45833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45833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45833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45833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45833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45833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45833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45833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45833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45833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45833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45833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45833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45833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45833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45833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45833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45833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45833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45833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45833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45833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45833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45833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45833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45833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45833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45833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45833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45833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45833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45833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45833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45833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45833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45833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45833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45833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45833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45833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45833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45833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45833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45833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45833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45833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45833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45833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45833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45833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45833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45833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45833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45833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45833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45833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45833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45833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45833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45833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45833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45833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45833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45833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45833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45833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45833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45833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45833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45833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45833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45833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45833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45833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45833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45833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45833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45833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45833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45833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45833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45833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45833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45833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45833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45833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45833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45833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45833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45833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45833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45833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45833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45833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45833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45833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45833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45833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45833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45833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45833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45833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45833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45833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45833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45833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45833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45833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45833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45833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45833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45833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45833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45833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45833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45833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45833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45833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45833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45833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45833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45833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45833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45833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45833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45833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45833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45833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45833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45833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45833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45833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45833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45833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45833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45833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45833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45833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45833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45833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45833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45833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45833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45833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45833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45833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45833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45833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45833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45833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45833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45833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45833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45833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45833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45833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45833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45833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45833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45833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45833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45833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45833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45833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45833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45833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45833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45833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45833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45833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45833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45833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45833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45833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45833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45833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45833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45833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45833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45833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45833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45833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45833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45833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45833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45833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45833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45833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45833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45833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45833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45833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45833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45833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45833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45833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45833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45833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45833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45833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45833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45833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45833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45833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45833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45833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45833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45833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45833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45833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45833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45833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45833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45833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45833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45833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45833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45833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45833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45833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45833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45833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45833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45833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45833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45833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45833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45833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45833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45833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45833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45833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45833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45833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45833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45833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45833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45833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45833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45833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45833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45833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45833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45833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45833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45833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45833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45833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45833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45833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45833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45833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45833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45833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45833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45833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45833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45833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45833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45833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45833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45833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45833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45833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45833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45833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45833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45833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45833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45833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45833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45833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45833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45833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45833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45833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45833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45833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45833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45833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45833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45833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45833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45833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45833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45833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45833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45833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45833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45833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45833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45833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45833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45833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45833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45833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45833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45833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45833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45833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45833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45833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45833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45833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45833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45833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45833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45833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45833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45833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45833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45833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45833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45833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45833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45833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45833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45833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45833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45833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45833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45833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45833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45833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45833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45833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45833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45833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45833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45833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45833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45833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45833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45833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45833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45833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45833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45833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45833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45833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45833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45833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45833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45833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45833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45833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45833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45833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45833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45833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45833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45833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45833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45833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45833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45833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45833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45833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45833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45833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45833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45833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45833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45833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45833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45833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45833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45833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45833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45833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45833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45833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45833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45833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45833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45833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45833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45833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45833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45833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45833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45833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45833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45833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45833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45833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45833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45833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45833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45833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45833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45833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45833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45833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45833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45833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45833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45833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45833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45833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45833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45833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45833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45833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45833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45833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45833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45833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45833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45833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45833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45833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45833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45833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45833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45833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45833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45833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45833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45833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45833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45833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45833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45833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45833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45833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45833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45833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45833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45833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45833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45833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45833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45833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45833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45833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45833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45833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45833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45833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45833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45833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45833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45833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45833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45833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45833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45833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45833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45833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45833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45833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45833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45833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45833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45833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45833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45833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45833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45833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45833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45833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45833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45833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45833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45833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45833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45833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45833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45833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45833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45833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45833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45833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45833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45833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45833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45833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45833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45833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45833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45833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45833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45833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45833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45833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45833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45833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45833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45833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45833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45833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45833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45833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45833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45833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45833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45833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45833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45833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45833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45833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45833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45833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45833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45833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45833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45833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45833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45833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45833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45833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45833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45833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45833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45833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45833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45833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45833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45833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45833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45833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45833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45833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45833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45833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45833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45833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45833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45833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45833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45833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45833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45833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45833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45833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45833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45833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45833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45833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45833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45833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45833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45833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45833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45833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45833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45833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45833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45833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45833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45833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45833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45833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45833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45833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45833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45833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45833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45833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45833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45833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45833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45833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45833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45833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45833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45833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45833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45833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45833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45833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45833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45833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45833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45833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45833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45833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45833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45833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45833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45833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45833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45833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45833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45833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45833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45833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45833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45833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45833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45833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45833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45833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45833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45833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45833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45833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45833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45833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45833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45833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45833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45833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45833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45833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45833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45833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45833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45833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45833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45833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45833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45833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45833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45833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45833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45833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45833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45833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45833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45833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45833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45833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45833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45833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45833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45833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45833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45833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45833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45833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45833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45833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45833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45833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45833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45833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45833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45833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45833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45833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45833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45833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45833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45833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45833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45833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45833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45833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45833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45833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45833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45833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45833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45833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45833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45833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45833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45833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45833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45833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45833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45833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45833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45833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45833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45833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45833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45833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45833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45833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45833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45833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45833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45833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45833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45833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45833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45833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45833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45833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45833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45833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45833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45833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45833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45833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45833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45833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45833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45833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45833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45833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45833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45833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45833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45833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45833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45833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45833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45833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45833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45833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45833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45833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45833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45833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45833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45833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45833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45833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45833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45833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45833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45833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45833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45833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45833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45833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45833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45833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45833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45833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45833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45833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45833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45833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45833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45833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45833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45833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45833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45833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45833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45833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45833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45833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45833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45833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45833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45833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45833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45833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45833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45833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45833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45833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45833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45833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45833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45833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45833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45833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45833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45833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45833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45833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45833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45833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45833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45833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45833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45833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45833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45833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45833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45833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45833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45833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45833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45833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45833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45833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45833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45833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45833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45833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45833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45833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45833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45833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45833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45833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45833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45833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45833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45833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45833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45833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45833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45833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45833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45833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45833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45833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45833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45833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45833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45833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45833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45833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45833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45833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45833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45833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45833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45833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45833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45833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45833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45833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45833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45833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45833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45833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45833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45833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45833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45833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45833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45833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45833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45833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45833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45833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45833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45833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45833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45833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45833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45833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45833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45833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45833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45833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45833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45833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45833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45833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45833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45833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45833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45833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45833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45833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45833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45833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45833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45833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45833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45833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45833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45833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45833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45833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45833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45833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45833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45833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45833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45833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45833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45833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45833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45833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45833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45833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45833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45833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45833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45833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45833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45833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45833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45833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45833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45833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45833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45833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45833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45833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45833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45833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45833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45833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45833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45833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45833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45833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45833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45833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45833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45833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45833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45833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45833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45833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45833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45833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45833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45833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45833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45833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45833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45833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45833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45833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45833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45833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45833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45833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45833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45833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45833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45833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45833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45833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45833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45833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45833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45833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45833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45833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45833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45833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45833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45833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45833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45833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45833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45833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45833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45833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45833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45833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45833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45833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45833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45833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45833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45833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45833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45833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45833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45833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45833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45833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45833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45833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45833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45833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45833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45833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45833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45833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45833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45833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45833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45833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45833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45833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45833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45833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45833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45833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45833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45833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45833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45833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45833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45833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45833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45833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45833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45833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45833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45833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45833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45833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45833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45833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45833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45833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45833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45833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45833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45833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45833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45833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45833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45833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45833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45833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45833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45833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45833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45833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45833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45833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45833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45833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45833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45833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45833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45833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45833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45833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45833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45833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45833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45833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45833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45833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45833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45833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45833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45833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45833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45833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45833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45833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45833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45833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45833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45833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45833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45833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45833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45833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45833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45833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45833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45833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45833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45833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45833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45833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45833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45833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45833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45833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45833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45833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45833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45833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45833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45833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45833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45833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45833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45833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45833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45833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45833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45833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45833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45833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45833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45833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45833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45833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45833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45833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45833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45833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45833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45833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45833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45833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45833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45833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45833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45833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45833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45833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45833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45833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45833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45833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45833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45833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45833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45833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45833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45833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45833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45833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45833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45833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45833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45833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45833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45833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45833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45833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45833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45833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45833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45833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45833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45833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45833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45833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45833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45833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45833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45833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45833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45833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45833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45833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45833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45833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45833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45833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45833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45833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45833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45833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45833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45833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45833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45833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45833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45833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45833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45833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45833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45833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45833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45833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45833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45833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45833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45833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45833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45833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45833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45833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45833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45833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45833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45833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45833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45833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45833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45833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45833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45833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45833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45833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45833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45833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45833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45833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45833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45833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45833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45833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45833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45833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45833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45833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45833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45833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45833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45833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45833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45833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45833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45833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45833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45833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45833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45833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45833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45833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45833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45833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45833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45833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45833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45833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45833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45833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45833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45833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45833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45833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45833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45833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45833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45833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45833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45833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45833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45833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45833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45833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45833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45833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45833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45833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45833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45833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45833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45833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45833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45833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45833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45833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45833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45833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45833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45833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45833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45833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45833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45833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45833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45833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45833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45833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45833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45833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45833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45833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45833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45833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45833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45833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45833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45833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45833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45833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45833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45833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45833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45833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45833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45833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45833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45833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45833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45833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45833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45833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45833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45833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45833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45833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45833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45833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45833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45833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45833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45833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45833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45833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45833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45833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45833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45833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45833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45833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45833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45833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45833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45833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45833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45833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45833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45833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45833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45833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45833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45833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45833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45833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45833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45833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45833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45833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45833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45833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45833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45833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45833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45833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45833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45833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45833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45833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45833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45833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45833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45833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45833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45833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45833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45833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45833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45833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45833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45833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45833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45833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45833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45833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45833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45833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45833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45833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45833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45833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45833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45833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45833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45833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45833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45833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45833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45833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45833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45833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45833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45833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45833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45833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45833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45833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45833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45833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45833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45833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45833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45833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45833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45833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45833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45833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45833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45833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45833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45833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45833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45833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45833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45833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45833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45833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45833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45833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45833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45833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45833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45833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45833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45833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45833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45833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45833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45833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45833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45833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45833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45833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45833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45833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45833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45833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45833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45833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45833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45833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45833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45833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45833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45833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45833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45833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45833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45833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45833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45833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45833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45833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45833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45833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45833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45833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45833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45833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45833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45833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45833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45833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45833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45833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45833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45833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45833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45833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45833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45833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45833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45833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45833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45833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45833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45833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45833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45833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45833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45833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45833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45833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45833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45833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45833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45833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45833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45833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45833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45833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45833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45833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45833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45833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45833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45833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45833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45833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45833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45833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45833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45833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45833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45833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45833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45833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45833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45833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45833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45833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45833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45833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45833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45833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45833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45833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45833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45833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45833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45833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45833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45833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45833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45833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45833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45833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45833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45833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45833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45833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45833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45833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45833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45833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45833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45833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45833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45833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45833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45833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45833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45833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45833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45833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45833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45833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45833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45833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45833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45833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45833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45833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45833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45833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45833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45833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45833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45833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45833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45833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45833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45833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45833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45833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45833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45833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45833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45833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45833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45833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45833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45833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45833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45833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45833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45833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45833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45833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45833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45833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45833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45833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45833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45833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45833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45833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45833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45833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45833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45833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45833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45833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45833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45833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45833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45833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45833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45833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45833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45833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45833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45833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45833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45833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45833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45833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45833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45833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45833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45833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45833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45833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45833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45833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45833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45833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45833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45833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45833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45833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45833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45833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45833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45833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45833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45833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45833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45833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45833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45833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45833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45833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45833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45833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45833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45833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45833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45833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45833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45833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45833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45833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45833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45833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45833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45833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45833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45833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45833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45833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45833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45833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45833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45833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45833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45833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45833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45833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45833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45833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45833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45833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45833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45833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45833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45833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45833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45833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45833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45833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45833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45833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45833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45833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45833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45833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45833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45833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45833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45833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45833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45833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45833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45833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45833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45833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45833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45833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45833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45833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45833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45833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45833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45833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45833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45833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45833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45833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45833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45833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45833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45833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45833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45833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45833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45833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45833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45833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45833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45833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45833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45833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45833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45833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45833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45833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45833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45833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45833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45833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45833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45833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45833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45833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45833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45833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45833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45833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45833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45833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45833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45833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45833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45833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45833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45833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45833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45833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45833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45833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45833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45833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45833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45833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45833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45833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45833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45833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45833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45833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45833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45833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45833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45833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45833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45833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45833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45833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45833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45833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45833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45833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45833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45833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45833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45833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45833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45833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45833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45833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45833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45833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45833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45833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45833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45833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45833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45833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45833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45833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45833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45833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45833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45833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45833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45833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45833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45833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45833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45833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45833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45833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45833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45833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45833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45833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45833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45833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45833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45833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45833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45833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45833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45833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45833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45833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45833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45833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45833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45833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45833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45833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45833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45833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45833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45833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45833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45833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45833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45833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45833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45833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45833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45833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45833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45833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45833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45833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45833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45833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45833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45833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45833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45833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45833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45833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45833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45833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45833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45833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45833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45833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45833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45833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45833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45833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45833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45833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45833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45833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45833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45833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45833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45833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45833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45833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45833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45833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45833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45833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45833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45833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45833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45833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45833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45833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45833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45833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45833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45833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45833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45833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45833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45833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45833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45833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45833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45833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45833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45833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45833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45833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45833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45833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45833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45833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45833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45833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45833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45833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45833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45833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45833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45833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45833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45833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45833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45833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45833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45833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45833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45833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45833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45833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45833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45833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45833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45833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45833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45833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45833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45833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45833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45833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45833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45833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45833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45833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45833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45833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45833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45833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45833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45833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45833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45833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45833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45833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45833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45833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45833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45833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45833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45833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45833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45833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45833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45833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45833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45833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45833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45833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45833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45833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45833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45833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45833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45833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45833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45833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45833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45833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45833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45833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45833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45833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45833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45833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45833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45833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45833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45833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45833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45833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45833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45833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45833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45833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45833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45833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45833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45833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45833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45833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45833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45833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45833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45833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45833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45833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45833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45833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45833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45833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45833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45833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45833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45833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45833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45833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45833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45833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45833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45833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45833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45833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45833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45833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45833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45833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45833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45833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45833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45833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45833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45833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45833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45833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45833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45833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45833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45833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45833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45833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45833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45833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45833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45833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45833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45833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45833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45833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45833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45833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45833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45833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45833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45833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45833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45833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45833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45833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45833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45833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45833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45833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45833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45833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45833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45833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45833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45833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45833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45833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45833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45833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45833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45833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45833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45833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45833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45833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45833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45833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45833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45833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45833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45833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45833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45833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45833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45833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45833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45833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45833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45833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45833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45833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45833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45833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45833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45833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45833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45833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45833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45833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45833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45833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45833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45833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45833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45833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45833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45833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45833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45833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45833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45833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45833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45833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45833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45833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45833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45833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45833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45833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45833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45833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45833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45833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45833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45833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45833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45833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45833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45833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45833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45833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45833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45833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45833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45833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45833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45833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45833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45833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45833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45833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45833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45833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45833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45833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45833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45833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45833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45833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45833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45833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45833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45833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45833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45833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45833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45833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45833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45833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45833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45833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45833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45833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45833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45833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45833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45833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45833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45833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45833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45833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45833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45833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45833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45833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45833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45833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45833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45833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45833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45833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45833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45833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45833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45833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45833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45833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45833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45833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45833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45833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45833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45833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45833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45833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45833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45833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45833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45833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45833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45833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45833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45833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45833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45833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45833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45833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45833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45833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45833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45833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45833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45833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45833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45833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45833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45833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45833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45833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45833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45833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45833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45833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45833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45833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45833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45833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45833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45833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45833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45833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45833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45833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45833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45833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45833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45833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45833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45833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45833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45833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45833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45833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45833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45833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45833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45833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45833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45833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45833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45833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45833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45833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45833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45833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45833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45833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45833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45833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45833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45833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45833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45833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45833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45833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45833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45833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45833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45833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45833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45833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45833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45833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45833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45833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45833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45833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45833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45833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45833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45833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45833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45833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45833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45833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45833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45833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45833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45833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45833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45833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45833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45833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45833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45833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45833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45833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45833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45833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45833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45833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45833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45833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45833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45833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45833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45833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45833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45833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45833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45833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45833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45833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45833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45833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45833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45833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45833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45833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45833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45833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45833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45833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45833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45833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45833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45833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45833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45833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45833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45833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45833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45833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45833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45833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45833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45833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45833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45833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45833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45833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45833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45833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45833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45833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45833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45833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45833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45833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45833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45833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45833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45833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45833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45833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45833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45833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45833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45833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45833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45833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45833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45833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45833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45833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45833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45833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45833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45833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45833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45833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45833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45833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45833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45833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45833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45833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45833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45833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45833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45833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45833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45833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45833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45833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45833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45833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45833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45833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45833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45833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45833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45833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45833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45833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45833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45833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45833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45833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45833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45833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45833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45833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45833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45833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45833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45833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45833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45833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45833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45833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45833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45833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45833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45833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45833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45833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45833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45833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45833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45833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45833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45833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45833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45833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45833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45833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45833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45833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45833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45833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45833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45833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45833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45833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45833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45833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45833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45833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45833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45833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45833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45833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45833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45833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45833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45833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45833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45833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45833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45833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45833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45833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45833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45833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45833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45833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45833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45833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45833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45833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45833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45833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45833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45833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45833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45833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45833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45833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45833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45833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45833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45833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45833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45833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45833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45833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45833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45833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45833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45833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45833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45833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45833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45833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45833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45833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45833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45833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45833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45833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45833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45833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45833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45833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45833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45833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45833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45833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45833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45833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45833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45833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45833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45833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45833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45833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45833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45833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45833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45833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45833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45833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45833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45833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45833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45833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45833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45833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45833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45833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45833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45833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45833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45833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45833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45833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45833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45833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45833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45833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45833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45833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45833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45833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45833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45833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45833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45833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45833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45833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45833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45833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45833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45833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45833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45833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45833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45833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45833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45833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45833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45833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45833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45833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45833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45833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45833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45833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45833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45833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45833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45833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45833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45833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45833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45833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45833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45833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45833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45833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45833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45833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45833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45833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45833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45833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45833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45833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45833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45833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45833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45833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45833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45833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45833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45833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45833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45833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45833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45833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45833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45833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45833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45833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45833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45833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45833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45833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45833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45833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45833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45833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45833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45833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45833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45833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45833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45833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45833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45833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45833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45833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45833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45833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45833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45833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45833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45833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45833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45833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45833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45833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45833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45833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45833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45833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45833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45833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45833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45833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45833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45833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45833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45833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45833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45833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45833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45833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45833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45833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45833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45833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45833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45833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45833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45833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45833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45833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45833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45833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45833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45833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45833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45833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45833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45833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45833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45833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45833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45833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45833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45833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45833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45833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45833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45833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45833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45833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45833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45833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45833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45833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45833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45833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45833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45833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45833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45833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45833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45833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45833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45833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45833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45833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45833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45833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45833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45833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45833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45833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45833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45833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45833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45833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45833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45833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45833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45833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45833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45833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45833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45833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45833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45833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45833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45833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45833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45833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45833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45833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45833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45833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45833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45833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45833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45833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45833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45833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45833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45833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45833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45833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45833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45833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45833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45833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45833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45833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45833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45833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45833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45833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45833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45833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45833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45833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45833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45833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45833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45833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45833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45833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45833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45833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45833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45833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45833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45833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45833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45833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45833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45833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45833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45833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45833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45833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45833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45833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45833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45833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45833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45833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45833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45833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45833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45833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45833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45833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45833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45833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45833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45833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45833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45833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45833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45833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45833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45833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45833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45833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45833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45833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45833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45833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45833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45833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45833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45833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45833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45833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45833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45833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45833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45833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45833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45833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45833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45833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45833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45833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45833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45833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45833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45833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45833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45833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45833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45833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45833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45833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45833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45833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45833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45833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45833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45833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45833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45833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45833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45833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45833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45833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45833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45833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45833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45833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45833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45833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45833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45833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45833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45833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45833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45833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45833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45833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45833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45833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45833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45833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45833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45833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45833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45833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45833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45833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45833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45833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45833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45833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45833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45833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45833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45833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45833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45833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45833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45833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45833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45833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45833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45833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45833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45833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45833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45833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45833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45833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45833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45833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45833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45833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45833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45833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45833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45833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45833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45833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45833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45833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45833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45833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45833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45833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45833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45833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45833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45833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45833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45833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45833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45833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45833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45833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45833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45833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45833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45833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45833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45833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45833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45833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45833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45833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45833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45833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45833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45833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45833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45833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45833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45833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45833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45833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45833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45833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45833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45833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45833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45833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45833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45833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45833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45833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45833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45833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45833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45833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45833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45833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45833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45833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45833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45833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45833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45833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45833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45833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45833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45833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45833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45833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45833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45833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45833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45833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45833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45833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45833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45833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45833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45833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45833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45833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45833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45833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45833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45833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45833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45833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45833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45833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45833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45833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45833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45833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45833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45833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45833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45833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45833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45833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45833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45833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45833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45833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45833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45833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45833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45833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45833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45833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45833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45833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45833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45833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45833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45833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45833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45833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45833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45833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45833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45833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45833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45833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45833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45833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45833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45833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45833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45833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45833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45833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45833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45833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45833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45833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45833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45833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45833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45833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45833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45833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45833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45833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45833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45833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45833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45833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45833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45833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45833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45833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45833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45833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45833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45833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45833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45833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45833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45833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45833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45833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45833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45833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45833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45833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45833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45833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45833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45833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45833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45833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45833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45833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45833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45833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45833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45833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45833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45833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45833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45833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45833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45833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45833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45833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45833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45833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45833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45833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45833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45833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45833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45833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45833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45833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45833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45833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45833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45833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45833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45833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45833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45833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45833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45833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45833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45833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45833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45833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45833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45833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45833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45833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45833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45833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45833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45833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45833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45833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45833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45833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45833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45833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45833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45833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45833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45833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45833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45833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45833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45833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45833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45833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45833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45833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45833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45833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45833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45833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45833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45833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45833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45833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45833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45833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45833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45833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45833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45833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45833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45833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45833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45833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45833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45833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45833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45833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45833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45833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45833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45833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45833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45833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45833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45833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45833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45833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45833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45833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45833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45833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45833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45833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45833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45833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45833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45833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45833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45833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45833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45833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45833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45833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45833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45833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45833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45833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45833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45833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45833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45833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45833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45833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45833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45833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45833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45833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45833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45833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45833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45833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45833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45833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45833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45833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45833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45833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45833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45833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45833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45833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45833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45833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45833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45833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45833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45833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45833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45833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45833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45833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45833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45833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45833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45833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45833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45833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45833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45833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45833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45833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45833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45833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45833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45833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45833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45833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45833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45833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45833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45833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45833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45833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45833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45833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45833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45833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45833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45833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45833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45833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45833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45833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45833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45833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45833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45833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45833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45833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45833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45833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45833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45833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45833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45833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45833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45833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45833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45833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45833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45833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45833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45833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45833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45833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45833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45833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45833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45833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45833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45833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45833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45833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45833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45833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45833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45833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45833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45833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45833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45833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45833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45833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45833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45833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45833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45833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45833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45833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45833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45833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45833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45833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45833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45833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45833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45833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45833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45833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45833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45833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45833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45833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45833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45833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45833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45833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45833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45833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45833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45833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45833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45833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45833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45833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45833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45833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45833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45833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45833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45833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45833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45833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45833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45833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45833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45833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45833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45833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45833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45833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45833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45833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45833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45833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45833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45833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45833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45833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45833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45833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45833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45833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45833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45833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45833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45833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45833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45833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45833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45833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45833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45833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45833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45833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45833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45833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45833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45833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45833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45833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45833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45833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45833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45833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45833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45833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45833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45833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45833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45833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45833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45833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45833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45833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45833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45833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45833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45833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45833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45833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45833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45833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45833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45833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45833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45833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45833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45833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45833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45833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45833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45833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45833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45833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45833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45833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45833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45833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45833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45833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45833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45833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45833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45833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45833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45833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45833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45833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45833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45833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45833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45833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45833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45833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45833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45833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45833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45833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45833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45833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45833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45833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45833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45833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45833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45833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45833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45833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45833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45833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45833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45833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45833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45833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45833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45833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45833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45833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45833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45833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45833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45833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45833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45833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45833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45833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45833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45833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45833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45833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45833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45833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45833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45833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45833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45833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45833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45833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45833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45833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45833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45833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45833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45833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45833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45833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45833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45833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45833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45833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45833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45833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45833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45833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45833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45833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45833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45833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45833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45833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45833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45833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45833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45833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45833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45833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45833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45833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45833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45833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45833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45833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45833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45833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45833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45833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45833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45833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45833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45833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45833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45833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45833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45833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45833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45833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45833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45833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45833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45833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45833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45833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45833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45833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45833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45833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45833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45833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45833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45833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45833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45833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45833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45833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45833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45833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45833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45833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45833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45833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45833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45833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45833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45833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45833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45833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45833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45833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45833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45833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45833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45833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45833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45833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45833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45833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45833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45833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45833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45833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45833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45833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45833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45833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45833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45833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45833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45833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45833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45833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45833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45833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45833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45833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45833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45833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45833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45833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45833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45833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45833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45833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45833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45833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45833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45833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45833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45833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45833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45833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45833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45833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45833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45833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45833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45833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45833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45833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45833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45833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45833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45833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45833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45833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45833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45833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45833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45833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45833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45833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45833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45833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45833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45833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45833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45833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45833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45833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45833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45833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45833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45833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45833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45833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45833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45833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45833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45833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45833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45833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45833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45833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45833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45833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45833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45833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45833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45833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45833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45833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45833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45833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45833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45833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45833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45833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45833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45833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45833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45833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45833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45833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45833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45833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45833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45833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45833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45833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45833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45833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45833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45833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45833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45833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45833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45833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45833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45833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45833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45833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45833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45833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45833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45833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45833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45833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45833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45833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45833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45833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45833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45833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45833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45833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45833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45833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45833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45833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45833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45833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45833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45833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45833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45833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45833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45833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45833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45833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45833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45833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45833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45833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45833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45833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45833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45833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45833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45833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45833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45833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45833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45833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45833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45833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45833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45833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45833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45833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45833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45833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45833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45833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45833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45833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45833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45833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45833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45833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45833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45833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45833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45833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45833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45833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45833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45833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45833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45833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45833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45833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45833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45833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45833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45833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45833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45833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45833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45833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45833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45833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45833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45833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45833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45833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45833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45833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45833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45833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45833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45833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45833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45833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45833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45833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45833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45833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45833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45833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45833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45833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45833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45833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45833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45833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45833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45833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45833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45833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45833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45833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45833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45833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45833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45833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45833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45833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45833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45833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45833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45833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45833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45833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45833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45833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45833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45833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45833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45833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45833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45833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45833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45833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45833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45833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45833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45833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45833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45833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45833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45833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45833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45833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45833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45833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45833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45833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45833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45833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45833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45833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45833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45833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45833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45833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45833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45833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45833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45833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45833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45833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45833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45833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45833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45833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45833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45833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45833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45833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45833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45833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45833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45833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45833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45833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45833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45833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45833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45833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45833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45833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45833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45833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45833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45833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45833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45833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45833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45833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45833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45833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45833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45833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45833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45833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45833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45833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45833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45833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45833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45833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45833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45833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45833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45833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45833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45833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45833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45833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45833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45833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45833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45833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45833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45833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45833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45833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45833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45833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45833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45833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45833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45833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45833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45833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45833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45833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45833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45833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45833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45833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45833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45833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45833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45833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45833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45833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45833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45833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45833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45833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45833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45833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45833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45833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45833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45833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45833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45833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45833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45833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45833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45833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45833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45833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45833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45833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45833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45833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45833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45833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45833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45833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45833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45833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45833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45833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45833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45833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45833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45833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45833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45833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45833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45833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45833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45833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45833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45833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45833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45833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45833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45833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45833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45833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45833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45833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45833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45833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45833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45833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45833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45833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45833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45833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45833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45833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45833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45833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45833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45833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45833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45833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45833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45833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45833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45833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45833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45833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45833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45833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45833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45833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45833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45833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45833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45833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45833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45833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45833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45833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45833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45833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45833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45833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45833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45833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45833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45833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45833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45833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45833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45833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45833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45833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45833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45833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45833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45833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45833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45833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45833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45833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45833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45833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45833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45833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45833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45833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45833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45833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45833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45833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45833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45833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45833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45833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45833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45833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45833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45833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45833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45833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45833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45833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45833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45833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45833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45833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45833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45833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45833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45833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45833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45833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45833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45833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45833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45833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45833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45833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45833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45833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45833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45833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45833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45833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45833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45833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45833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45833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45833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45833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45833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45833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45833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45833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45833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45833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45833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45833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45833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45833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45833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45833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45833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45833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45833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45833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45833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45833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45833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45833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45833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45833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45833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45833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45833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45833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45833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45833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45833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45833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45833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45833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45833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45833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45833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45833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45833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45833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45833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45833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45833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45833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45833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45833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45833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45833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45833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45833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45833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45833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45833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45833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45833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45833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45833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45833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45833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45833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45833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45833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45833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45833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45833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45833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45833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45833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45833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45833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45833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45833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45833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45833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45833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45833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45833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45833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45833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45833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45833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45833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45833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45833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45833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45833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45833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45833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45833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45833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45833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45833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45833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45833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45833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45833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45833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45833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45833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45833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45833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45833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45833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45833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45833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45833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45833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45833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45833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45833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45833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45833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45833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45833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45833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45833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45833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45833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45833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45833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45833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45833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45833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45833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45833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45833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45833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45833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45833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45833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45833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45833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45833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45833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45833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45833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45833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45833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45833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45833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45833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45833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45833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45833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45833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45833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45833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45833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45833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45833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45833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45833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45833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45833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45833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45833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45833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45833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45833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45833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45833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45833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45833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45833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45833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45833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45833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45833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45833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45833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45833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45833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45833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45833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45833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45833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45833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45833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45833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45833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45833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45833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45833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45833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45833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45833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45833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45833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45833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45833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45833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45833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45833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45833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45833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45833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45833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45833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45833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45833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45833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45833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45833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45833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45833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45833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45833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45833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45833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45833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45833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45833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45833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45833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45833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45833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45833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45833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45833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45833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45833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45833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45833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45833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45833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45833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45833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45833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45833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45833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45833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45833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45833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45833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45833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45833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45833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45833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45833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45833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45833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45833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45833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45833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45833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45833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45833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45833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45833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45833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45833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45833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45833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45833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45833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45833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45833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45833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45833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45833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45833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45833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45833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45833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45833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45833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45833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45833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45833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45833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45833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45833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45833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45833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45833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45833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45833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45833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45833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45833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45833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45833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45833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45833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45833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45833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45833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45833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45833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45833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45833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45833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45833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45833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45833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45833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45833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45833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45833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45833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45833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45833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45833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45833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45833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45833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45833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45833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45833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45833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45833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45833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45833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45833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45833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45833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45833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45833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45833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45833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45833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45833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45833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45833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45833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45833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45833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45833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45833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45833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45833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45833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45833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45833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45833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45833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45833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45833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45833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45833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45833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45833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45833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45833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45833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45833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45833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45833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45833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45833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45833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45833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45833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45833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45833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45833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45833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45833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45833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45833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45833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45833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45833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45833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45833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45833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45833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45833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45833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45833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45833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45833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45833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45833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45833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45833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45833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45833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45833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45833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45833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45833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45833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45833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45833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45833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45833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45833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45833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45833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45833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45833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45833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45833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45833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45833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45833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45833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45833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45833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45833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45833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45833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45833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45833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45833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45833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45833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45833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45833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45833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45833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45833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45833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45833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45833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45833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45833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45833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45833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45833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45833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45833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45833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45833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45833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45833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45833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45833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45833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45833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45833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45833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45833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45833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45833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45833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45833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45833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45833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45833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45833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45833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45833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45833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45833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45833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45833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45833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45833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45833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45833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45833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45833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45833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45833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45833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45833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45833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45833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45833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45833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45833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45833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45833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45833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45833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45833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45833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45833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45833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45833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45833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45833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45833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45833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45833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45833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45833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45833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45833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45833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45833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45833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45833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45833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45833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45833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45833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45833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45833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45833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45833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45833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45833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45833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45833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45833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45833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45833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45833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45833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45833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45833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45833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45833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45833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45833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45833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45833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45833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45833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45833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45833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45833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45833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45833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45833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45833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45833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45833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45833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45833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45833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45833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45833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45833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45833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45833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45833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45833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45833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45833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45833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45833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45833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45833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45833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45833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45833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45833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45833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45833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45833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45833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45833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45833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45833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45833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45833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45833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45833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45833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45833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45833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45833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45833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45833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45833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45833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45833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45833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45833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45833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45833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45833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45833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45833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45833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45833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45833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45833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45833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45833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45833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45833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45833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45833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45833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45833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45833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45833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45833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45833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45833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45833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45833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45833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45833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45833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45833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45833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45833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45833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45833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45833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45833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45833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45833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45833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45833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45833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45833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45833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45833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45833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45833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45833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45833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45833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45833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45833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45833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45833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45833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45833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45833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45833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45833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45833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45833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45833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45833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45833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45833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45833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45833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45833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45833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45833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45833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45833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45833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45833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45833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45833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45833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45833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45833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45833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45833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45833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45833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45833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45833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45833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45833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45833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45833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45833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45833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45833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45833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45833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45833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45833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45833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45833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45833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45833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45833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45833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45833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45833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45833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45833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45833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45833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45833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45833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45833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45833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45833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45833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45833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45833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45833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45833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45833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45833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45833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45833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45833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45833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45833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45833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45833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45833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45833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45833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45833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45833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45833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45833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45833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45833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45833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45833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45833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45833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45833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45833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45833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45833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45833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45833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45833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45833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45833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45833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45833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45833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45833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45833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45833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45833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45833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45833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45833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45833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45833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45833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45833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45833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45833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45833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45833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45833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45833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45833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45833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45833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45833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45833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45833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45833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45833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45833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45833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45833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45833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45833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45833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45833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45833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45833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45833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45833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45833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45833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45833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45833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45833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45833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45833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45833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45833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45833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45833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45833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45833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45833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45833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45833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45833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45833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45833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45833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45833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45833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45833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45833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45833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45833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45833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45833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45833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45833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45833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45833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45833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45833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45833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45833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45833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45833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45833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45833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45833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45833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45833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45833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45833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45833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45833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45833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45833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45833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45833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45833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45833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45833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45833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45833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45833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45833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45833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45833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45833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45833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45833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45833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45833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45833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45833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45833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45833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45833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45833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45833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45833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45833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45833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45833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45833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45833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45833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45833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45833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45833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45833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45833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45833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45833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45833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45833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45833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45833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45833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45833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45833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45833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45833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45833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45833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45833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45833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45833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45833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45833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45833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45833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45833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45833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45833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45833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45833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45833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45833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45833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45833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45833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45833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45833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45833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45833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45833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45833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45833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45833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45833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45833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45833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45833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45833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45833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45833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45833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45833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45833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45833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45833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45833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45833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45833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45833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45833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45833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45833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45833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45833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45833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45833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45833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45833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45833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45833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45833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45833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45833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45833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45833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45833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45833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45833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45833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45833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45833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45833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45833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45833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45833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45833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45833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45833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45833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45833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45833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45833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45833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45833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45833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45833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45833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45833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45833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45833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45833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45833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45833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45833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45833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45833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45833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45833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45833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45833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45833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45833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45833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45833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45833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45833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45833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45833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45833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45833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45833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45833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45833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45833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45833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45833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45833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45833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45833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45833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45833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45833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45833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45833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45833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45833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45833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45833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45833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45833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45833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45833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45833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45833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45833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45833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45833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45833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45833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45833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45833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45833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45833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45833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45833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45833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45833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45833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45833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45833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45833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45833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45833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45833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45833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45833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45833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45833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45833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45833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45833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45833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45833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45833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45833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45833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45833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45833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45833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45833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45833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45833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45833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45833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45833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45833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45833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45833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45833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45833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45833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45833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45833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45833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45833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45833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45833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45833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45833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45833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45833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45833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45833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45833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45833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45833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45833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45833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45833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45833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45833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45833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45833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45833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45833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45833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45833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45833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45833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45833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45833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45833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45833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45833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45833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45833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45833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45833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45833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45833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45833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45833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45833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45833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45833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45833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45833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45833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45833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45833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45833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45833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45833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45833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45833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45833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45833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45833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45833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45833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45833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45833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45833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45833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45833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45833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45833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45833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45833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45833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45833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45833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45833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45833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45833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45833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45833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45833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45833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45833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45833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45833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45833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45833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45833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45833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45833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45833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45833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45833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45833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45833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45833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45833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45833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45833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45833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45833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45833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45833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45833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45833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45833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45833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45833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45833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45833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45833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45833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45833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45833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45833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45833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45833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45833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45833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45833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45833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45833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45833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45833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45833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45833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45833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45833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45833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45833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45833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45833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45833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45833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45833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45833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45833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45833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45833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45833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45833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45833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45833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45833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45833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45833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45833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45833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45833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45833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45833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45833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45833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45833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45833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45833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45833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45833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45833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45833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45833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45833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45833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45833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45833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45833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45833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45833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45833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45833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45833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45833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45833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45833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45833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45833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45833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45833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45833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45833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45833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45833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45833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45833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45833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45833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45833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45833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45833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45833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45833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45833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45833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45833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45833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45833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45833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45833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45833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45833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45833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45833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45833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45833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45833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45833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45833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45833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45833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45833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45833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45833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45833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45833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45833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45833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45833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45833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45833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45833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45833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45833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45833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45833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45833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45833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45833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45833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45833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45833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45833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45833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45833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45833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45833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45833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45833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45833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45833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45833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45833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45833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45833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45833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45833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45833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45833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45833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45833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45833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45833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45833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45833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45833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45833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45833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45833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45833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45833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45833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45833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45833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45833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45833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45833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45833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45833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45833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45833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45833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45833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45833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45833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45833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45833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45833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45833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45833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45833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45833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45833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45833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45833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45833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45833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45833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45833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45833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45833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45833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45833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45833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45833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45833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45833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45833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45833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45833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45833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45833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45833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45833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45833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45833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45833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45833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45833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45833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45833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45833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45833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45833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45833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45833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45833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45833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45833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45833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45833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45833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45833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45833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45833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45833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45833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45833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45833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45833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45833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45833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45833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45833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45833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45833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45833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45833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45833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45833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45833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45833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45833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45833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45833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45833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45833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45833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45833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45833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45833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45833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45833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45833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45833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45833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45833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45833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45833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45833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45833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45833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45833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45833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45833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45833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45833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45833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45833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45833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45833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45833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45833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45833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45833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45833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45833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45833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45833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45833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45833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45833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45833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45833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45833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45833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45833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45833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45833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45833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45833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45833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45833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45833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45833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45833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45833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45833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45833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45833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45833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45833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45833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45833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45833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45833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45833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45833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45833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45833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45833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45833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45833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45833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45833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45833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45833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45833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45833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45833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45833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45833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45833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45833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45833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45833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45833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45833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45833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45833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45833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45833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45833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45833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45833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45833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45833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45833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45833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45833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45833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45833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45833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45833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45833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45833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45833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45833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45833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45833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45833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45833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45833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45833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45833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45833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45833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45833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45833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45833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45833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45833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45833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45833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45833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45833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45833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45833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45833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45833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45833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45833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45833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45833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45833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45833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45833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45833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45833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45833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45833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45833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45833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45833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45833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45833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45833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45833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45833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45833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45833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45833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45833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45833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45833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45833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45833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45833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45833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45833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45833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45833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45833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45833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45833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45833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45833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45833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45833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45833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45833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45833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45833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45833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45833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45833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45833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45833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45833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45833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45833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45833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45833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45833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45833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45833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45833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45833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45833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45833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45833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45833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45833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45833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45833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45833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45833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45833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45833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45833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45833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45833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45833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45833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45833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45833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45833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45833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45833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45833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45833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45833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45833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45833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45833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45833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45833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45833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45833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45833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45833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45833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45833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45833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45833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45833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45833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45833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45833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45833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45833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45833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45833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45833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45833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45833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45833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45833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45833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45833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45833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45833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45833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45833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45833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45833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45833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45833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45833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45833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45833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45833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45833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45833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45833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45833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45833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45833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45833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45833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45833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45833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45833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45833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45833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45833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45833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45833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45833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45833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45833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45833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45833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45833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45833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45833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45833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45833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45833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45833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45833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45833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45833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45833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45833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45833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45833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45833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45833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45833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45833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45833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45833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45833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45833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45833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45833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45833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45833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45833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45833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45833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45833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45833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45833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45833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45833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45833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45833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45833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45833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45833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45833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45833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45833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45833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45833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45833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45833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45833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45833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45833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45833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45833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45833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45833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45833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45833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45833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45833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45833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45833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45833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45833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45833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45833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45833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45833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45833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45833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45833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45833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45833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45833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45833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45833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45833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45833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45833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45833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45833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45833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45833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45833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45833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45833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45833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45833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45833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45833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45833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45833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45833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45833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45833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45833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45833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45833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45833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45833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45833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45833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45833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45833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45833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45833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45833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45833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45833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45833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45833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45833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45833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45833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45833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45833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45833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45833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45833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45833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45833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45833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45833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45833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45833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45833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45833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45833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45833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45833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45833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45833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45833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45833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45833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45833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45833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45833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45833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45833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45833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45833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45833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45833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45833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45833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45833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45833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45833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45833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45833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45833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45833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45833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45833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45833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45833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45833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45833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45833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45833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45833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45833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45833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45833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45833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45833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45833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45833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45833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45833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45833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45833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45833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45833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45833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45833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45833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45833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45833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45833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45833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45833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45833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45833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45833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45833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45833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45833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45833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45833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45833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45833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45833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45833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45833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45833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45833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45833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45833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45833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45833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45833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45833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45833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45833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45833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45833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45833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45833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45833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45833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45833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45833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45833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45833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45833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45833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45833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45833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45833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45833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45833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45833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45833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45833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45833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45833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45833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45833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45833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45833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45833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45833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45833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45833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45833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45833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45833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45833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45833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45833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45833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45833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45833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45833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45833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45833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45833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45833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45833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45833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45833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45833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45833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45833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45833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45833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45833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45833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45833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45833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45833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45833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45833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45833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45833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45833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45833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45833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45833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45833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45833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45833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45833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45833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45833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45833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45833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45833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45833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45833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45833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45833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45833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45833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45833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45833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45833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45833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45833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45833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45833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45833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45833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45833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45833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45833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45833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45833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45833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45833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45833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45833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45833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45833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45833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45833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45833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45833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45833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45833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45833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45833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45833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45833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45833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45833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45833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45833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45833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45833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45833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45833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45833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45833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45833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45833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45833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45833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45833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45833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45833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45833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45833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45833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45833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45833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45833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45833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45833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45833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45833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45833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45833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45833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45833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45833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45833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45833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45833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45833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45833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45833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45833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45833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45833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45833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45833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45833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45833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45833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45833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45833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45833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45833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45833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45833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45833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45833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45833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45833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45833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45833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45833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45833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45833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45833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45833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45833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45833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45833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45833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45833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45833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45833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45833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45833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45833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45833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45833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45833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45833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45833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45833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45833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45833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45833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45833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45833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45833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45833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45833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45833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45833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45833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45833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45833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45833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45833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45833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45833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45833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45833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45833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45833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45833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45833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45833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45833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45833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45833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45833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45833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45833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45833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45833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45833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45833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45833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45833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45833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45833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45833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45833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45833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45833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45833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45833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45833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45833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45833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45833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45833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45833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45833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45833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45833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45833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45833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45833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45833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45833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45833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45833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45833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45833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45833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45833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45833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45833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45833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45833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45833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45833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45833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45833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45833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45833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45833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45833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45833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45833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45833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45833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45833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45833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45833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45833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45833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45833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45833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45833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45833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45833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45833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45833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45833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45833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45833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45833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45833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45833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45833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45833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45833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45833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45833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45833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45833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45833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45833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45833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45833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45833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45833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45833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45833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45833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45833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45833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45833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45833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45833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45833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45833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45833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45833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45833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45833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45833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45833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45833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45833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45833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45833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45833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45833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45833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45833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45833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45833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45833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45833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45833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45833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45833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45833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45833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45833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45833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45833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45833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45833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45833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45833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45833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45833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45833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45833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45833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45833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45833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45833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45833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45833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45833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45833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45833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45833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45833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45833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45833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45833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45833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45833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45833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45833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45833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45833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45833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45833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45833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45833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45833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45833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45833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45833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45833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45833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45833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45833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45833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45833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45833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45833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45833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45833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45833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45833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45833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45833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45833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45833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45833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45833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45833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45833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45833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45833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45833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45833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45833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45833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45833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45833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45833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45833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45833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45833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45833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45833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45833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45833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45833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45833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45833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45833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45833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45833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45833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45833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45833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45833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45833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45833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45833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45833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45833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45833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45833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45833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45833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45833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45833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45833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45833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45833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45833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45833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45833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45833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45833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45833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45833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45833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45833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45833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45833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45833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45833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45833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45833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45833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45833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45833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45833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45833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45833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45833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45833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45833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45833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45833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45833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45833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45833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45833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45833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45833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45833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45833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45833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45833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45833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45833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45833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45833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45833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45833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45833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45833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45833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45833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45833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45833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45833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45833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45833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45833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45833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45833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45833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45833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45833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45833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45833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45833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45833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45833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45833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45833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45833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45833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45833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45833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45833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45833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45833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45833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45833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45833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45833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45833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45833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45833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45833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45833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45833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45833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45833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45833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45833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45833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45833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45833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45833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45833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45833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45833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45833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45833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45833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45833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45833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45833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45833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45833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45833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45833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45833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45833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45833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45833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45833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45833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45833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45833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45833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45833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45833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45833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45833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45833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45833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45833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45833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45833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45833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45833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45833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45833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45833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45833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45833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45833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45833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45833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45833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45833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45833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45833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45833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45833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45833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45833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45833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45833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45833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45833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45833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45833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45833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45833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45833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45833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45833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45833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45833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45833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45833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45833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45833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45833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45833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45833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45833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45833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45833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45833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45833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45833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45833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45833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45833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45833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45833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45833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45833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45833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45833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45833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45833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45833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45833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45833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45833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45833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45833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45833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45833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45833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45833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45833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45833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45833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45833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45833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45833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45833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45833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45833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45833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45833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45833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45833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45833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45833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45833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45833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45833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45833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45833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45833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45833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45833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45833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45833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45833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45833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45833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45833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45833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45833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45833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45833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45833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45833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45833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45833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45833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45833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45833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45833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45833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45833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45833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45833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45833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45833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45833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45833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45833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45833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45833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45833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45833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45833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45833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45833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45833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45833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45833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45833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45833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45833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45833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45833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45833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45833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45833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45833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45833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45833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45833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45833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45833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45833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45833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45833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45833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45833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45833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45833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45833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45833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45833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45833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45833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45833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45833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45833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45833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45833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45833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45833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45833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45833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45833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45833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45833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45833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45833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45833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45833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45833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45833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45833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45833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45833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45833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45833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45833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45833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45833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45833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45833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45833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45833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45833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45833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45833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45833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45833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45833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45833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45833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45833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45833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45833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45833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45833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45833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45833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45833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45833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45833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45833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45833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45833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45833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45833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45833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45833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45833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45833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45833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45833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45833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45833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45833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45833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45833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45833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45833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45833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45833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45833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45833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45833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45833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45833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45833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45833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45833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45833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45833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45833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45833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45833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45833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45833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45833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45833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45833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45833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45833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45833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45833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45833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45833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45833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45833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45833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45833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45833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45833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45833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45833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45833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45833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45833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45833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45833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45833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45833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45833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45833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45833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45833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45833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45833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45833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45833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45833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45833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45833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45833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45833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45833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45833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45833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45833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45833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45833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45833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45833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45833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45833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45833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45833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45833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45833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45833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45833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45833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45833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45833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45833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45833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45833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45833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45833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45833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45833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45833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45833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45833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45833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45833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45833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45833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45833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45833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45833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45833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45833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45833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45833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45833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45833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45833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45833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45833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45833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45833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45833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45833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45833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45833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45833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45833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45833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45833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45833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45833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45833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45833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45833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45833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45833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45833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45833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45833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45833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45833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45833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45833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45833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45833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45833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45833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45833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45833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45833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45833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45833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45833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45833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45833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45833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45833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45833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45833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45833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45833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45833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45833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45833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45833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45833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45833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45833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45833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45833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45833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45833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45833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45833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45833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45833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45833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45833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45833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45833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45833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45833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45833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45833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45833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45833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45833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45833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45833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45833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45833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45833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45833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45833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45833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45833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45833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45833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45833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45833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45833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45833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45833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45833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45833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45833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45833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45833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45833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45833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45833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45833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45833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45833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45833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45833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45833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45833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45833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45833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45833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45833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45833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45833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45833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45833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45833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45833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45833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45833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45833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45833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45833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45833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45833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45833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45833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45833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45833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45833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45833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45833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45833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45833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45833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45833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45833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45833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45833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45833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45833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45833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45833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45833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45833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45833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45833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45833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45833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45833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45833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45833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45833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45833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45833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45833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45833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45833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45833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45833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45833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45833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45833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45833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45833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45833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45833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45833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45833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45833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45833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45833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45833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45833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45833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45833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45833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45833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45833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45833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45833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45833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45833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45833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45833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45833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45833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45833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45833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45833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45833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45833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45833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45833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45833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45833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45833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45833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45833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45833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45833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45833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45833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45833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45833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45833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45833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45833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45833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45833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45833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45833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45833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45833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45833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45833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45833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45833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45833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45833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45833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45833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45833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45833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45833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45833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45833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45833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45833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45833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45833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45833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45833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45833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45833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45833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45833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45833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45833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45833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45833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45833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45833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45833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45833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45833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45833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45833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45833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45833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45833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45833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45833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45833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45833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45833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45833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45833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45833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45833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45833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45833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45833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45833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45833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45833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45833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45833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45833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45833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45833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45833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45833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45833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45833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45833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45833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45833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45833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45833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45833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45833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45833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45833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45833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45833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45833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45833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45833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45833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45833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45833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45833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45833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45833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45833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45833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45833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45833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45833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45833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45833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45833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45833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45833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45833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45833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45833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45833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45833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45833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45833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45833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45833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45833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45833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45833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45833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45833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45833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45833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45833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45833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45833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45833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45833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45833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45833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45833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45833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45833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45833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45833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45833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45833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45833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45833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45833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45833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45833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45833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45833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45833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45833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45833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45833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45833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45833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45833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45833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45833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45833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45833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45833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45833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45833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45833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45833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45833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45833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45833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45833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45833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45833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45833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45833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45833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45833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45833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45833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45833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45833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45833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45833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45833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45833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45833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45833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45833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45833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45833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45833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45833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45833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45833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45833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45833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45833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45833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45833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45833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45833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45833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45833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45833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45833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45833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45833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45833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45833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45833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45833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45833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45833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45833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45833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45833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45833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45833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45833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45833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45833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45833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45833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45833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45833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45833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45833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45833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45833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45833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45833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45833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45833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45833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45833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45833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45833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45833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45833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45833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45833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45833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45833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45833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45833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45833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45833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45833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45833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45833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45833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45833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45833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45833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45833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45833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45833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45833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45833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45833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45833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45833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45833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45833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45833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45833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45833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45833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45833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45833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45833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45833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45833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45833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45833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45833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45833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45833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45833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45833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45833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45833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45833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45833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45833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45833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45833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45833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45833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45833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45833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45833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45833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45833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45833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45833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45833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45833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45833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45833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45833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45833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45833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45833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45833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45833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45833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45833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45833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45833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45833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45833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45833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45833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45833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45833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45833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45833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45833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45833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45833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45833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45833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45833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45833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45833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45833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45833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45833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45833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45833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45833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45833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45833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45833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45833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45833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45833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45833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45833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45833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45833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45833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45833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45833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45833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45833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45833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45833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45833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45833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45833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45833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45833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45833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45833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45833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45833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45833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45833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45833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45833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45833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45833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45833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45833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45833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45833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45833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45833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45833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45833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45833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45833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45833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45833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45833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45833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45833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45833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45833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45833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45833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45833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45833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45833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45833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45833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45833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45833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45833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45833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45833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45833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45833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45833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45833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45833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45833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45833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45833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45833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45833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45833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45833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45833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45833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45833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45833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45833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45833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45833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45833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45833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45833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45833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45833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45833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45833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45833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45833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45833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45833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45833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45833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45833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45833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45833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45833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45833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45833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45833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45833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45833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45833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45833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45833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45833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45833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45833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45833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45833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45833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45833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45833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45833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45833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45833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45833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45833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45833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45833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45833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45833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45833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45833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45833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45833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45833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45833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45833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45833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45833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45833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45833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45833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45833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45833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45833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45833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45833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45833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45833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45833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45833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45833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45833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45833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45833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45833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45833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45833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45833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45833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45833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45833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45833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45833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45833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45833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45833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45833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45833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45833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45833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45833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45833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45833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45833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45833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45833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45833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45833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45833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45833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45833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45833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45833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45833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45833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45833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45833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45833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45833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45833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45833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45833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45833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45833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45833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45833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45833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45833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45833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45833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45833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45833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45833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45833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45833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45833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45833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45833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45833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45833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45833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45833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45833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45833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45833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45833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45833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45833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45833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45833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45833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45833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45833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45833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45833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45833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45833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45833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45833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45833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45833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45833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45833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45833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45833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45833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45833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45833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45833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45833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45833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45833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45833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45833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45833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45833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45833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45833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45833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45833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45833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45833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45833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45833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45833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45833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45833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45833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45833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45833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45833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45833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45833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45833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45833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45833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45833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45833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45833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45833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45833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45833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45833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45833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45833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45833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45833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45833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45833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45833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45833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45833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45833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45833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45833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45833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45833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45833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45833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45833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45833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45833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45833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45833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45833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45833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45833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45833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45833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45833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45833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45833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45833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45833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45833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45833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45833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45833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45833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45833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45833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45833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45833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45833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45833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45833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45833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45833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45833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45833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45833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45833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45833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45833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45833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45833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45833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45833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45833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45833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45833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45833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45833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45833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45833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45833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45833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45833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45833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45833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45833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45833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45833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45833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45833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45833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45833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45833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45833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45833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45833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45833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45833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45833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45833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45833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45833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45833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45833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45833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45833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45833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45833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45833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45833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45833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45833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45833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45833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45833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45833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45833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45833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45833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45833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45833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45833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45833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45833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45833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45833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45833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45833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45833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45833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45833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45833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45833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45833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45833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45833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45833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45833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45833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45833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45833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45833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45833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45833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45833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45833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45833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45833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45833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45833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45833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45833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45833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45833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45833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45833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45833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45833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45833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45833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45833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45833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45833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45833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45833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45833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45833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45833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45833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45833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45833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45833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45833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45833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45833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45833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45833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45833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45833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45833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45833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45833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45833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45833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45833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45833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45833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45833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45833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45833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45833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45833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45833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45833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45833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45833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45833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45833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45833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45833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45833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45833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45833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45833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45833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45833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45833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45833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45833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45833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45833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45833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45833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45833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45833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45833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45833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45833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45833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45833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45833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45833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45833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45833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45833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45833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45833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45833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45833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45833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45833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45833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45833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45833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45833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45833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45833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45833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45833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45833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45833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45833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45833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45833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45833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45833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45833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45833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45833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45833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45833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45833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45833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45833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45833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45833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45833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45833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45833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45833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45833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45833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45833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45833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45833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45833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45833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45833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45833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45833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45833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45833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45833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45833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45833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45833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45833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45833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45833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45833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45833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45833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45833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45833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45833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45833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45833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45833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45833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45833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45833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45833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45833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45833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45833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45833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45833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45833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45833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45833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45833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45833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45833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45833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45833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45833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45833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45833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45833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45833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45833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45833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45833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45833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45833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45833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45833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45833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45833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45833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45833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45833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45833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45833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45833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45833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45833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45833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45833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45833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45833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45833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45833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45833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45833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45833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45833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45833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45833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45833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45833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45833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45833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45833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45833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45833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45833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45833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45833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45833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45833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45833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45833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45833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45833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45833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45833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45833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45833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45833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45833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45833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45833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45833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45833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45833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45833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45833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45833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45833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45833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45833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45833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45833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45833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45833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45833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45833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45833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45833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45833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45833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45833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45833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45833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45833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45833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45833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45833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45833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45833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45833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45833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45833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45833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45833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45833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45833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45833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45833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45833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45833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45833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45833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45833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45833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45833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45833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45833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45833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45833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45833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45833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45833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45833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45833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45833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45833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45833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45833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45833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45833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45833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45833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45833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45833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45833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45833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45833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45833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45833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45833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45833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45833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45833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45833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45833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45833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45833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45833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45833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45833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45833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45833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45833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45833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45833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45833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45833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45833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45833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45833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45833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45833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45833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45833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45833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45833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45833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45833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45833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45833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45833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45833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45833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45833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45833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45833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45833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45833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45833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45833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45833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45833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45833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45833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45833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45833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45833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45833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45833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45833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45833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45833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45833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45833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45833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45833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45833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45833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45833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45833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45833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45833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45833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45833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45833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45833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45833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45833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45833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45833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45833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45833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45833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45833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45833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45833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45833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45833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45833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45833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45833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45833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45833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45833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45833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45833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45833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45833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45833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45833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45833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45833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45833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45833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45833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45833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45833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45833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45833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45833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45833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45833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45833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45833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45833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45833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45833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45833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45833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45833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45833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45833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45833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45833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45833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45833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45833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45833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45833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45833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45833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45833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45833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45833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45833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45833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45833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45833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45833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45833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45833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45833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45833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45833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45833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45833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45833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45833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45833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45833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45833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45833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45833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45833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45833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45833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45833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45833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45833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45833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45833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45833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45833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45833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45833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45833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45833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45833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45833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45833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45833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45833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45833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45833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45833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45833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45833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45833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45833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45833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45833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45833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45833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45833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45833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45833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45833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45833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45833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45833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45833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45833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45833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45833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45833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45833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45833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45833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45833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45833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45833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45833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45833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45833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45833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45833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45833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45833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45833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45833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45833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45833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45833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45833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45833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45833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45833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45833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45833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45833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45833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45833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45833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45833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45833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45833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45833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45833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45833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45833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45833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45833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45833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45833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45833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45833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45833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45833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45833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45833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45833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45833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45833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45833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45833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45833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45833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45833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45833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45833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45833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45833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45833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45833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45833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45833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45833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45833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45833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45833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45833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45833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45833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45833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45833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45833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45833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45833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45833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45833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45833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45833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45833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45833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45833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45833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45833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45833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45833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45833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45833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45833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45833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45833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45833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45833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45833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45833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45833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45833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45833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45833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45833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45833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45833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45833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45833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45833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45833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45833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45833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45833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45833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45833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45833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45833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45833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45833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45833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45833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45833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45833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45833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45833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45833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45833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45833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45833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45833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45833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45833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45833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45833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45833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45833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45833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45833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45833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45833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45833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45833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45833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45833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45833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45833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45833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45833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45833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45833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45833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45833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45833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45833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45833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45833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45833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45833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45833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45833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45833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45833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45833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45833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45833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45833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45833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45833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45833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45833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45833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45833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45833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45833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45833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45833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45833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45833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45833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45833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45833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45833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45833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45833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45833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45833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45833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45833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45833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45833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45833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45833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45833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45833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45833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45833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45833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45833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45833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45833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45833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45833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45833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45833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45833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45833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45833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45833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45833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45833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45833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45833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45833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45833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45833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45833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45833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45833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45833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45833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45833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45833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45833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45833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45833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45833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45833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45833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45833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45833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45833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45833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45833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45833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45833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45833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45833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45833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45833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45833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45833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45833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45833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45833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45833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45833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45833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45833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45833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45833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45833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45833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45833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45833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45833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45833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45833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45833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45833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45833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45833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45833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45833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45833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45833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45833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45833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45833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45833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45833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45833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45833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45833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45833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45833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45833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45833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45833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45833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45833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45833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45833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45833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45833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45833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45833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45833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45833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45833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45833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45833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45833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45833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45833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45833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45833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45833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45833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45833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45833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45833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45833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45833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45833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45833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45833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45833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45833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45833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45833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45833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45833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45833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45833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45833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45833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45833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45833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45833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45833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45833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45833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45833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45833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45833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45833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45833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45833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45833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45833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45833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45833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45833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45833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45833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45833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45833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45833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45833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45833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45833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45833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45833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45833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45833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45833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45833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45833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45833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45833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45833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45833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45833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45833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45833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45833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45833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45833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45833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45833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45833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45833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45833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45833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45833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45833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45833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45833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45833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45833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45833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45833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45833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45833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45833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45833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45833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45833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45833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45833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45833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45833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45833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45833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45833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45833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45833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45833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45833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45833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45833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45833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45833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45833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45833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45833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45833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45833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45833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45833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45833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45833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45833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45833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45833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45833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45833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45833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45833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45833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45833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45833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45833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45833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45833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45833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45833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45833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45833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45833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45833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45833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45833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45833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45833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45833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45833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45833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45833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45833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45833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45833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45833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45833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45833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45833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45833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45833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45833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45833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45833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45833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45833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45833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45833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45833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45833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45833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45833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45833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45833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45833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45833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45833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45833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45833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45833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45833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45833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45833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45833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45833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45833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45833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45833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45833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45833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45833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45833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45833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45833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45833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45833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45833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45833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45833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45833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45833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45833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45833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45833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45833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45833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45833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45833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45833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45833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45833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45833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45833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45833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45833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45833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45833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45833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45833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45833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45833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45833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45833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45833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45833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45833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45833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45833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45833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45833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25880-2025</t>
        </is>
      </c>
      <c r="B10712" s="1" t="n">
        <v>45804</v>
      </c>
      <c r="C10712" s="1" t="n">
        <v>45833</v>
      </c>
      <c r="D10712" t="inlineStr">
        <is>
          <t>KRONOBERGS LÄN</t>
        </is>
      </c>
      <c r="E10712" t="inlineStr">
        <is>
          <t>ÄLMHULT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25883-2025</t>
        </is>
      </c>
      <c r="B10713" s="1" t="n">
        <v>45804</v>
      </c>
      <c r="C10713" s="1" t="n">
        <v>45833</v>
      </c>
      <c r="D10713" t="inlineStr">
        <is>
          <t>KRONOBERGS LÄN</t>
        </is>
      </c>
      <c r="E10713" t="inlineStr">
        <is>
          <t>UPPVIDINGE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25904-2025</t>
        </is>
      </c>
      <c r="B10714" s="1" t="n">
        <v>45804</v>
      </c>
      <c r="C10714" s="1" t="n">
        <v>45833</v>
      </c>
      <c r="D10714" t="inlineStr">
        <is>
          <t>KRONOBERGS LÄN</t>
        </is>
      </c>
      <c r="E10714" t="inlineStr">
        <is>
          <t>ALVESTA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25761-2025</t>
        </is>
      </c>
      <c r="B10715" s="1" t="n">
        <v>45804</v>
      </c>
      <c r="C10715" s="1" t="n">
        <v>45833</v>
      </c>
      <c r="D10715" t="inlineStr">
        <is>
          <t>KRONOBERGS LÄN</t>
        </is>
      </c>
      <c r="E10715" t="inlineStr">
        <is>
          <t>LESSEBO</t>
        </is>
      </c>
      <c r="F10715" t="inlineStr">
        <is>
          <t>Sveaskog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25806-2025</t>
        </is>
      </c>
      <c r="B10716" s="1" t="n">
        <v>45804</v>
      </c>
      <c r="C10716" s="1" t="n">
        <v>45833</v>
      </c>
      <c r="D10716" t="inlineStr">
        <is>
          <t>KRONOBERGS LÄN</t>
        </is>
      </c>
      <c r="E10716" t="inlineStr">
        <is>
          <t>UPPVIDINGE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25779-2025</t>
        </is>
      </c>
      <c r="B10717" s="1" t="n">
        <v>45804</v>
      </c>
      <c r="C10717" s="1" t="n">
        <v>45833</v>
      </c>
      <c r="D10717" t="inlineStr">
        <is>
          <t>KRONOBERGS LÄN</t>
        </is>
      </c>
      <c r="E10717" t="inlineStr">
        <is>
          <t>ÄLMHULT</t>
        </is>
      </c>
      <c r="F10717" t="inlineStr">
        <is>
          <t>Sveaskog</t>
        </is>
      </c>
      <c r="G10717" t="n">
        <v>4.7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25783-2025</t>
        </is>
      </c>
      <c r="B10718" s="1" t="n">
        <v>45804</v>
      </c>
      <c r="C10718" s="1" t="n">
        <v>45833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2.2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25785-2025</t>
        </is>
      </c>
      <c r="B10719" s="1" t="n">
        <v>45804</v>
      </c>
      <c r="C10719" s="1" t="n">
        <v>45833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25999-2025</t>
        </is>
      </c>
      <c r="B10720" s="1" t="n">
        <v>45804</v>
      </c>
      <c r="C10720" s="1" t="n">
        <v>45833</v>
      </c>
      <c r="D10720" t="inlineStr">
        <is>
          <t>KRONOBERGS LÄN</t>
        </is>
      </c>
      <c r="E10720" t="inlineStr">
        <is>
          <t>LJUNGBY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25865-2025</t>
        </is>
      </c>
      <c r="B10721" s="1" t="n">
        <v>45804</v>
      </c>
      <c r="C10721" s="1" t="n">
        <v>45833</v>
      </c>
      <c r="D10721" t="inlineStr">
        <is>
          <t>KRONOBERGS LÄN</t>
        </is>
      </c>
      <c r="E10721" t="inlineStr">
        <is>
          <t>ÄLMHULT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25889-2025</t>
        </is>
      </c>
      <c r="B10722" s="1" t="n">
        <v>45804</v>
      </c>
      <c r="C10722" s="1" t="n">
        <v>45833</v>
      </c>
      <c r="D10722" t="inlineStr">
        <is>
          <t>KRONOBERGS LÄN</t>
        </is>
      </c>
      <c r="E10722" t="inlineStr">
        <is>
          <t>UPPVIDINGE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25997-2025</t>
        </is>
      </c>
      <c r="B10723" s="1" t="n">
        <v>45804</v>
      </c>
      <c r="C10723" s="1" t="n">
        <v>45833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45833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45833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45833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45833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45833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45833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26064-2025</t>
        </is>
      </c>
      <c r="B10730" s="1" t="n">
        <v>45805</v>
      </c>
      <c r="C10730" s="1" t="n">
        <v>45833</v>
      </c>
      <c r="D10730" t="inlineStr">
        <is>
          <t>KRONOBERGS LÄN</t>
        </is>
      </c>
      <c r="E10730" t="inlineStr">
        <is>
          <t>LJUNGBY</t>
        </is>
      </c>
      <c r="F10730" t="inlineStr">
        <is>
          <t>Sveaskog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26236-2025</t>
        </is>
      </c>
      <c r="B10731" s="1" t="n">
        <v>45805</v>
      </c>
      <c r="C10731" s="1" t="n">
        <v>45833</v>
      </c>
      <c r="D10731" t="inlineStr">
        <is>
          <t>KRONOBERGS LÄN</t>
        </is>
      </c>
      <c r="E10731" t="inlineStr">
        <is>
          <t>ALVESTA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45833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26065-2025</t>
        </is>
      </c>
      <c r="B10733" s="1" t="n">
        <v>45805</v>
      </c>
      <c r="C10733" s="1" t="n">
        <v>45833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45833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45833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45833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45833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45833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45833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45833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45833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45833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26470-2025</t>
        </is>
      </c>
      <c r="B10743" s="1" t="n">
        <v>45807</v>
      </c>
      <c r="C10743" s="1" t="n">
        <v>45833</v>
      </c>
      <c r="D10743" t="inlineStr">
        <is>
          <t>KRONOBERGS LÄN</t>
        </is>
      </c>
      <c r="E10743" t="inlineStr">
        <is>
          <t>UPPVIDINGE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26472-2025</t>
        </is>
      </c>
      <c r="B10744" s="1" t="n">
        <v>45807</v>
      </c>
      <c r="C10744" s="1" t="n">
        <v>45833</v>
      </c>
      <c r="D10744" t="inlineStr">
        <is>
          <t>KRONOBERGS LÄN</t>
        </is>
      </c>
      <c r="E10744" t="inlineStr">
        <is>
          <t>UPPVIDINGE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26471-2025</t>
        </is>
      </c>
      <c r="B10745" s="1" t="n">
        <v>45807</v>
      </c>
      <c r="C10745" s="1" t="n">
        <v>45833</v>
      </c>
      <c r="D10745" t="inlineStr">
        <is>
          <t>KRONOBERGS LÄN</t>
        </is>
      </c>
      <c r="E10745" t="inlineStr">
        <is>
          <t>UPPVIDINGE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26690-2025</t>
        </is>
      </c>
      <c r="B10746" s="1" t="n">
        <v>45810</v>
      </c>
      <c r="C10746" s="1" t="n">
        <v>45833</v>
      </c>
      <c r="D10746" t="inlineStr">
        <is>
          <t>KRONOBERGS LÄN</t>
        </is>
      </c>
      <c r="E10746" t="inlineStr">
        <is>
          <t>LESSEBO</t>
        </is>
      </c>
      <c r="G10746" t="n">
        <v>8.300000000000001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26798-2025</t>
        </is>
      </c>
      <c r="B10747" s="1" t="n">
        <v>45810</v>
      </c>
      <c r="C10747" s="1" t="n">
        <v>45833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26801-2025</t>
        </is>
      </c>
      <c r="B10748" s="1" t="n">
        <v>45810</v>
      </c>
      <c r="C10748" s="1" t="n">
        <v>45833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26840-2025</t>
        </is>
      </c>
      <c r="B10749" s="1" t="n">
        <v>45810</v>
      </c>
      <c r="C10749" s="1" t="n">
        <v>45833</v>
      </c>
      <c r="D10749" t="inlineStr">
        <is>
          <t>KRONOBERGS LÄN</t>
        </is>
      </c>
      <c r="E10749" t="inlineStr">
        <is>
          <t>MARKARYD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45833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26737-2025</t>
        </is>
      </c>
      <c r="B10751" s="1" t="n">
        <v>45810</v>
      </c>
      <c r="C10751" s="1" t="n">
        <v>45833</v>
      </c>
      <c r="D10751" t="inlineStr">
        <is>
          <t>KRONOBERGS LÄN</t>
        </is>
      </c>
      <c r="E10751" t="inlineStr">
        <is>
          <t>ÄLMHULT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26692-2025</t>
        </is>
      </c>
      <c r="B10752" s="1" t="n">
        <v>45810</v>
      </c>
      <c r="C10752" s="1" t="n">
        <v>45833</v>
      </c>
      <c r="D10752" t="inlineStr">
        <is>
          <t>KRONOBERGS LÄN</t>
        </is>
      </c>
      <c r="E10752" t="inlineStr">
        <is>
          <t>LESSEBO</t>
        </is>
      </c>
      <c r="G10752" t="n">
        <v>3.5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26762-2025</t>
        </is>
      </c>
      <c r="B10753" s="1" t="n">
        <v>45810</v>
      </c>
      <c r="C10753" s="1" t="n">
        <v>45833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45833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26846-2025</t>
        </is>
      </c>
      <c r="B10755" s="1" t="n">
        <v>45810</v>
      </c>
      <c r="C10755" s="1" t="n">
        <v>45833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26848-2025</t>
        </is>
      </c>
      <c r="B10756" s="1" t="n">
        <v>45810</v>
      </c>
      <c r="C10756" s="1" t="n">
        <v>45833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26807-2025</t>
        </is>
      </c>
      <c r="B10757" s="1" t="n">
        <v>45810</v>
      </c>
      <c r="C10757" s="1" t="n">
        <v>45833</v>
      </c>
      <c r="D10757" t="inlineStr">
        <is>
          <t>KRONOBERGS LÄN</t>
        </is>
      </c>
      <c r="E10757" t="inlineStr">
        <is>
          <t>ALVESTA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26975-2025</t>
        </is>
      </c>
      <c r="B10758" s="1" t="n">
        <v>45811</v>
      </c>
      <c r="C10758" s="1" t="n">
        <v>45833</v>
      </c>
      <c r="D10758" t="inlineStr">
        <is>
          <t>KRONOBERGS LÄN</t>
        </is>
      </c>
      <c r="E10758" t="inlineStr">
        <is>
          <t>LJUNGBY</t>
        </is>
      </c>
      <c r="G10758" t="n">
        <v>5.5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26983-2025</t>
        </is>
      </c>
      <c r="B10759" s="1" t="n">
        <v>45811</v>
      </c>
      <c r="C10759" s="1" t="n">
        <v>45833</v>
      </c>
      <c r="D10759" t="inlineStr">
        <is>
          <t>KRONOBERGS LÄN</t>
        </is>
      </c>
      <c r="E10759" t="inlineStr">
        <is>
          <t>TINGSRYD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26965-2025</t>
        </is>
      </c>
      <c r="B10760" s="1" t="n">
        <v>45811</v>
      </c>
      <c r="C10760" s="1" t="n">
        <v>45833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27012-2025</t>
        </is>
      </c>
      <c r="B10761" s="1" t="n">
        <v>45811</v>
      </c>
      <c r="C10761" s="1" t="n">
        <v>45833</v>
      </c>
      <c r="D10761" t="inlineStr">
        <is>
          <t>KRONOBERGS LÄN</t>
        </is>
      </c>
      <c r="E10761" t="inlineStr">
        <is>
          <t>LJUNGBY</t>
        </is>
      </c>
      <c r="G10761" t="n">
        <v>3.5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27013-2025</t>
        </is>
      </c>
      <c r="B10762" s="1" t="n">
        <v>45811</v>
      </c>
      <c r="C10762" s="1" t="n">
        <v>45833</v>
      </c>
      <c r="D10762" t="inlineStr">
        <is>
          <t>KRONOBERGS LÄN</t>
        </is>
      </c>
      <c r="E10762" t="inlineStr">
        <is>
          <t>LJUNGBY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26979-2025</t>
        </is>
      </c>
      <c r="B10763" s="1" t="n">
        <v>45811</v>
      </c>
      <c r="C10763" s="1" t="n">
        <v>45833</v>
      </c>
      <c r="D10763" t="inlineStr">
        <is>
          <t>KRONOBERGS LÄN</t>
        </is>
      </c>
      <c r="E10763" t="inlineStr">
        <is>
          <t>LJUNGBY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27019-2025</t>
        </is>
      </c>
      <c r="B10764" s="1" t="n">
        <v>45811</v>
      </c>
      <c r="C10764" s="1" t="n">
        <v>45833</v>
      </c>
      <c r="D10764" t="inlineStr">
        <is>
          <t>KRONOBERGS LÄN</t>
        </is>
      </c>
      <c r="E10764" t="inlineStr">
        <is>
          <t>LJUNGBY</t>
        </is>
      </c>
      <c r="G10764" t="n">
        <v>5.4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26936-2025</t>
        </is>
      </c>
      <c r="B10765" s="1" t="n">
        <v>45811</v>
      </c>
      <c r="C10765" s="1" t="n">
        <v>45833</v>
      </c>
      <c r="D10765" t="inlineStr">
        <is>
          <t>KRONOBERGS LÄN</t>
        </is>
      </c>
      <c r="E10765" t="inlineStr">
        <is>
          <t>LJUNGBY</t>
        </is>
      </c>
      <c r="G10765" t="n">
        <v>0.3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26969-2025</t>
        </is>
      </c>
      <c r="B10766" s="1" t="n">
        <v>45811</v>
      </c>
      <c r="C10766" s="1" t="n">
        <v>45833</v>
      </c>
      <c r="D10766" t="inlineStr">
        <is>
          <t>KRONOBERGS LÄN</t>
        </is>
      </c>
      <c r="E10766" t="inlineStr">
        <is>
          <t>ALVESTA</t>
        </is>
      </c>
      <c r="G10766" t="n">
        <v>2.9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26926-2025</t>
        </is>
      </c>
      <c r="B10767" s="1" t="n">
        <v>45811</v>
      </c>
      <c r="C10767" s="1" t="n">
        <v>45833</v>
      </c>
      <c r="D10767" t="inlineStr">
        <is>
          <t>KRONOBERGS LÄN</t>
        </is>
      </c>
      <c r="E10767" t="inlineStr">
        <is>
          <t>LJUNGBY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26928-2025</t>
        </is>
      </c>
      <c r="B10768" s="1" t="n">
        <v>45811</v>
      </c>
      <c r="C10768" s="1" t="n">
        <v>45833</v>
      </c>
      <c r="D10768" t="inlineStr">
        <is>
          <t>KRONOBERGS LÄN</t>
        </is>
      </c>
      <c r="E10768" t="inlineStr">
        <is>
          <t>LJUNGBY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26972-2025</t>
        </is>
      </c>
      <c r="B10769" s="1" t="n">
        <v>45811</v>
      </c>
      <c r="C10769" s="1" t="n">
        <v>45833</v>
      </c>
      <c r="D10769" t="inlineStr">
        <is>
          <t>KRONOBERGS LÄN</t>
        </is>
      </c>
      <c r="E10769" t="inlineStr">
        <is>
          <t>LJUNGBY</t>
        </is>
      </c>
      <c r="G10769" t="n">
        <v>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27037-2025</t>
        </is>
      </c>
      <c r="B10770" s="1" t="n">
        <v>45811</v>
      </c>
      <c r="C10770" s="1" t="n">
        <v>45833</v>
      </c>
      <c r="D10770" t="inlineStr">
        <is>
          <t>KRONOBERGS LÄN</t>
        </is>
      </c>
      <c r="E10770" t="inlineStr">
        <is>
          <t>UPPVIDINGE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26971-2025</t>
        </is>
      </c>
      <c r="B10771" s="1" t="n">
        <v>45811</v>
      </c>
      <c r="C10771" s="1" t="n">
        <v>45833</v>
      </c>
      <c r="D10771" t="inlineStr">
        <is>
          <t>KRONOBERGS LÄN</t>
        </is>
      </c>
      <c r="E10771" t="inlineStr">
        <is>
          <t>ALVESTA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27004-2025</t>
        </is>
      </c>
      <c r="B10772" s="1" t="n">
        <v>45811</v>
      </c>
      <c r="C10772" s="1" t="n">
        <v>45833</v>
      </c>
      <c r="D10772" t="inlineStr">
        <is>
          <t>KRONOBERGS LÄN</t>
        </is>
      </c>
      <c r="E10772" t="inlineStr">
        <is>
          <t>LJUNGBY</t>
        </is>
      </c>
      <c r="G10772" t="n">
        <v>3.8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27127-2025</t>
        </is>
      </c>
      <c r="B10773" s="1" t="n">
        <v>45811</v>
      </c>
      <c r="C10773" s="1" t="n">
        <v>45833</v>
      </c>
      <c r="D10773" t="inlineStr">
        <is>
          <t>KRONOBERGS LÄN</t>
        </is>
      </c>
      <c r="E10773" t="inlineStr">
        <is>
          <t>MARKARYD</t>
        </is>
      </c>
      <c r="F10773" t="inlineStr">
        <is>
          <t>Kyrkan</t>
        </is>
      </c>
      <c r="G10773" t="n">
        <v>7.2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26957-2025</t>
        </is>
      </c>
      <c r="B10774" s="1" t="n">
        <v>45811</v>
      </c>
      <c r="C10774" s="1" t="n">
        <v>45833</v>
      </c>
      <c r="D10774" t="inlineStr">
        <is>
          <t>KRONOBERGS LÄN</t>
        </is>
      </c>
      <c r="E10774" t="inlineStr">
        <is>
          <t>LJUNGBY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26974-2025</t>
        </is>
      </c>
      <c r="B10775" s="1" t="n">
        <v>45811</v>
      </c>
      <c r="C10775" s="1" t="n">
        <v>45833</v>
      </c>
      <c r="D10775" t="inlineStr">
        <is>
          <t>KRONOBERGS LÄN</t>
        </is>
      </c>
      <c r="E10775" t="inlineStr">
        <is>
          <t>ALVESTA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26977-2025</t>
        </is>
      </c>
      <c r="B10776" s="1" t="n">
        <v>45811</v>
      </c>
      <c r="C10776" s="1" t="n">
        <v>45833</v>
      </c>
      <c r="D10776" t="inlineStr">
        <is>
          <t>KRONOBERGS LÄN</t>
        </is>
      </c>
      <c r="E10776" t="inlineStr">
        <is>
          <t>ALVESTA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27266-2025</t>
        </is>
      </c>
      <c r="B10777" s="1" t="n">
        <v>45812</v>
      </c>
      <c r="C10777" s="1" t="n">
        <v>45833</v>
      </c>
      <c r="D10777" t="inlineStr">
        <is>
          <t>KRONOBERGS LÄN</t>
        </is>
      </c>
      <c r="E10777" t="inlineStr">
        <is>
          <t>VÄXJÖ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27334-2025</t>
        </is>
      </c>
      <c r="B10778" s="1" t="n">
        <v>45812</v>
      </c>
      <c r="C10778" s="1" t="n">
        <v>45833</v>
      </c>
      <c r="D10778" t="inlineStr">
        <is>
          <t>KRONOBERGS LÄN</t>
        </is>
      </c>
      <c r="E10778" t="inlineStr">
        <is>
          <t>ÄLMHULT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27423-2025</t>
        </is>
      </c>
      <c r="B10779" s="1" t="n">
        <v>45813</v>
      </c>
      <c r="C10779" s="1" t="n">
        <v>45833</v>
      </c>
      <c r="D10779" t="inlineStr">
        <is>
          <t>KRONOBERGS LÄN</t>
        </is>
      </c>
      <c r="E10779" t="inlineStr">
        <is>
          <t>ÄLMHULT</t>
        </is>
      </c>
      <c r="G10779" t="n">
        <v>5.5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27318-2025</t>
        </is>
      </c>
      <c r="B10780" s="1" t="n">
        <v>45812</v>
      </c>
      <c r="C10780" s="1" t="n">
        <v>45833</v>
      </c>
      <c r="D10780" t="inlineStr">
        <is>
          <t>KRONOBERGS LÄN</t>
        </is>
      </c>
      <c r="E10780" t="inlineStr">
        <is>
          <t>LJUNGBY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45833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45833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28081-2025</t>
        </is>
      </c>
      <c r="B10783" s="1" t="n">
        <v>45817</v>
      </c>
      <c r="C10783" s="1" t="n">
        <v>45833</v>
      </c>
      <c r="D10783" t="inlineStr">
        <is>
          <t>KRONOBERGS LÄN</t>
        </is>
      </c>
      <c r="E10783" t="inlineStr">
        <is>
          <t>VÄXJÖ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27942-2025</t>
        </is>
      </c>
      <c r="B10784" s="1" t="n">
        <v>45817</v>
      </c>
      <c r="C10784" s="1" t="n">
        <v>45833</v>
      </c>
      <c r="D10784" t="inlineStr">
        <is>
          <t>KRONOBERGS LÄN</t>
        </is>
      </c>
      <c r="E10784" t="inlineStr">
        <is>
          <t>ÄLMHULT</t>
        </is>
      </c>
      <c r="G10784" t="n">
        <v>1.2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27972-2025</t>
        </is>
      </c>
      <c r="B10785" s="1" t="n">
        <v>45817</v>
      </c>
      <c r="C10785" s="1" t="n">
        <v>45833</v>
      </c>
      <c r="D10785" t="inlineStr">
        <is>
          <t>KRONOBERGS LÄN</t>
        </is>
      </c>
      <c r="E10785" t="inlineStr">
        <is>
          <t>LJUNGBY</t>
        </is>
      </c>
      <c r="G10785" t="n">
        <v>2.2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27846-2025</t>
        </is>
      </c>
      <c r="B10786" s="1" t="n">
        <v>45817</v>
      </c>
      <c r="C10786" s="1" t="n">
        <v>45833</v>
      </c>
      <c r="D10786" t="inlineStr">
        <is>
          <t>KRONOBERGS LÄN</t>
        </is>
      </c>
      <c r="E10786" t="inlineStr">
        <is>
          <t>LJUNGBY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45833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45833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28036-2025</t>
        </is>
      </c>
      <c r="B10789" s="1" t="n">
        <v>45817</v>
      </c>
      <c r="C10789" s="1" t="n">
        <v>45833</v>
      </c>
      <c r="D10789" t="inlineStr">
        <is>
          <t>KRONOBERGS LÄN</t>
        </is>
      </c>
      <c r="E10789" t="inlineStr">
        <is>
          <t>VÄXJÖ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28177-2025</t>
        </is>
      </c>
      <c r="B10790" s="1" t="n">
        <v>45818</v>
      </c>
      <c r="C10790" s="1" t="n">
        <v>45833</v>
      </c>
      <c r="D10790" t="inlineStr">
        <is>
          <t>KRONOBERGS LÄN</t>
        </is>
      </c>
      <c r="E10790" t="inlineStr">
        <is>
          <t>ÄLMHULT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28225-2025</t>
        </is>
      </c>
      <c r="B10791" s="1" t="n">
        <v>45818</v>
      </c>
      <c r="C10791" s="1" t="n">
        <v>45833</v>
      </c>
      <c r="D10791" t="inlineStr">
        <is>
          <t>KRONOBERGS LÄN</t>
        </is>
      </c>
      <c r="E10791" t="inlineStr">
        <is>
          <t>ALVESTA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28148-2025</t>
        </is>
      </c>
      <c r="B10792" s="1" t="n">
        <v>45818</v>
      </c>
      <c r="C10792" s="1" t="n">
        <v>45833</v>
      </c>
      <c r="D10792" t="inlineStr">
        <is>
          <t>KRONOBERGS LÄN</t>
        </is>
      </c>
      <c r="E10792" t="inlineStr">
        <is>
          <t>UPPVIDINGE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28227-2025</t>
        </is>
      </c>
      <c r="B10793" s="1" t="n">
        <v>45818</v>
      </c>
      <c r="C10793" s="1" t="n">
        <v>45833</v>
      </c>
      <c r="D10793" t="inlineStr">
        <is>
          <t>KRONOBERGS LÄN</t>
        </is>
      </c>
      <c r="E10793" t="inlineStr">
        <is>
          <t>LJUNGBY</t>
        </is>
      </c>
      <c r="G10793" t="n">
        <v>3.6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28334-2025</t>
        </is>
      </c>
      <c r="B10794" s="1" t="n">
        <v>45818</v>
      </c>
      <c r="C10794" s="1" t="n">
        <v>45833</v>
      </c>
      <c r="D10794" t="inlineStr">
        <is>
          <t>KRONOBERGS LÄN</t>
        </is>
      </c>
      <c r="E10794" t="inlineStr">
        <is>
          <t>LJUNGBY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28174-2025</t>
        </is>
      </c>
      <c r="B10795" s="1" t="n">
        <v>45818</v>
      </c>
      <c r="C10795" s="1" t="n">
        <v>45833</v>
      </c>
      <c r="D10795" t="inlineStr">
        <is>
          <t>KRONOBERGS LÄN</t>
        </is>
      </c>
      <c r="E10795" t="inlineStr">
        <is>
          <t>VÄXJÖ</t>
        </is>
      </c>
      <c r="G10795" t="n">
        <v>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28292-2025</t>
        </is>
      </c>
      <c r="B10796" s="1" t="n">
        <v>45818</v>
      </c>
      <c r="C10796" s="1" t="n">
        <v>45833</v>
      </c>
      <c r="D10796" t="inlineStr">
        <is>
          <t>KRONOBERGS LÄN</t>
        </is>
      </c>
      <c r="E10796" t="inlineStr">
        <is>
          <t>MARKARYD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28301-2025</t>
        </is>
      </c>
      <c r="B10797" s="1" t="n">
        <v>45818</v>
      </c>
      <c r="C10797" s="1" t="n">
        <v>45833</v>
      </c>
      <c r="D10797" t="inlineStr">
        <is>
          <t>KRONOBERGS LÄN</t>
        </is>
      </c>
      <c r="E10797" t="inlineStr">
        <is>
          <t>ÄLMHULT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28335-2025</t>
        </is>
      </c>
      <c r="B10798" s="1" t="n">
        <v>45818</v>
      </c>
      <c r="C10798" s="1" t="n">
        <v>45833</v>
      </c>
      <c r="D10798" t="inlineStr">
        <is>
          <t>KRONOBERGS LÄN</t>
        </is>
      </c>
      <c r="E10798" t="inlineStr">
        <is>
          <t>LJUNGBY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28165-2025</t>
        </is>
      </c>
      <c r="B10799" s="1" t="n">
        <v>45818</v>
      </c>
      <c r="C10799" s="1" t="n">
        <v>45833</v>
      </c>
      <c r="D10799" t="inlineStr">
        <is>
          <t>KRONOBERGS LÄN</t>
        </is>
      </c>
      <c r="E10799" t="inlineStr">
        <is>
          <t>VÄXJÖ</t>
        </is>
      </c>
      <c r="G10799" t="n">
        <v>3.5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28171-2025</t>
        </is>
      </c>
      <c r="B10800" s="1" t="n">
        <v>45818</v>
      </c>
      <c r="C10800" s="1" t="n">
        <v>45833</v>
      </c>
      <c r="D10800" t="inlineStr">
        <is>
          <t>KRONOBERGS LÄN</t>
        </is>
      </c>
      <c r="E10800" t="inlineStr">
        <is>
          <t>VÄXJÖ</t>
        </is>
      </c>
      <c r="G10800" t="n">
        <v>19.3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28176-2025</t>
        </is>
      </c>
      <c r="B10801" s="1" t="n">
        <v>45818</v>
      </c>
      <c r="C10801" s="1" t="n">
        <v>45833</v>
      </c>
      <c r="D10801" t="inlineStr">
        <is>
          <t>KRONOBERGS LÄN</t>
        </is>
      </c>
      <c r="E10801" t="inlineStr">
        <is>
          <t>VÄXJÖ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28665-2025</t>
        </is>
      </c>
      <c r="B10802" s="1" t="n">
        <v>45819</v>
      </c>
      <c r="C10802" s="1" t="n">
        <v>45833</v>
      </c>
      <c r="D10802" t="inlineStr">
        <is>
          <t>KRONOBERGS LÄN</t>
        </is>
      </c>
      <c r="E10802" t="inlineStr">
        <is>
          <t>ÄLMHULT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45833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45833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28642-2025</t>
        </is>
      </c>
      <c r="B10805" s="1" t="n">
        <v>45819</v>
      </c>
      <c r="C10805" s="1" t="n">
        <v>45833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28490-2025</t>
        </is>
      </c>
      <c r="B10806" s="1" t="n">
        <v>45819</v>
      </c>
      <c r="C10806" s="1" t="n">
        <v>45833</v>
      </c>
      <c r="D10806" t="inlineStr">
        <is>
          <t>KRONOBERGS LÄN</t>
        </is>
      </c>
      <c r="E10806" t="inlineStr">
        <is>
          <t>UPPVIDINGE</t>
        </is>
      </c>
      <c r="G10806" t="n">
        <v>1.7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45833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28795-2025</t>
        </is>
      </c>
      <c r="B10808" s="1" t="n">
        <v>45820</v>
      </c>
      <c r="C10808" s="1" t="n">
        <v>45833</v>
      </c>
      <c r="D10808" t="inlineStr">
        <is>
          <t>KRONOBERGS LÄN</t>
        </is>
      </c>
      <c r="E10808" t="inlineStr">
        <is>
          <t>ALVESTA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28907-2025</t>
        </is>
      </c>
      <c r="B10809" s="1" t="n">
        <v>45820</v>
      </c>
      <c r="C10809" s="1" t="n">
        <v>45833</v>
      </c>
      <c r="D10809" t="inlineStr">
        <is>
          <t>KRONOBERGS LÄN</t>
        </is>
      </c>
      <c r="E10809" t="inlineStr">
        <is>
          <t>VÄXJÖ</t>
        </is>
      </c>
      <c r="G10809" t="n">
        <v>14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28889-2025</t>
        </is>
      </c>
      <c r="B10810" s="1" t="n">
        <v>45820</v>
      </c>
      <c r="C10810" s="1" t="n">
        <v>45833</v>
      </c>
      <c r="D10810" t="inlineStr">
        <is>
          <t>KRONOBERGS LÄN</t>
        </is>
      </c>
      <c r="E10810" t="inlineStr">
        <is>
          <t>LJUNGBY</t>
        </is>
      </c>
      <c r="F10810" t="inlineStr">
        <is>
          <t>Kyrkan</t>
        </is>
      </c>
      <c r="G10810" t="n">
        <v>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28904-2025</t>
        </is>
      </c>
      <c r="B10811" s="1" t="n">
        <v>45820</v>
      </c>
      <c r="C10811" s="1" t="n">
        <v>45833</v>
      </c>
      <c r="D10811" t="inlineStr">
        <is>
          <t>KRONOBERGS LÄN</t>
        </is>
      </c>
      <c r="E10811" t="inlineStr">
        <is>
          <t>VÄXJÖ</t>
        </is>
      </c>
      <c r="G10811" t="n">
        <v>3.6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28794-2025</t>
        </is>
      </c>
      <c r="B10812" s="1" t="n">
        <v>45820</v>
      </c>
      <c r="C10812" s="1" t="n">
        <v>45833</v>
      </c>
      <c r="D10812" t="inlineStr">
        <is>
          <t>KRONOBERGS LÄN</t>
        </is>
      </c>
      <c r="E10812" t="inlineStr">
        <is>
          <t>LESSEBO</t>
        </is>
      </c>
      <c r="G10812" t="n">
        <v>4.2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28801-2025</t>
        </is>
      </c>
      <c r="B10813" s="1" t="n">
        <v>45820</v>
      </c>
      <c r="C10813" s="1" t="n">
        <v>45833</v>
      </c>
      <c r="D10813" t="inlineStr">
        <is>
          <t>KRONOBERGS LÄN</t>
        </is>
      </c>
      <c r="E10813" t="inlineStr">
        <is>
          <t>VÄXJÖ</t>
        </is>
      </c>
      <c r="G10813" t="n">
        <v>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28947-2025</t>
        </is>
      </c>
      <c r="B10814" s="1" t="n">
        <v>45820</v>
      </c>
      <c r="C10814" s="1" t="n">
        <v>45833</v>
      </c>
      <c r="D10814" t="inlineStr">
        <is>
          <t>KRONOBERGS LÄN</t>
        </is>
      </c>
      <c r="E10814" t="inlineStr">
        <is>
          <t>TINGSRYD</t>
        </is>
      </c>
      <c r="F10814" t="inlineStr">
        <is>
          <t>Sveaskog</t>
        </is>
      </c>
      <c r="G10814" t="n">
        <v>1.8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28732-2025</t>
        </is>
      </c>
      <c r="B10815" s="1" t="n">
        <v>45820</v>
      </c>
      <c r="C10815" s="1" t="n">
        <v>45833</v>
      </c>
      <c r="D10815" t="inlineStr">
        <is>
          <t>KRONOBERGS LÄN</t>
        </is>
      </c>
      <c r="E10815" t="inlineStr">
        <is>
          <t>TINGSRYD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45833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45833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29163-2025</t>
        </is>
      </c>
      <c r="B10818" s="1" t="n">
        <v>45821</v>
      </c>
      <c r="C10818" s="1" t="n">
        <v>45833</v>
      </c>
      <c r="D10818" t="inlineStr">
        <is>
          <t>KRONOBERGS LÄN</t>
        </is>
      </c>
      <c r="E10818" t="inlineStr">
        <is>
          <t>ALVESTA</t>
        </is>
      </c>
      <c r="G10818" t="n">
        <v>5.6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45833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29399-2025</t>
        </is>
      </c>
      <c r="B10820" s="1" t="n">
        <v>45824</v>
      </c>
      <c r="C10820" s="1" t="n">
        <v>45833</v>
      </c>
      <c r="D10820" t="inlineStr">
        <is>
          <t>KRONOBERGS LÄN</t>
        </is>
      </c>
      <c r="E10820" t="inlineStr">
        <is>
          <t>ALVESTA</t>
        </is>
      </c>
      <c r="G10820" t="n">
        <v>5.7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29406-2025</t>
        </is>
      </c>
      <c r="B10821" s="1" t="n">
        <v>45824</v>
      </c>
      <c r="C10821" s="1" t="n">
        <v>45833</v>
      </c>
      <c r="D10821" t="inlineStr">
        <is>
          <t>KRONOBERGS LÄN</t>
        </is>
      </c>
      <c r="E10821" t="inlineStr">
        <is>
          <t>LJUNGBY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29313-2025</t>
        </is>
      </c>
      <c r="B10822" s="1" t="n">
        <v>45824</v>
      </c>
      <c r="C10822" s="1" t="n">
        <v>45833</v>
      </c>
      <c r="D10822" t="inlineStr">
        <is>
          <t>KRONOBERGS LÄN</t>
        </is>
      </c>
      <c r="E10822" t="inlineStr">
        <is>
          <t>ALVESTA</t>
        </is>
      </c>
      <c r="G10822" t="n">
        <v>2.7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29322-2025</t>
        </is>
      </c>
      <c r="B10823" s="1" t="n">
        <v>45824</v>
      </c>
      <c r="C10823" s="1" t="n">
        <v>45833</v>
      </c>
      <c r="D10823" t="inlineStr">
        <is>
          <t>KRONOBERGS LÄN</t>
        </is>
      </c>
      <c r="E10823" t="inlineStr">
        <is>
          <t>MARKARYD</t>
        </is>
      </c>
      <c r="G10823" t="n">
        <v>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29479-2025</t>
        </is>
      </c>
      <c r="B10824" s="1" t="n">
        <v>45824</v>
      </c>
      <c r="C10824" s="1" t="n">
        <v>45833</v>
      </c>
      <c r="D10824" t="inlineStr">
        <is>
          <t>KRONOBERGS LÄN</t>
        </is>
      </c>
      <c r="E10824" t="inlineStr">
        <is>
          <t>ÄLMHULT</t>
        </is>
      </c>
      <c r="G10824" t="n">
        <v>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45833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29331-2025</t>
        </is>
      </c>
      <c r="B10826" s="1" t="n">
        <v>45824</v>
      </c>
      <c r="C10826" s="1" t="n">
        <v>45833</v>
      </c>
      <c r="D10826" t="inlineStr">
        <is>
          <t>KRONOBERGS LÄN</t>
        </is>
      </c>
      <c r="E10826" t="inlineStr">
        <is>
          <t>UPPVIDINGE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29324-2025</t>
        </is>
      </c>
      <c r="B10827" s="1" t="n">
        <v>45824</v>
      </c>
      <c r="C10827" s="1" t="n">
        <v>45833</v>
      </c>
      <c r="D10827" t="inlineStr">
        <is>
          <t>KRONOBERGS LÄN</t>
        </is>
      </c>
      <c r="E10827" t="inlineStr">
        <is>
          <t>VÄXJÖ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29439-2025</t>
        </is>
      </c>
      <c r="B10828" s="1" t="n">
        <v>45824</v>
      </c>
      <c r="C10828" s="1" t="n">
        <v>45833</v>
      </c>
      <c r="D10828" t="inlineStr">
        <is>
          <t>KRONOBERGS LÄN</t>
        </is>
      </c>
      <c r="E10828" t="inlineStr">
        <is>
          <t>MARKARYD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45833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29461-2025</t>
        </is>
      </c>
      <c r="B10830" s="1" t="n">
        <v>45824</v>
      </c>
      <c r="C10830" s="1" t="n">
        <v>45833</v>
      </c>
      <c r="D10830" t="inlineStr">
        <is>
          <t>KRONOBERGS LÄN</t>
        </is>
      </c>
      <c r="E10830" t="inlineStr">
        <is>
          <t>ALVESTA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45833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29734-2025</t>
        </is>
      </c>
      <c r="B10832" s="1" t="n">
        <v>45825</v>
      </c>
      <c r="C10832" s="1" t="n">
        <v>45833</v>
      </c>
      <c r="D10832" t="inlineStr">
        <is>
          <t>KRONOBERGS LÄN</t>
        </is>
      </c>
      <c r="E10832" t="inlineStr">
        <is>
          <t>UPPVIDINGE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29785-2025</t>
        </is>
      </c>
      <c r="B10833" s="1" t="n">
        <v>45825</v>
      </c>
      <c r="C10833" s="1" t="n">
        <v>45833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29749-2025</t>
        </is>
      </c>
      <c r="B10834" s="1" t="n">
        <v>45825</v>
      </c>
      <c r="C10834" s="1" t="n">
        <v>45833</v>
      </c>
      <c r="D10834" t="inlineStr">
        <is>
          <t>KRONOBERGS LÄN</t>
        </is>
      </c>
      <c r="E10834" t="inlineStr">
        <is>
          <t>ALVESTA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29804-2025</t>
        </is>
      </c>
      <c r="B10835" s="1" t="n">
        <v>45825</v>
      </c>
      <c r="C10835" s="1" t="n">
        <v>45833</v>
      </c>
      <c r="D10835" t="inlineStr">
        <is>
          <t>KRONOBERGS LÄN</t>
        </is>
      </c>
      <c r="E10835" t="inlineStr">
        <is>
          <t>TINGSRYD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29803-2025</t>
        </is>
      </c>
      <c r="B10836" s="1" t="n">
        <v>45825</v>
      </c>
      <c r="C10836" s="1" t="n">
        <v>45833</v>
      </c>
      <c r="D10836" t="inlineStr">
        <is>
          <t>KRONOBERGS LÄN</t>
        </is>
      </c>
      <c r="E10836" t="inlineStr">
        <is>
          <t>TINGSRYD</t>
        </is>
      </c>
      <c r="G10836" t="n">
        <v>3.6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29582-2025</t>
        </is>
      </c>
      <c r="B10837" s="1" t="n">
        <v>45825</v>
      </c>
      <c r="C10837" s="1" t="n">
        <v>45833</v>
      </c>
      <c r="D10837" t="inlineStr">
        <is>
          <t>KRONOBERGS LÄN</t>
        </is>
      </c>
      <c r="E10837" t="inlineStr">
        <is>
          <t>VÄXJÖ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29758-2025</t>
        </is>
      </c>
      <c r="B10838" s="1" t="n">
        <v>45825</v>
      </c>
      <c r="C10838" s="1" t="n">
        <v>45833</v>
      </c>
      <c r="D10838" t="inlineStr">
        <is>
          <t>KRONOBERGS LÄN</t>
        </is>
      </c>
      <c r="E10838" t="inlineStr">
        <is>
          <t>ALVESTA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29592-2025</t>
        </is>
      </c>
      <c r="B10839" s="1" t="n">
        <v>45825</v>
      </c>
      <c r="C10839" s="1" t="n">
        <v>45833</v>
      </c>
      <c r="D10839" t="inlineStr">
        <is>
          <t>KRONOBERGS LÄN</t>
        </is>
      </c>
      <c r="E10839" t="inlineStr">
        <is>
          <t>UPPVIDINGE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29602-2025</t>
        </is>
      </c>
      <c r="B10840" s="1" t="n">
        <v>45825</v>
      </c>
      <c r="C10840" s="1" t="n">
        <v>45833</v>
      </c>
      <c r="D10840" t="inlineStr">
        <is>
          <t>KRONOBERGS LÄN</t>
        </is>
      </c>
      <c r="E10840" t="inlineStr">
        <is>
          <t>TINGSRYD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29629-2025</t>
        </is>
      </c>
      <c r="B10841" s="1" t="n">
        <v>45825</v>
      </c>
      <c r="C10841" s="1" t="n">
        <v>45833</v>
      </c>
      <c r="D10841" t="inlineStr">
        <is>
          <t>KRONOBERGS LÄN</t>
        </is>
      </c>
      <c r="E10841" t="inlineStr">
        <is>
          <t>TINGSRYD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29643-2025</t>
        </is>
      </c>
      <c r="B10842" s="1" t="n">
        <v>45825</v>
      </c>
      <c r="C10842" s="1" t="n">
        <v>45833</v>
      </c>
      <c r="D10842" t="inlineStr">
        <is>
          <t>KRONOBERGS LÄN</t>
        </is>
      </c>
      <c r="E10842" t="inlineStr">
        <is>
          <t>UPPVIDINGE</t>
        </is>
      </c>
      <c r="G10842" t="n">
        <v>3.8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29799-2025</t>
        </is>
      </c>
      <c r="B10843" s="1" t="n">
        <v>45825</v>
      </c>
      <c r="C10843" s="1" t="n">
        <v>45833</v>
      </c>
      <c r="D10843" t="inlineStr">
        <is>
          <t>KRONOBERGS LÄN</t>
        </is>
      </c>
      <c r="E10843" t="inlineStr">
        <is>
          <t>VÄXJÖ</t>
        </is>
      </c>
      <c r="G10843" t="n">
        <v>0.5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29659-2025</t>
        </is>
      </c>
      <c r="B10844" s="1" t="n">
        <v>45825</v>
      </c>
      <c r="C10844" s="1" t="n">
        <v>45833</v>
      </c>
      <c r="D10844" t="inlineStr">
        <is>
          <t>KRONOBERGS LÄN</t>
        </is>
      </c>
      <c r="E10844" t="inlineStr">
        <is>
          <t>LESSEBO</t>
        </is>
      </c>
      <c r="G10844" t="n">
        <v>3.3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29980-2025</t>
        </is>
      </c>
      <c r="B10845" s="1" t="n">
        <v>45826</v>
      </c>
      <c r="C10845" s="1" t="n">
        <v>45833</v>
      </c>
      <c r="D10845" t="inlineStr">
        <is>
          <t>KRONOBERGS LÄN</t>
        </is>
      </c>
      <c r="E10845" t="inlineStr">
        <is>
          <t>UPPVIDINGE</t>
        </is>
      </c>
      <c r="G10845" t="n">
        <v>4.1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29992-2025</t>
        </is>
      </c>
      <c r="B10846" s="1" t="n">
        <v>45826</v>
      </c>
      <c r="C10846" s="1" t="n">
        <v>45833</v>
      </c>
      <c r="D10846" t="inlineStr">
        <is>
          <t>KRONOBERGS LÄN</t>
        </is>
      </c>
      <c r="E10846" t="inlineStr">
        <is>
          <t>UPPVIDINGE</t>
        </is>
      </c>
      <c r="G10846" t="n">
        <v>5.5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30130-2025</t>
        </is>
      </c>
      <c r="B10847" s="1" t="n">
        <v>45826</v>
      </c>
      <c r="C10847" s="1" t="n">
        <v>45833</v>
      </c>
      <c r="D10847" t="inlineStr">
        <is>
          <t>KRONOBERGS LÄN</t>
        </is>
      </c>
      <c r="E10847" t="inlineStr">
        <is>
          <t>VÄXJÖ</t>
        </is>
      </c>
      <c r="F10847" t="inlineStr">
        <is>
          <t>Kyrkan</t>
        </is>
      </c>
      <c r="G10847" t="n">
        <v>4.4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30127-2025</t>
        </is>
      </c>
      <c r="B10848" s="1" t="n">
        <v>45826</v>
      </c>
      <c r="C10848" s="1" t="n">
        <v>45833</v>
      </c>
      <c r="D10848" t="inlineStr">
        <is>
          <t>KRONOBERGS LÄN</t>
        </is>
      </c>
      <c r="E10848" t="inlineStr">
        <is>
          <t>VÄXJÖ</t>
        </is>
      </c>
      <c r="F10848" t="inlineStr">
        <is>
          <t>Kyrkan</t>
        </is>
      </c>
      <c r="G10848" t="n">
        <v>6.5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30128-2025</t>
        </is>
      </c>
      <c r="B10849" s="1" t="n">
        <v>45826</v>
      </c>
      <c r="C10849" s="1" t="n">
        <v>45833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3.5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30129-2025</t>
        </is>
      </c>
      <c r="B10850" s="1" t="n">
        <v>45826</v>
      </c>
      <c r="C10850" s="1" t="n">
        <v>45833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5.9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29915-2025</t>
        </is>
      </c>
      <c r="B10851" s="1" t="n">
        <v>45826</v>
      </c>
      <c r="C10851" s="1" t="n">
        <v>45833</v>
      </c>
      <c r="D10851" t="inlineStr">
        <is>
          <t>KRONOBERGS LÄN</t>
        </is>
      </c>
      <c r="E10851" t="inlineStr">
        <is>
          <t>LJUNGBY</t>
        </is>
      </c>
      <c r="G10851" t="n">
        <v>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30126-2025</t>
        </is>
      </c>
      <c r="B10852" s="1" t="n">
        <v>45826</v>
      </c>
      <c r="C10852" s="1" t="n">
        <v>45833</v>
      </c>
      <c r="D10852" t="inlineStr">
        <is>
          <t>KRONOBERGS LÄN</t>
        </is>
      </c>
      <c r="E10852" t="inlineStr">
        <is>
          <t>MARKARYD</t>
        </is>
      </c>
      <c r="F10852" t="inlineStr">
        <is>
          <t>Kyrkan</t>
        </is>
      </c>
      <c r="G10852" t="n">
        <v>3.4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30131-2025</t>
        </is>
      </c>
      <c r="B10853" s="1" t="n">
        <v>45826</v>
      </c>
      <c r="C10853" s="1" t="n">
        <v>45833</v>
      </c>
      <c r="D10853" t="inlineStr">
        <is>
          <t>KRONOBERGS LÄN</t>
        </is>
      </c>
      <c r="E10853" t="inlineStr">
        <is>
          <t>ALVESTA</t>
        </is>
      </c>
      <c r="F10853" t="inlineStr">
        <is>
          <t>Kyrkan</t>
        </is>
      </c>
      <c r="G10853" t="n">
        <v>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29959-2025</t>
        </is>
      </c>
      <c r="B10854" s="1" t="n">
        <v>45826</v>
      </c>
      <c r="C10854" s="1" t="n">
        <v>45833</v>
      </c>
      <c r="D10854" t="inlineStr">
        <is>
          <t>KRONOBERGS LÄN</t>
        </is>
      </c>
      <c r="E10854" t="inlineStr">
        <is>
          <t>LJUNGBY</t>
        </is>
      </c>
      <c r="G10854" t="n">
        <v>3.8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30132-2025</t>
        </is>
      </c>
      <c r="B10855" s="1" t="n">
        <v>45826</v>
      </c>
      <c r="C10855" s="1" t="n">
        <v>45833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3.1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29989-2025</t>
        </is>
      </c>
      <c r="B10856" s="1" t="n">
        <v>45826</v>
      </c>
      <c r="C10856" s="1" t="n">
        <v>45833</v>
      </c>
      <c r="D10856" t="inlineStr">
        <is>
          <t>KRONOBERGS LÄN</t>
        </is>
      </c>
      <c r="E10856" t="inlineStr">
        <is>
          <t>UPPVIDINGE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30103-2025</t>
        </is>
      </c>
      <c r="B10857" s="1" t="n">
        <v>45826</v>
      </c>
      <c r="C10857" s="1" t="n">
        <v>45833</v>
      </c>
      <c r="D10857" t="inlineStr">
        <is>
          <t>KRONOBERGS LÄN</t>
        </is>
      </c>
      <c r="E10857" t="inlineStr">
        <is>
          <t>LJUNGBY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30144-2025</t>
        </is>
      </c>
      <c r="B10858" s="1" t="n">
        <v>45827</v>
      </c>
      <c r="C10858" s="1" t="n">
        <v>45833</v>
      </c>
      <c r="D10858" t="inlineStr">
        <is>
          <t>KRONOBERGS LÄN</t>
        </is>
      </c>
      <c r="E10858" t="inlineStr">
        <is>
          <t>MARKARYD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30110-2025</t>
        </is>
      </c>
      <c r="B10859" s="1" t="n">
        <v>45826</v>
      </c>
      <c r="C10859" s="1" t="n">
        <v>45833</v>
      </c>
      <c r="D10859" t="inlineStr">
        <is>
          <t>KRONOBERGS LÄN</t>
        </is>
      </c>
      <c r="E10859" t="inlineStr">
        <is>
          <t>LJUNGBY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29893-2025</t>
        </is>
      </c>
      <c r="B10860" s="1" t="n">
        <v>45826</v>
      </c>
      <c r="C10860" s="1" t="n">
        <v>45833</v>
      </c>
      <c r="D10860" t="inlineStr">
        <is>
          <t>KRONOBERGS LÄN</t>
        </is>
      </c>
      <c r="E10860" t="inlineStr">
        <is>
          <t>UPPVIDINGE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30337-2025</t>
        </is>
      </c>
      <c r="B10861" s="1" t="n">
        <v>45827</v>
      </c>
      <c r="C10861" s="1" t="n">
        <v>45833</v>
      </c>
      <c r="D10861" t="inlineStr">
        <is>
          <t>KRONOBERGS LÄN</t>
        </is>
      </c>
      <c r="E10861" t="inlineStr">
        <is>
          <t>ÄLMHULT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30367-2025</t>
        </is>
      </c>
      <c r="B10862" s="1" t="n">
        <v>45827</v>
      </c>
      <c r="C10862" s="1" t="n">
        <v>45833</v>
      </c>
      <c r="D10862" t="inlineStr">
        <is>
          <t>KRONOBERGS LÄN</t>
        </is>
      </c>
      <c r="E10862" t="inlineStr">
        <is>
          <t>VÄXJÖ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30410-2025</t>
        </is>
      </c>
      <c r="B10863" s="1" t="n">
        <v>45827</v>
      </c>
      <c r="C10863" s="1" t="n">
        <v>45833</v>
      </c>
      <c r="D10863" t="inlineStr">
        <is>
          <t>KRONOBERGS LÄN</t>
        </is>
      </c>
      <c r="E10863" t="inlineStr">
        <is>
          <t>ÄLMHULT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30419-2025</t>
        </is>
      </c>
      <c r="B10864" s="1" t="n">
        <v>45827</v>
      </c>
      <c r="C10864" s="1" t="n">
        <v>45833</v>
      </c>
      <c r="D10864" t="inlineStr">
        <is>
          <t>KRONOBERGS LÄN</t>
        </is>
      </c>
      <c r="E10864" t="inlineStr">
        <is>
          <t>MARKARYD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30321-2025</t>
        </is>
      </c>
      <c r="B10865" s="1" t="n">
        <v>45827</v>
      </c>
      <c r="C10865" s="1" t="n">
        <v>45833</v>
      </c>
      <c r="D10865" t="inlineStr">
        <is>
          <t>KRONOBERGS LÄN</t>
        </is>
      </c>
      <c r="E10865" t="inlineStr">
        <is>
          <t>VÄXJÖ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30322-2025</t>
        </is>
      </c>
      <c r="B10866" s="1" t="n">
        <v>45827</v>
      </c>
      <c r="C10866" s="1" t="n">
        <v>45833</v>
      </c>
      <c r="D10866" t="inlineStr">
        <is>
          <t>KRONOBERGS LÄN</t>
        </is>
      </c>
      <c r="E10866" t="inlineStr">
        <is>
          <t>ÄLMHULT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30222-2025</t>
        </is>
      </c>
      <c r="B10867" s="1" t="n">
        <v>45827</v>
      </c>
      <c r="C10867" s="1" t="n">
        <v>45833</v>
      </c>
      <c r="D10867" t="inlineStr">
        <is>
          <t>KRONOBERGS LÄN</t>
        </is>
      </c>
      <c r="E10867" t="inlineStr">
        <is>
          <t>ALVESTA</t>
        </is>
      </c>
      <c r="G10867" t="n">
        <v>0.5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30223-2025</t>
        </is>
      </c>
      <c r="B10868" s="1" t="n">
        <v>45827</v>
      </c>
      <c r="C10868" s="1" t="n">
        <v>45833</v>
      </c>
      <c r="D10868" t="inlineStr">
        <is>
          <t>KRONOBERGS LÄN</t>
        </is>
      </c>
      <c r="E10868" t="inlineStr">
        <is>
          <t>ALVESTA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30230-2025</t>
        </is>
      </c>
      <c r="B10869" s="1" t="n">
        <v>45827</v>
      </c>
      <c r="C10869" s="1" t="n">
        <v>45833</v>
      </c>
      <c r="D10869" t="inlineStr">
        <is>
          <t>KRONOBERGS LÄN</t>
        </is>
      </c>
      <c r="E10869" t="inlineStr">
        <is>
          <t>TINGSRYD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30374-2025</t>
        </is>
      </c>
      <c r="B10870" s="1" t="n">
        <v>45827</v>
      </c>
      <c r="C10870" s="1" t="n">
        <v>45833</v>
      </c>
      <c r="D10870" t="inlineStr">
        <is>
          <t>KRONOBERGS LÄN</t>
        </is>
      </c>
      <c r="E10870" t="inlineStr">
        <is>
          <t>VÄXJÖ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30423-2025</t>
        </is>
      </c>
      <c r="B10871" s="1" t="n">
        <v>45827</v>
      </c>
      <c r="C10871" s="1" t="n">
        <v>45833</v>
      </c>
      <c r="D10871" t="inlineStr">
        <is>
          <t>KRONOBERGS LÄN</t>
        </is>
      </c>
      <c r="E10871" t="inlineStr">
        <is>
          <t>MARKARYD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30191-2025</t>
        </is>
      </c>
      <c r="B10872" s="1" t="n">
        <v>45827</v>
      </c>
      <c r="C10872" s="1" t="n">
        <v>45833</v>
      </c>
      <c r="D10872" t="inlineStr">
        <is>
          <t>KRONOBERGS LÄN</t>
        </is>
      </c>
      <c r="E10872" t="inlineStr">
        <is>
          <t>ALVESTA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30683-2025</t>
        </is>
      </c>
      <c r="B10873" s="1" t="n">
        <v>45831</v>
      </c>
      <c r="C10873" s="1" t="n">
        <v>45833</v>
      </c>
      <c r="D10873" t="inlineStr">
        <is>
          <t>KRONOBERGS LÄN</t>
        </is>
      </c>
      <c r="E10873" t="inlineStr">
        <is>
          <t>VÄXJÖ</t>
        </is>
      </c>
      <c r="G10873" t="n">
        <v>3.2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30720-2025</t>
        </is>
      </c>
      <c r="B10874" s="1" t="n">
        <v>45831</v>
      </c>
      <c r="C10874" s="1" t="n">
        <v>45833</v>
      </c>
      <c r="D10874" t="inlineStr">
        <is>
          <t>KRONOBERGS LÄN</t>
        </is>
      </c>
      <c r="E10874" t="inlineStr">
        <is>
          <t>LJUNGBY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30529-2025</t>
        </is>
      </c>
      <c r="B10875" s="1" t="n">
        <v>45831</v>
      </c>
      <c r="C10875" s="1" t="n">
        <v>45833</v>
      </c>
      <c r="D10875" t="inlineStr">
        <is>
          <t>KRONOBERGS LÄN</t>
        </is>
      </c>
      <c r="E10875" t="inlineStr">
        <is>
          <t>LJUNGBY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30771-2025</t>
        </is>
      </c>
      <c r="B10876" s="1" t="n">
        <v>45831</v>
      </c>
      <c r="C10876" s="1" t="n">
        <v>45833</v>
      </c>
      <c r="D10876" t="inlineStr">
        <is>
          <t>KRONOBERGS LÄN</t>
        </is>
      </c>
      <c r="E10876" t="inlineStr">
        <is>
          <t>LESSEBO</t>
        </is>
      </c>
      <c r="G10876" t="n">
        <v>0.7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30522-2025</t>
        </is>
      </c>
      <c r="B10877" s="1" t="n">
        <v>45831</v>
      </c>
      <c r="C10877" s="1" t="n">
        <v>45833</v>
      </c>
      <c r="D10877" t="inlineStr">
        <is>
          <t>KRONOBERGS LÄN</t>
        </is>
      </c>
      <c r="E10877" t="inlineStr">
        <is>
          <t>LESSEBO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30547-2025</t>
        </is>
      </c>
      <c r="B10878" s="1" t="n">
        <v>45831</v>
      </c>
      <c r="C10878" s="1" t="n">
        <v>45833</v>
      </c>
      <c r="D10878" t="inlineStr">
        <is>
          <t>KRONOBERGS LÄN</t>
        </is>
      </c>
      <c r="E10878" t="inlineStr">
        <is>
          <t>UPPVIDINGE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30627-2025</t>
        </is>
      </c>
      <c r="B10879" s="1" t="n">
        <v>45831</v>
      </c>
      <c r="C10879" s="1" t="n">
        <v>45833</v>
      </c>
      <c r="D10879" t="inlineStr">
        <is>
          <t>KRONOBERGS LÄN</t>
        </is>
      </c>
      <c r="E10879" t="inlineStr">
        <is>
          <t>VÄXJÖ</t>
        </is>
      </c>
      <c r="G10879" t="n">
        <v>1.8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30854-2025</t>
        </is>
      </c>
      <c r="B10880" s="1" t="n">
        <v>45831</v>
      </c>
      <c r="C10880" s="1" t="n">
        <v>45833</v>
      </c>
      <c r="D10880" t="inlineStr">
        <is>
          <t>KRONOBERGS LÄN</t>
        </is>
      </c>
      <c r="E10880" t="inlineStr">
        <is>
          <t>LJUNGBY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30801-2025</t>
        </is>
      </c>
      <c r="B10881" s="1" t="n">
        <v>45831</v>
      </c>
      <c r="C10881" s="1" t="n">
        <v>45833</v>
      </c>
      <c r="D10881" t="inlineStr">
        <is>
          <t>KRONOBERGS LÄN</t>
        </is>
      </c>
      <c r="E10881" t="inlineStr">
        <is>
          <t>ÄLMHULT</t>
        </is>
      </c>
      <c r="G10881" t="n">
        <v>2.6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30818-2025</t>
        </is>
      </c>
      <c r="B10882" s="1" t="n">
        <v>45831</v>
      </c>
      <c r="C10882" s="1" t="n">
        <v>45833</v>
      </c>
      <c r="D10882" t="inlineStr">
        <is>
          <t>KRONOBERGS LÄN</t>
        </is>
      </c>
      <c r="E10882" t="inlineStr">
        <is>
          <t>ÄLMHULT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31094-2025</t>
        </is>
      </c>
      <c r="B10883" s="1" t="n">
        <v>45831</v>
      </c>
      <c r="C10883" s="1" t="n">
        <v>45833</v>
      </c>
      <c r="D10883" t="inlineStr">
        <is>
          <t>KRONOBERGS LÄN</t>
        </is>
      </c>
      <c r="E10883" t="inlineStr">
        <is>
          <t>ALVESTA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30662-2025</t>
        </is>
      </c>
      <c r="B10884" s="1" t="n">
        <v>45831</v>
      </c>
      <c r="C10884" s="1" t="n">
        <v>45833</v>
      </c>
      <c r="D10884" t="inlineStr">
        <is>
          <t>KRONOBERGS LÄN</t>
        </is>
      </c>
      <c r="E10884" t="inlineStr">
        <is>
          <t>UPPVIDINGE</t>
        </is>
      </c>
      <c r="G10884" t="n">
        <v>4.3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30815-2025</t>
        </is>
      </c>
      <c r="B10885" s="1" t="n">
        <v>45831</v>
      </c>
      <c r="C10885" s="1" t="n">
        <v>45833</v>
      </c>
      <c r="D10885" t="inlineStr">
        <is>
          <t>KRONOBERGS LÄN</t>
        </is>
      </c>
      <c r="E10885" t="inlineStr">
        <is>
          <t>UPPVIDINGE</t>
        </is>
      </c>
      <c r="G10885" t="n">
        <v>2.2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30523-2025</t>
        </is>
      </c>
      <c r="B10886" s="1" t="n">
        <v>45831</v>
      </c>
      <c r="C10886" s="1" t="n">
        <v>45833</v>
      </c>
      <c r="D10886" t="inlineStr">
        <is>
          <t>KRONOBERGS LÄN</t>
        </is>
      </c>
      <c r="E10886" t="inlineStr">
        <is>
          <t>LJUNGBY</t>
        </is>
      </c>
      <c r="G10886" t="n">
        <v>0.5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30527-2025</t>
        </is>
      </c>
      <c r="B10887" s="1" t="n">
        <v>45831</v>
      </c>
      <c r="C10887" s="1" t="n">
        <v>45833</v>
      </c>
      <c r="D10887" t="inlineStr">
        <is>
          <t>KRONOBERGS LÄN</t>
        </is>
      </c>
      <c r="E10887" t="inlineStr">
        <is>
          <t>LESSEBO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30533-2025</t>
        </is>
      </c>
      <c r="B10888" s="1" t="n">
        <v>45831</v>
      </c>
      <c r="C10888" s="1" t="n">
        <v>45833</v>
      </c>
      <c r="D10888" t="inlineStr">
        <is>
          <t>KRONOBERGS LÄN</t>
        </is>
      </c>
      <c r="E10888" t="inlineStr">
        <is>
          <t>UPPVIDINGE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30549-2025</t>
        </is>
      </c>
      <c r="B10889" s="1" t="n">
        <v>45831</v>
      </c>
      <c r="C10889" s="1" t="n">
        <v>45833</v>
      </c>
      <c r="D10889" t="inlineStr">
        <is>
          <t>KRONOBERGS LÄN</t>
        </is>
      </c>
      <c r="E10889" t="inlineStr">
        <is>
          <t>LJUNGBY</t>
        </is>
      </c>
      <c r="G10889" t="n">
        <v>2.9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30835-2025</t>
        </is>
      </c>
      <c r="B10890" s="1" t="n">
        <v>45831</v>
      </c>
      <c r="C10890" s="1" t="n">
        <v>45833</v>
      </c>
      <c r="D10890" t="inlineStr">
        <is>
          <t>KRONOBERGS LÄN</t>
        </is>
      </c>
      <c r="E10890" t="inlineStr">
        <is>
          <t>ÄLMHULT</t>
        </is>
      </c>
      <c r="G10890" t="n">
        <v>1.6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30643-2025</t>
        </is>
      </c>
      <c r="B10891" s="1" t="n">
        <v>45831</v>
      </c>
      <c r="C10891" s="1" t="n">
        <v>45833</v>
      </c>
      <c r="D10891" t="inlineStr">
        <is>
          <t>KRONOBERGS LÄN</t>
        </is>
      </c>
      <c r="E10891" t="inlineStr">
        <is>
          <t>VÄXJÖ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30521-2025</t>
        </is>
      </c>
      <c r="B10892" s="1" t="n">
        <v>45831</v>
      </c>
      <c r="C10892" s="1" t="n">
        <v>45833</v>
      </c>
      <c r="D10892" t="inlineStr">
        <is>
          <t>KRONOBERGS LÄN</t>
        </is>
      </c>
      <c r="E10892" t="inlineStr">
        <is>
          <t>LJUNGBY</t>
        </is>
      </c>
      <c r="G10892" t="n">
        <v>1.5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30561-2025</t>
        </is>
      </c>
      <c r="B10893" s="1" t="n">
        <v>45831</v>
      </c>
      <c r="C10893" s="1" t="n">
        <v>45833</v>
      </c>
      <c r="D10893" t="inlineStr">
        <is>
          <t>KRONOBERGS LÄN</t>
        </is>
      </c>
      <c r="E10893" t="inlineStr">
        <is>
          <t>LJUNGBY</t>
        </is>
      </c>
      <c r="G10893" t="n">
        <v>7.1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30599-2025</t>
        </is>
      </c>
      <c r="B10894" s="1" t="n">
        <v>45831</v>
      </c>
      <c r="C10894" s="1" t="n">
        <v>45833</v>
      </c>
      <c r="D10894" t="inlineStr">
        <is>
          <t>KRONOBERGS LÄN</t>
        </is>
      </c>
      <c r="E10894" t="inlineStr">
        <is>
          <t>VÄXJÖ</t>
        </is>
      </c>
      <c r="G10894" t="n">
        <v>1.3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30538-2025</t>
        </is>
      </c>
      <c r="B10895" s="1" t="n">
        <v>45831</v>
      </c>
      <c r="C10895" s="1" t="n">
        <v>45833</v>
      </c>
      <c r="D10895" t="inlineStr">
        <is>
          <t>KRONOBERGS LÄN</t>
        </is>
      </c>
      <c r="E10895" t="inlineStr">
        <is>
          <t>LJUNGBY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30545-2025</t>
        </is>
      </c>
      <c r="B10896" s="1" t="n">
        <v>45831</v>
      </c>
      <c r="C10896" s="1" t="n">
        <v>45833</v>
      </c>
      <c r="D10896" t="inlineStr">
        <is>
          <t>KRONOBERGS LÄN</t>
        </is>
      </c>
      <c r="E10896" t="inlineStr">
        <is>
          <t>UPPVIDINGE</t>
        </is>
      </c>
      <c r="G10896" t="n">
        <v>3.7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30666-2025</t>
        </is>
      </c>
      <c r="B10897" s="1" t="n">
        <v>45831</v>
      </c>
      <c r="C10897" s="1" t="n">
        <v>45833</v>
      </c>
      <c r="D10897" t="inlineStr">
        <is>
          <t>KRONOBERGS LÄN</t>
        </is>
      </c>
      <c r="E10897" t="inlineStr">
        <is>
          <t>VÄXJÖ</t>
        </is>
      </c>
      <c r="G10897" t="n">
        <v>2.1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30840-2025</t>
        </is>
      </c>
      <c r="B10898" s="1" t="n">
        <v>45831</v>
      </c>
      <c r="C10898" s="1" t="n">
        <v>45833</v>
      </c>
      <c r="D10898" t="inlineStr">
        <is>
          <t>KRONOBERGS LÄN</t>
        </is>
      </c>
      <c r="E10898" t="inlineStr">
        <is>
          <t>TINGSRYD</t>
        </is>
      </c>
      <c r="G10898" t="n">
        <v>0.5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30842-2025</t>
        </is>
      </c>
      <c r="B10899" s="1" t="n">
        <v>45831</v>
      </c>
      <c r="C10899" s="1" t="n">
        <v>45833</v>
      </c>
      <c r="D10899" t="inlineStr">
        <is>
          <t>KRONOBERGS LÄN</t>
        </is>
      </c>
      <c r="E10899" t="inlineStr">
        <is>
          <t>TINGSRYD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30741-2025</t>
        </is>
      </c>
      <c r="B10900" s="1" t="n">
        <v>45831</v>
      </c>
      <c r="C10900" s="1" t="n">
        <v>45833</v>
      </c>
      <c r="D10900" t="inlineStr">
        <is>
          <t>KRONOBERGS LÄN</t>
        </is>
      </c>
      <c r="E10900" t="inlineStr">
        <is>
          <t>LJUNGBY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30745-2025</t>
        </is>
      </c>
      <c r="B10901" s="1" t="n">
        <v>45831</v>
      </c>
      <c r="C10901" s="1" t="n">
        <v>45833</v>
      </c>
      <c r="D10901" t="inlineStr">
        <is>
          <t>KRONOBERGS LÄN</t>
        </is>
      </c>
      <c r="E10901" t="inlineStr">
        <is>
          <t>UPPVIDINGE</t>
        </is>
      </c>
      <c r="G10901" t="n">
        <v>3.1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30857-2025</t>
        </is>
      </c>
      <c r="B10902" s="1" t="n">
        <v>45831</v>
      </c>
      <c r="C10902" s="1" t="n">
        <v>45833</v>
      </c>
      <c r="D10902" t="inlineStr">
        <is>
          <t>KRONOBERGS LÄN</t>
        </is>
      </c>
      <c r="E10902" t="inlineStr">
        <is>
          <t>LJUNGBY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30996-2025</t>
        </is>
      </c>
      <c r="B10903" s="1" t="n">
        <v>45832</v>
      </c>
      <c r="C10903" s="1" t="n">
        <v>45833</v>
      </c>
      <c r="D10903" t="inlineStr">
        <is>
          <t>KRONOBERGS LÄN</t>
        </is>
      </c>
      <c r="E10903" t="inlineStr">
        <is>
          <t>UPPVIDINGE</t>
        </is>
      </c>
      <c r="F10903" t="inlineStr">
        <is>
          <t>Sveaskog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31243-2025</t>
        </is>
      </c>
      <c r="B10904" s="1" t="n">
        <v>45832</v>
      </c>
      <c r="C10904" s="1" t="n">
        <v>45833</v>
      </c>
      <c r="D10904" t="inlineStr">
        <is>
          <t>KRONOBERGS LÄN</t>
        </is>
      </c>
      <c r="E10904" t="inlineStr">
        <is>
          <t>VÄXJÖ</t>
        </is>
      </c>
      <c r="G10904" t="n">
        <v>10.6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30983-2025</t>
        </is>
      </c>
      <c r="B10905" s="1" t="n">
        <v>45832</v>
      </c>
      <c r="C10905" s="1" t="n">
        <v>45833</v>
      </c>
      <c r="D10905" t="inlineStr">
        <is>
          <t>KRONOBERGS LÄN</t>
        </is>
      </c>
      <c r="E10905" t="inlineStr">
        <is>
          <t>UPPVIDINGE</t>
        </is>
      </c>
      <c r="F10905" t="inlineStr">
        <is>
          <t>Sveaskog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30861-2025</t>
        </is>
      </c>
      <c r="B10906" s="1" t="n">
        <v>45832</v>
      </c>
      <c r="C10906" s="1" t="n">
        <v>45833</v>
      </c>
      <c r="D10906" t="inlineStr">
        <is>
          <t>KRONOBERGS LÄN</t>
        </is>
      </c>
      <c r="E10906" t="inlineStr">
        <is>
          <t>VÄXJÖ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30862-2025</t>
        </is>
      </c>
      <c r="B10907" s="1" t="n">
        <v>45832</v>
      </c>
      <c r="C10907" s="1" t="n">
        <v>45833</v>
      </c>
      <c r="D10907" t="inlineStr">
        <is>
          <t>KRONOBERGS LÄN</t>
        </is>
      </c>
      <c r="E10907" t="inlineStr">
        <is>
          <t>LJUNGBY</t>
        </is>
      </c>
      <c r="G10907" t="n">
        <v>13.7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31047-2025</t>
        </is>
      </c>
      <c r="B10908" s="1" t="n">
        <v>45832</v>
      </c>
      <c r="C10908" s="1" t="n">
        <v>45833</v>
      </c>
      <c r="D10908" t="inlineStr">
        <is>
          <t>KRONOBERGS LÄN</t>
        </is>
      </c>
      <c r="E10908" t="inlineStr">
        <is>
          <t>TINGSRYD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31069-2025</t>
        </is>
      </c>
      <c r="B10909" s="1" t="n">
        <v>45832</v>
      </c>
      <c r="C10909" s="1" t="n">
        <v>45833</v>
      </c>
      <c r="D10909" t="inlineStr">
        <is>
          <t>KRONOBERGS LÄN</t>
        </is>
      </c>
      <c r="E10909" t="inlineStr">
        <is>
          <t>ÄLMHULT</t>
        </is>
      </c>
      <c r="G10909" t="n">
        <v>3.1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>
      <c r="A10910" t="inlineStr">
        <is>
          <t>A 31002-2025</t>
        </is>
      </c>
      <c r="B10910" s="1" t="n">
        <v>45832</v>
      </c>
      <c r="C10910" s="1" t="n">
        <v>45833</v>
      </c>
      <c r="D10910" t="inlineStr">
        <is>
          <t>KRONOBERGS LÄN</t>
        </is>
      </c>
      <c r="E10910" t="inlineStr">
        <is>
          <t>TINGSRYD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2025-06-25T19:42:41Z</dcterms:created>
  <dcterms:modified xmlns:dcterms="http://purl.org/dc/terms/" xmlns:xsi="http://www.w3.org/2001/XMLSchema-instance" xsi:type="dcterms:W3CDTF">2025-06-25T19:42:51Z</dcterms:modified>
</cp:coreProperties>
</file>