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46103</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 vaxskivling
Ängsvaxskivling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18960-2021</t>
        </is>
      </c>
      <c r="B3" s="1" t="n">
        <v>44308</v>
      </c>
      <c r="C3" s="1" t="n">
        <v>46103</v>
      </c>
      <c r="D3" t="inlineStr">
        <is>
          <t>KRONOBERGS LÄN</t>
        </is>
      </c>
      <c r="E3" t="inlineStr">
        <is>
          <t>LESSEBO</t>
        </is>
      </c>
      <c r="G3" t="n">
        <v>3.9</v>
      </c>
      <c r="H3" t="n">
        <v>14</v>
      </c>
      <c r="I3" t="n">
        <v>1</v>
      </c>
      <c r="J3" t="n">
        <v>10</v>
      </c>
      <c r="K3" t="n">
        <v>0</v>
      </c>
      <c r="L3" t="n">
        <v>0</v>
      </c>
      <c r="M3" t="n">
        <v>0</v>
      </c>
      <c r="N3" t="n">
        <v>0</v>
      </c>
      <c r="O3" t="n">
        <v>10</v>
      </c>
      <c r="P3" t="n">
        <v>0</v>
      </c>
      <c r="Q3" t="n">
        <v>16</v>
      </c>
      <c r="R3" s="2" t="inlineStr">
        <is>
          <t>Barbastell
Dammfladdermus
Duvhök
Entita
Kråka
Mindre bastardsvärmare
Mindre hackspett
Nordfladdermus
Svartvit flugsnappare
Talltita
Grönpyrola
Dvärgpipistrell
Nattskärra
Större brunfladdermus
Vattenfladdermus
Skogsödla</t>
        </is>
      </c>
      <c r="S3">
        <f>HYPERLINK("https://klasma.github.io/Logging_0761/artfynd/A 18960-2021 artfynd.xlsx", "A 18960-2021")</f>
        <v/>
      </c>
      <c r="T3">
        <f>HYPERLINK("https://klasma.github.io/Logging_0761/kartor/A 18960-2021 karta.png", "A 18960-2021")</f>
        <v/>
      </c>
      <c r="V3">
        <f>HYPERLINK("https://klasma.github.io/Logging_0761/klagomål/A 18960-2021 FSC-klagomål.docx", "A 18960-2021")</f>
        <v/>
      </c>
      <c r="W3">
        <f>HYPERLINK("https://klasma.github.io/Logging_0761/klagomålsmail/A 18960-2021 FSC-klagomål mail.docx", "A 18960-2021")</f>
        <v/>
      </c>
      <c r="X3">
        <f>HYPERLINK("https://klasma.github.io/Logging_0761/tillsyn/A 18960-2021 tillsynsbegäran.docx", "A 18960-2021")</f>
        <v/>
      </c>
      <c r="Y3">
        <f>HYPERLINK("https://klasma.github.io/Logging_0761/tillsynsmail/A 18960-2021 tillsynsbegäran mail.docx", "A 18960-2021")</f>
        <v/>
      </c>
      <c r="Z3">
        <f>HYPERLINK("https://klasma.github.io/Logging_0761/fåglar/A 18960-2021 prioriterade fågelarter.docx", "A 18960-2021")</f>
        <v/>
      </c>
    </row>
    <row r="4" ht="15" customHeight="1">
      <c r="A4" t="inlineStr">
        <is>
          <t>A 29270-2023</t>
        </is>
      </c>
      <c r="B4" s="1" t="n">
        <v>45105</v>
      </c>
      <c r="C4" s="1" t="n">
        <v>46103</v>
      </c>
      <c r="D4" t="inlineStr">
        <is>
          <t>KRONOBERGS LÄN</t>
        </is>
      </c>
      <c r="E4" t="inlineStr">
        <is>
          <t>LJUNGBY</t>
        </is>
      </c>
      <c r="F4" t="inlineStr">
        <is>
          <t>Kommuner</t>
        </is>
      </c>
      <c r="G4" t="n">
        <v>3.5</v>
      </c>
      <c r="H4" t="n">
        <v>8</v>
      </c>
      <c r="I4" t="n">
        <v>1</v>
      </c>
      <c r="J4" t="n">
        <v>3</v>
      </c>
      <c r="K4" t="n">
        <v>2</v>
      </c>
      <c r="L4" t="n">
        <v>0</v>
      </c>
      <c r="M4" t="n">
        <v>0</v>
      </c>
      <c r="N4" t="n">
        <v>0</v>
      </c>
      <c r="O4" t="n">
        <v>5</v>
      </c>
      <c r="P4" t="n">
        <v>2</v>
      </c>
      <c r="Q4" t="n">
        <v>9</v>
      </c>
      <c r="R4" s="2" t="inlineStr">
        <is>
          <t>Kricka
Tofsvipa
Buskskvätta
Duvhök
Skrattmås
Bronshjon
Järnsparv
Röd glada
Trana</t>
        </is>
      </c>
      <c r="S4">
        <f>HYPERLINK("https://klasma.github.io/Logging_0781/artfynd/A 29270-2023 artfynd.xlsx", "A 29270-2023")</f>
        <v/>
      </c>
      <c r="T4">
        <f>HYPERLINK("https://klasma.github.io/Logging_0781/kartor/A 29270-2023 karta.png", "A 29270-2023")</f>
        <v/>
      </c>
      <c r="V4">
        <f>HYPERLINK("https://klasma.github.io/Logging_0781/klagomål/A 29270-2023 FSC-klagomål.docx", "A 29270-2023")</f>
        <v/>
      </c>
      <c r="W4">
        <f>HYPERLINK("https://klasma.github.io/Logging_0781/klagomålsmail/A 29270-2023 FSC-klagomål mail.docx", "A 29270-2023")</f>
        <v/>
      </c>
      <c r="X4">
        <f>HYPERLINK("https://klasma.github.io/Logging_0781/tillsyn/A 29270-2023 tillsynsbegäran.docx", "A 29270-2023")</f>
        <v/>
      </c>
      <c r="Y4">
        <f>HYPERLINK("https://klasma.github.io/Logging_0781/tillsynsmail/A 29270-2023 tillsynsbegäran mail.docx", "A 29270-2023")</f>
        <v/>
      </c>
      <c r="Z4">
        <f>HYPERLINK("https://klasma.github.io/Logging_0781/fåglar/A 29270-2023 prioriterade fågelarter.docx", "A 29270-2023")</f>
        <v/>
      </c>
    </row>
    <row r="5" ht="15" customHeight="1">
      <c r="A5" t="inlineStr">
        <is>
          <t>A 39037-2025</t>
        </is>
      </c>
      <c r="B5" s="1" t="n">
        <v>45888.42537037037</v>
      </c>
      <c r="C5" s="1" t="n">
        <v>46103</v>
      </c>
      <c r="D5" t="inlineStr">
        <is>
          <t>KRONOBERGS LÄN</t>
        </is>
      </c>
      <c r="E5" t="inlineStr">
        <is>
          <t>VÄXJÖ</t>
        </is>
      </c>
      <c r="G5" t="n">
        <v>2.2</v>
      </c>
      <c r="H5" t="n">
        <v>1</v>
      </c>
      <c r="I5" t="n">
        <v>6</v>
      </c>
      <c r="J5" t="n">
        <v>0</v>
      </c>
      <c r="K5" t="n">
        <v>0</v>
      </c>
      <c r="L5" t="n">
        <v>0</v>
      </c>
      <c r="M5" t="n">
        <v>0</v>
      </c>
      <c r="N5" t="n">
        <v>0</v>
      </c>
      <c r="O5" t="n">
        <v>0</v>
      </c>
      <c r="P5" t="n">
        <v>0</v>
      </c>
      <c r="Q5" t="n">
        <v>7</v>
      </c>
      <c r="R5" s="2" t="inlineStr">
        <is>
          <t>Bårdlav
Fällmossa
Korallblylav
Rävticka
Skinnlav
Västlig hakmossa
Blåsippa</t>
        </is>
      </c>
      <c r="S5">
        <f>HYPERLINK("https://klasma.github.io/Logging_0780/artfynd/A 39037-2025 artfynd.xlsx", "A 39037-2025")</f>
        <v/>
      </c>
      <c r="T5">
        <f>HYPERLINK("https://klasma.github.io/Logging_0780/kartor/A 39037-2025 karta.png", "A 39037-2025")</f>
        <v/>
      </c>
      <c r="V5">
        <f>HYPERLINK("https://klasma.github.io/Logging_0780/klagomål/A 39037-2025 FSC-klagomål.docx", "A 39037-2025")</f>
        <v/>
      </c>
      <c r="W5">
        <f>HYPERLINK("https://klasma.github.io/Logging_0780/klagomålsmail/A 39037-2025 FSC-klagomål mail.docx", "A 39037-2025")</f>
        <v/>
      </c>
      <c r="X5">
        <f>HYPERLINK("https://klasma.github.io/Logging_0780/tillsyn/A 39037-2025 tillsynsbegäran.docx", "A 39037-2025")</f>
        <v/>
      </c>
      <c r="Y5">
        <f>HYPERLINK("https://klasma.github.io/Logging_0780/tillsynsmail/A 39037-2025 tillsynsbegäran mail.docx", "A 39037-2025")</f>
        <v/>
      </c>
    </row>
    <row r="6" ht="15" customHeight="1">
      <c r="A6" t="inlineStr">
        <is>
          <t>A 40356-2025</t>
        </is>
      </c>
      <c r="B6" s="1" t="n">
        <v>45895</v>
      </c>
      <c r="C6" s="1" t="n">
        <v>46103</v>
      </c>
      <c r="D6" t="inlineStr">
        <is>
          <t>KRONOBERGS LÄN</t>
        </is>
      </c>
      <c r="E6" t="inlineStr">
        <is>
          <t>TINGSRYD</t>
        </is>
      </c>
      <c r="G6" t="n">
        <v>3.4</v>
      </c>
      <c r="H6" t="n">
        <v>0</v>
      </c>
      <c r="I6" t="n">
        <v>4</v>
      </c>
      <c r="J6" t="n">
        <v>3</v>
      </c>
      <c r="K6" t="n">
        <v>0</v>
      </c>
      <c r="L6" t="n">
        <v>0</v>
      </c>
      <c r="M6" t="n">
        <v>0</v>
      </c>
      <c r="N6" t="n">
        <v>0</v>
      </c>
      <c r="O6" t="n">
        <v>3</v>
      </c>
      <c r="P6" t="n">
        <v>0</v>
      </c>
      <c r="Q6" t="n">
        <v>7</v>
      </c>
      <c r="R6" s="2" t="inlineStr">
        <is>
          <t>Praktvaxing
Scharlakansvaxing
Sommarfibbla
Blodvaxing
Gulvaxing
Småvaxing
Sprödvaxing</t>
        </is>
      </c>
      <c r="S6">
        <f>HYPERLINK("https://klasma.github.io/Logging_0763/artfynd/A 40356-2025 artfynd.xlsx", "A 40356-2025")</f>
        <v/>
      </c>
      <c r="T6">
        <f>HYPERLINK("https://klasma.github.io/Logging_0763/kartor/A 40356-2025 karta.png", "A 40356-2025")</f>
        <v/>
      </c>
      <c r="V6">
        <f>HYPERLINK("https://klasma.github.io/Logging_0763/klagomål/A 40356-2025 FSC-klagomål.docx", "A 40356-2025")</f>
        <v/>
      </c>
      <c r="W6">
        <f>HYPERLINK("https://klasma.github.io/Logging_0763/klagomålsmail/A 40356-2025 FSC-klagomål mail.docx", "A 40356-2025")</f>
        <v/>
      </c>
      <c r="X6">
        <f>HYPERLINK("https://klasma.github.io/Logging_0763/tillsyn/A 40356-2025 tillsynsbegäran.docx", "A 40356-2025")</f>
        <v/>
      </c>
      <c r="Y6">
        <f>HYPERLINK("https://klasma.github.io/Logging_0763/tillsynsmail/A 40356-2025 tillsynsbegäran mail.docx", "A 40356-2025")</f>
        <v/>
      </c>
    </row>
    <row r="7" ht="15" customHeight="1">
      <c r="A7" t="inlineStr">
        <is>
          <t>A 48933-2025</t>
        </is>
      </c>
      <c r="B7" s="1" t="n">
        <v>45937.52355324074</v>
      </c>
      <c r="C7" s="1" t="n">
        <v>46103</v>
      </c>
      <c r="D7" t="inlineStr">
        <is>
          <t>KRONOBERGS LÄN</t>
        </is>
      </c>
      <c r="E7" t="inlineStr">
        <is>
          <t>ALVESTA</t>
        </is>
      </c>
      <c r="G7" t="n">
        <v>1.9</v>
      </c>
      <c r="H7" t="n">
        <v>3</v>
      </c>
      <c r="I7" t="n">
        <v>0</v>
      </c>
      <c r="J7" t="n">
        <v>3</v>
      </c>
      <c r="K7" t="n">
        <v>1</v>
      </c>
      <c r="L7" t="n">
        <v>0</v>
      </c>
      <c r="M7" t="n">
        <v>0</v>
      </c>
      <c r="N7" t="n">
        <v>0</v>
      </c>
      <c r="O7" t="n">
        <v>4</v>
      </c>
      <c r="P7" t="n">
        <v>1</v>
      </c>
      <c r="Q7" t="n">
        <v>7</v>
      </c>
      <c r="R7" s="2" t="inlineStr">
        <is>
          <t>Slåttergubbe
Slåtterfibbla
Solvända
Vårstarr
Grönvit nattviol
Blåsippa
Gullviva</t>
        </is>
      </c>
      <c r="S7">
        <f>HYPERLINK("https://klasma.github.io/Logging_0764/artfynd/A 48933-2025 artfynd.xlsx", "A 48933-2025")</f>
        <v/>
      </c>
      <c r="T7">
        <f>HYPERLINK("https://klasma.github.io/Logging_0764/kartor/A 48933-2025 karta.png", "A 48933-2025")</f>
        <v/>
      </c>
      <c r="V7">
        <f>HYPERLINK("https://klasma.github.io/Logging_0764/klagomål/A 48933-2025 FSC-klagomål.docx", "A 48933-2025")</f>
        <v/>
      </c>
      <c r="W7">
        <f>HYPERLINK("https://klasma.github.io/Logging_0764/klagomålsmail/A 48933-2025 FSC-klagomål mail.docx", "A 48933-2025")</f>
        <v/>
      </c>
      <c r="X7">
        <f>HYPERLINK("https://klasma.github.io/Logging_0764/tillsyn/A 48933-2025 tillsynsbegäran.docx", "A 48933-2025")</f>
        <v/>
      </c>
      <c r="Y7">
        <f>HYPERLINK("https://klasma.github.io/Logging_0764/tillsynsmail/A 48933-2025 tillsynsbegäran mail.docx", "A 48933-2025")</f>
        <v/>
      </c>
    </row>
    <row r="8" ht="15" customHeight="1">
      <c r="A8" t="inlineStr">
        <is>
          <t>A 62726-2025</t>
        </is>
      </c>
      <c r="B8" s="1" t="n">
        <v>46008</v>
      </c>
      <c r="C8" s="1" t="n">
        <v>46103</v>
      </c>
      <c r="D8" t="inlineStr">
        <is>
          <t>KRONOBERGS LÄN</t>
        </is>
      </c>
      <c r="E8" t="inlineStr">
        <is>
          <t>VÄXJÖ</t>
        </is>
      </c>
      <c r="G8" t="n">
        <v>6.9</v>
      </c>
      <c r="H8" t="n">
        <v>3</v>
      </c>
      <c r="I8" t="n">
        <v>1</v>
      </c>
      <c r="J8" t="n">
        <v>5</v>
      </c>
      <c r="K8" t="n">
        <v>0</v>
      </c>
      <c r="L8" t="n">
        <v>0</v>
      </c>
      <c r="M8" t="n">
        <v>0</v>
      </c>
      <c r="N8" t="n">
        <v>0</v>
      </c>
      <c r="O8" t="n">
        <v>5</v>
      </c>
      <c r="P8" t="n">
        <v>0</v>
      </c>
      <c r="Q8" t="n">
        <v>7</v>
      </c>
      <c r="R8" s="2" t="inlineStr">
        <is>
          <t>Garnlav
Spillkråka
Tallticka
Talltita
Ullticka
Skogshakmossa
Kungsfågel</t>
        </is>
      </c>
      <c r="S8">
        <f>HYPERLINK("https://klasma.github.io/Logging_0780/artfynd/A 62726-2025 artfynd.xlsx", "A 62726-2025")</f>
        <v/>
      </c>
      <c r="T8">
        <f>HYPERLINK("https://klasma.github.io/Logging_0780/kartor/A 62726-2025 karta.png", "A 62726-2025")</f>
        <v/>
      </c>
      <c r="V8">
        <f>HYPERLINK("https://klasma.github.io/Logging_0780/klagomål/A 62726-2025 FSC-klagomål.docx", "A 62726-2025")</f>
        <v/>
      </c>
      <c r="W8">
        <f>HYPERLINK("https://klasma.github.io/Logging_0780/klagomålsmail/A 62726-2025 FSC-klagomål mail.docx", "A 62726-2025")</f>
        <v/>
      </c>
      <c r="X8">
        <f>HYPERLINK("https://klasma.github.io/Logging_0780/tillsyn/A 62726-2025 tillsynsbegäran.docx", "A 62726-2025")</f>
        <v/>
      </c>
      <c r="Y8">
        <f>HYPERLINK("https://klasma.github.io/Logging_0780/tillsynsmail/A 62726-2025 tillsynsbegäran mail.docx", "A 62726-2025")</f>
        <v/>
      </c>
      <c r="Z8">
        <f>HYPERLINK("https://klasma.github.io/Logging_0780/fåglar/A 62726-2025 prioriterade fågelarter.docx", "A 62726-2025")</f>
        <v/>
      </c>
    </row>
    <row r="9" ht="15" customHeight="1">
      <c r="A9" t="inlineStr">
        <is>
          <t>A 10361-2023</t>
        </is>
      </c>
      <c r="B9" s="1" t="n">
        <v>44980</v>
      </c>
      <c r="C9" s="1" t="n">
        <v>46103</v>
      </c>
      <c r="D9" t="inlineStr">
        <is>
          <t>KRONOBERGS LÄN</t>
        </is>
      </c>
      <c r="E9" t="inlineStr">
        <is>
          <t>TINGSRYD</t>
        </is>
      </c>
      <c r="G9" t="n">
        <v>2.1</v>
      </c>
      <c r="H9" t="n">
        <v>7</v>
      </c>
      <c r="I9" t="n">
        <v>0</v>
      </c>
      <c r="J9" t="n">
        <v>3</v>
      </c>
      <c r="K9" t="n">
        <v>0</v>
      </c>
      <c r="L9" t="n">
        <v>0</v>
      </c>
      <c r="M9" t="n">
        <v>0</v>
      </c>
      <c r="N9" t="n">
        <v>0</v>
      </c>
      <c r="O9" t="n">
        <v>3</v>
      </c>
      <c r="P9" t="n">
        <v>0</v>
      </c>
      <c r="Q9" t="n">
        <v>7</v>
      </c>
      <c r="R9" s="2" t="inlineStr">
        <is>
          <t>Barbastell
Brunlångöra
Nordfladdermus
Dvärgpipistrell
Gråskimlig fladdermus
Större brunfladdermus
Vattenfladdermus</t>
        </is>
      </c>
      <c r="S9">
        <f>HYPERLINK("https://klasma.github.io/Logging_0763/artfynd/A 10361-2023 artfynd.xlsx", "A 10361-2023")</f>
        <v/>
      </c>
      <c r="T9">
        <f>HYPERLINK("https://klasma.github.io/Logging_0763/kartor/A 10361-2023 karta.png", "A 10361-2023")</f>
        <v/>
      </c>
      <c r="V9">
        <f>HYPERLINK("https://klasma.github.io/Logging_0763/klagomål/A 10361-2023 FSC-klagomål.docx", "A 10361-2023")</f>
        <v/>
      </c>
      <c r="W9">
        <f>HYPERLINK("https://klasma.github.io/Logging_0763/klagomålsmail/A 10361-2023 FSC-klagomål mail.docx", "A 10361-2023")</f>
        <v/>
      </c>
      <c r="X9">
        <f>HYPERLINK("https://klasma.github.io/Logging_0763/tillsyn/A 10361-2023 tillsynsbegäran.docx", "A 10361-2023")</f>
        <v/>
      </c>
      <c r="Y9">
        <f>HYPERLINK("https://klasma.github.io/Logging_0763/tillsynsmail/A 10361-2023 tillsynsbegäran mail.docx", "A 10361-2023")</f>
        <v/>
      </c>
    </row>
    <row r="10" ht="15" customHeight="1">
      <c r="A10" t="inlineStr">
        <is>
          <t>A 55743-2023</t>
        </is>
      </c>
      <c r="B10" s="1" t="n">
        <v>45239</v>
      </c>
      <c r="C10" s="1" t="n">
        <v>46103</v>
      </c>
      <c r="D10" t="inlineStr">
        <is>
          <t>KRONOBERGS LÄN</t>
        </is>
      </c>
      <c r="E10" t="inlineStr">
        <is>
          <t>ALVESTA</t>
        </is>
      </c>
      <c r="G10" t="n">
        <v>4.9</v>
      </c>
      <c r="H10" t="n">
        <v>1</v>
      </c>
      <c r="I10" t="n">
        <v>6</v>
      </c>
      <c r="J10" t="n">
        <v>0</v>
      </c>
      <c r="K10" t="n">
        <v>1</v>
      </c>
      <c r="L10" t="n">
        <v>0</v>
      </c>
      <c r="M10" t="n">
        <v>0</v>
      </c>
      <c r="N10" t="n">
        <v>0</v>
      </c>
      <c r="O10" t="n">
        <v>1</v>
      </c>
      <c r="P10" t="n">
        <v>1</v>
      </c>
      <c r="Q10" t="n">
        <v>7</v>
      </c>
      <c r="R10" s="2" t="inlineStr">
        <is>
          <t>Knärot
Brandticka
Bronshjon
Dropptaggsvamp
Stor revmossa
Thomsons trägnagare
Västlig hakmossa</t>
        </is>
      </c>
      <c r="S10">
        <f>HYPERLINK("https://klasma.github.io/Logging_0764/artfynd/A 55743-2023 artfynd.xlsx", "A 55743-2023")</f>
        <v/>
      </c>
      <c r="T10">
        <f>HYPERLINK("https://klasma.github.io/Logging_0764/kartor/A 55743-2023 karta.png", "A 55743-2023")</f>
        <v/>
      </c>
      <c r="U10">
        <f>HYPERLINK("https://klasma.github.io/Logging_0764/knärot/A 55743-2023 karta knärot.png", "A 55743-2023")</f>
        <v/>
      </c>
      <c r="V10">
        <f>HYPERLINK("https://klasma.github.io/Logging_0764/klagomål/A 55743-2023 FSC-klagomål.docx", "A 55743-2023")</f>
        <v/>
      </c>
      <c r="W10">
        <f>HYPERLINK("https://klasma.github.io/Logging_0764/klagomålsmail/A 55743-2023 FSC-klagomål mail.docx", "A 55743-2023")</f>
        <v/>
      </c>
      <c r="X10">
        <f>HYPERLINK("https://klasma.github.io/Logging_0764/tillsyn/A 55743-2023 tillsynsbegäran.docx", "A 55743-2023")</f>
        <v/>
      </c>
      <c r="Y10">
        <f>HYPERLINK("https://klasma.github.io/Logging_0764/tillsynsmail/A 55743-2023 tillsynsbegäran mail.docx", "A 55743-2023")</f>
        <v/>
      </c>
    </row>
    <row r="11" ht="15" customHeight="1">
      <c r="A11" t="inlineStr">
        <is>
          <t>A 4732-2024</t>
        </is>
      </c>
      <c r="B11" s="1" t="n">
        <v>45328</v>
      </c>
      <c r="C11" s="1" t="n">
        <v>46103</v>
      </c>
      <c r="D11" t="inlineStr">
        <is>
          <t>KRONOBERGS LÄN</t>
        </is>
      </c>
      <c r="E11" t="inlineStr">
        <is>
          <t>ALVESTA</t>
        </is>
      </c>
      <c r="G11" t="n">
        <v>3</v>
      </c>
      <c r="H11" t="n">
        <v>1</v>
      </c>
      <c r="I11" t="n">
        <v>3</v>
      </c>
      <c r="J11" t="n">
        <v>2</v>
      </c>
      <c r="K11" t="n">
        <v>0</v>
      </c>
      <c r="L11" t="n">
        <v>0</v>
      </c>
      <c r="M11" t="n">
        <v>0</v>
      </c>
      <c r="N11" t="n">
        <v>0</v>
      </c>
      <c r="O11" t="n">
        <v>2</v>
      </c>
      <c r="P11" t="n">
        <v>0</v>
      </c>
      <c r="Q11" t="n">
        <v>6</v>
      </c>
      <c r="R11" s="2" t="inlineStr">
        <is>
          <t>Vedflikmossa
Vedtrappmossa
Stor revmossa
Västlig hakmossa
Vågbandad barkbock
Mattlummer</t>
        </is>
      </c>
      <c r="S11">
        <f>HYPERLINK("https://klasma.github.io/Logging_0764/artfynd/A 4732-2024 artfynd.xlsx", "A 4732-2024")</f>
        <v/>
      </c>
      <c r="T11">
        <f>HYPERLINK("https://klasma.github.io/Logging_0764/kartor/A 4732-2024 karta.png", "A 4732-2024")</f>
        <v/>
      </c>
      <c r="V11">
        <f>HYPERLINK("https://klasma.github.io/Logging_0764/klagomål/A 4732-2024 FSC-klagomål.docx", "A 4732-2024")</f>
        <v/>
      </c>
      <c r="W11">
        <f>HYPERLINK("https://klasma.github.io/Logging_0764/klagomålsmail/A 4732-2024 FSC-klagomål mail.docx", "A 4732-2024")</f>
        <v/>
      </c>
      <c r="X11">
        <f>HYPERLINK("https://klasma.github.io/Logging_0764/tillsyn/A 4732-2024 tillsynsbegäran.docx", "A 4732-2024")</f>
        <v/>
      </c>
      <c r="Y11">
        <f>HYPERLINK("https://klasma.github.io/Logging_0764/tillsynsmail/A 4732-2024 tillsynsbegäran mail.docx", "A 4732-2024")</f>
        <v/>
      </c>
    </row>
    <row r="12" ht="15" customHeight="1">
      <c r="A12" t="inlineStr">
        <is>
          <t>A 62705-2025</t>
        </is>
      </c>
      <c r="B12" s="1" t="n">
        <v>46008</v>
      </c>
      <c r="C12" s="1" t="n">
        <v>46103</v>
      </c>
      <c r="D12" t="inlineStr">
        <is>
          <t>KRONOBERGS LÄN</t>
        </is>
      </c>
      <c r="E12" t="inlineStr">
        <is>
          <t>VÄXJÖ</t>
        </is>
      </c>
      <c r="G12" t="n">
        <v>7.1</v>
      </c>
      <c r="H12" t="n">
        <v>3</v>
      </c>
      <c r="I12" t="n">
        <v>1</v>
      </c>
      <c r="J12" t="n">
        <v>4</v>
      </c>
      <c r="K12" t="n">
        <v>0</v>
      </c>
      <c r="L12" t="n">
        <v>0</v>
      </c>
      <c r="M12" t="n">
        <v>0</v>
      </c>
      <c r="N12" t="n">
        <v>0</v>
      </c>
      <c r="O12" t="n">
        <v>4</v>
      </c>
      <c r="P12" t="n">
        <v>0</v>
      </c>
      <c r="Q12" t="n">
        <v>6</v>
      </c>
      <c r="R12" s="2" t="inlineStr">
        <is>
          <t>Apelsinticka
Spillkråka
Tallticka
Talltita
Västlig hakmossa
Kungsfågel</t>
        </is>
      </c>
      <c r="S12">
        <f>HYPERLINK("https://klasma.github.io/Logging_0780/artfynd/A 62705-2025 artfynd.xlsx", "A 62705-2025")</f>
        <v/>
      </c>
      <c r="T12">
        <f>HYPERLINK("https://klasma.github.io/Logging_0780/kartor/A 62705-2025 karta.png", "A 62705-2025")</f>
        <v/>
      </c>
      <c r="V12">
        <f>HYPERLINK("https://klasma.github.io/Logging_0780/klagomål/A 62705-2025 FSC-klagomål.docx", "A 62705-2025")</f>
        <v/>
      </c>
      <c r="W12">
        <f>HYPERLINK("https://klasma.github.io/Logging_0780/klagomålsmail/A 62705-2025 FSC-klagomål mail.docx", "A 62705-2025")</f>
        <v/>
      </c>
      <c r="X12">
        <f>HYPERLINK("https://klasma.github.io/Logging_0780/tillsyn/A 62705-2025 tillsynsbegäran.docx", "A 62705-2025")</f>
        <v/>
      </c>
      <c r="Y12">
        <f>HYPERLINK("https://klasma.github.io/Logging_0780/tillsynsmail/A 62705-2025 tillsynsbegäran mail.docx", "A 62705-2025")</f>
        <v/>
      </c>
      <c r="Z12">
        <f>HYPERLINK("https://klasma.github.io/Logging_0780/fåglar/A 62705-2025 prioriterade fågelarter.docx", "A 62705-2025")</f>
        <v/>
      </c>
    </row>
    <row r="13" ht="15" customHeight="1">
      <c r="A13" t="inlineStr">
        <is>
          <t>A 12644-2024</t>
        </is>
      </c>
      <c r="B13" s="1" t="n">
        <v>45384.34295138889</v>
      </c>
      <c r="C13" s="1" t="n">
        <v>46103</v>
      </c>
      <c r="D13" t="inlineStr">
        <is>
          <t>KRONOBERGS LÄN</t>
        </is>
      </c>
      <c r="E13" t="inlineStr">
        <is>
          <t>VÄXJÖ</t>
        </is>
      </c>
      <c r="G13" t="n">
        <v>0.9</v>
      </c>
      <c r="H13" t="n">
        <v>3</v>
      </c>
      <c r="I13" t="n">
        <v>2</v>
      </c>
      <c r="J13" t="n">
        <v>0</v>
      </c>
      <c r="K13" t="n">
        <v>0</v>
      </c>
      <c r="L13" t="n">
        <v>0</v>
      </c>
      <c r="M13" t="n">
        <v>0</v>
      </c>
      <c r="N13" t="n">
        <v>0</v>
      </c>
      <c r="O13" t="n">
        <v>0</v>
      </c>
      <c r="P13" t="n">
        <v>0</v>
      </c>
      <c r="Q13" t="n">
        <v>5</v>
      </c>
      <c r="R13" s="2" t="inlineStr">
        <is>
          <t>Västlig hakmossa
Vågbandad barkbock
Gröngöling
Kungsfågel
Skogsduva</t>
        </is>
      </c>
      <c r="S13">
        <f>HYPERLINK("https://klasma.github.io/Logging_0780/artfynd/A 12644-2024 artfynd.xlsx", "A 12644-2024")</f>
        <v/>
      </c>
      <c r="T13">
        <f>HYPERLINK("https://klasma.github.io/Logging_0780/kartor/A 12644-2024 karta.png", "A 12644-2024")</f>
        <v/>
      </c>
      <c r="V13">
        <f>HYPERLINK("https://klasma.github.io/Logging_0780/klagomål/A 12644-2024 FSC-klagomål.docx", "A 12644-2024")</f>
        <v/>
      </c>
      <c r="W13">
        <f>HYPERLINK("https://klasma.github.io/Logging_0780/klagomålsmail/A 12644-2024 FSC-klagomål mail.docx", "A 12644-2024")</f>
        <v/>
      </c>
      <c r="X13">
        <f>HYPERLINK("https://klasma.github.io/Logging_0780/tillsyn/A 12644-2024 tillsynsbegäran.docx", "A 12644-2024")</f>
        <v/>
      </c>
      <c r="Y13">
        <f>HYPERLINK("https://klasma.github.io/Logging_0780/tillsynsmail/A 12644-2024 tillsynsbegäran mail.docx", "A 12644-2024")</f>
        <v/>
      </c>
      <c r="Z13">
        <f>HYPERLINK("https://klasma.github.io/Logging_0780/fåglar/A 12644-2024 prioriterade fågelarter.docx", "A 12644-2024")</f>
        <v/>
      </c>
    </row>
    <row r="14" ht="15" customHeight="1">
      <c r="A14" t="inlineStr">
        <is>
          <t>A 26127-2024</t>
        </is>
      </c>
      <c r="B14" s="1" t="n">
        <v>45468</v>
      </c>
      <c r="C14" s="1" t="n">
        <v>46103</v>
      </c>
      <c r="D14" t="inlineStr">
        <is>
          <t>KRONOBERGS LÄN</t>
        </is>
      </c>
      <c r="E14" t="inlineStr">
        <is>
          <t>VÄXJÖ</t>
        </is>
      </c>
      <c r="G14" t="n">
        <v>8</v>
      </c>
      <c r="H14" t="n">
        <v>4</v>
      </c>
      <c r="I14" t="n">
        <v>0</v>
      </c>
      <c r="J14" t="n">
        <v>2</v>
      </c>
      <c r="K14" t="n">
        <v>0</v>
      </c>
      <c r="L14" t="n">
        <v>0</v>
      </c>
      <c r="M14" t="n">
        <v>0</v>
      </c>
      <c r="N14" t="n">
        <v>0</v>
      </c>
      <c r="O14" t="n">
        <v>2</v>
      </c>
      <c r="P14" t="n">
        <v>0</v>
      </c>
      <c r="Q14" t="n">
        <v>5</v>
      </c>
      <c r="R14" s="2" t="inlineStr">
        <is>
          <t>Motaggsvamp
Talltita
Skogsödla
Vanlig groda
Fläcknycklar</t>
        </is>
      </c>
      <c r="S14">
        <f>HYPERLINK("https://klasma.github.io/Logging_0780/artfynd/A 26127-2024 artfynd.xlsx", "A 26127-2024")</f>
        <v/>
      </c>
      <c r="T14">
        <f>HYPERLINK("https://klasma.github.io/Logging_0780/kartor/A 26127-2024 karta.png", "A 26127-2024")</f>
        <v/>
      </c>
      <c r="V14">
        <f>HYPERLINK("https://klasma.github.io/Logging_0780/klagomål/A 26127-2024 FSC-klagomål.docx", "A 26127-2024")</f>
        <v/>
      </c>
      <c r="W14">
        <f>HYPERLINK("https://klasma.github.io/Logging_0780/klagomålsmail/A 26127-2024 FSC-klagomål mail.docx", "A 26127-2024")</f>
        <v/>
      </c>
      <c r="X14">
        <f>HYPERLINK("https://klasma.github.io/Logging_0780/tillsyn/A 26127-2024 tillsynsbegäran.docx", "A 26127-2024")</f>
        <v/>
      </c>
      <c r="Y14">
        <f>HYPERLINK("https://klasma.github.io/Logging_0780/tillsynsmail/A 26127-2024 tillsynsbegäran mail.docx", "A 26127-2024")</f>
        <v/>
      </c>
      <c r="Z14">
        <f>HYPERLINK("https://klasma.github.io/Logging_0780/fåglar/A 26127-2024 prioriterade fågelarter.docx", "A 26127-2024")</f>
        <v/>
      </c>
    </row>
    <row r="15" ht="15" customHeight="1">
      <c r="A15" t="inlineStr">
        <is>
          <t>A 8828-2026</t>
        </is>
      </c>
      <c r="B15" s="1" t="n">
        <v>46066</v>
      </c>
      <c r="C15" s="1" t="n">
        <v>46103</v>
      </c>
      <c r="D15" t="inlineStr">
        <is>
          <t>KRONOBERGS LÄN</t>
        </is>
      </c>
      <c r="E15" t="inlineStr">
        <is>
          <t>UPPVIDINGE</t>
        </is>
      </c>
      <c r="G15" t="n">
        <v>4</v>
      </c>
      <c r="H15" t="n">
        <v>2</v>
      </c>
      <c r="I15" t="n">
        <v>2</v>
      </c>
      <c r="J15" t="n">
        <v>2</v>
      </c>
      <c r="K15" t="n">
        <v>0</v>
      </c>
      <c r="L15" t="n">
        <v>0</v>
      </c>
      <c r="M15" t="n">
        <v>0</v>
      </c>
      <c r="N15" t="n">
        <v>0</v>
      </c>
      <c r="O15" t="n">
        <v>2</v>
      </c>
      <c r="P15" t="n">
        <v>0</v>
      </c>
      <c r="Q15" t="n">
        <v>5</v>
      </c>
      <c r="R15" s="2" t="inlineStr">
        <is>
          <t>Spillkråka
Vedskivlav
Blåmossa
Kattfotslav
Revlummer</t>
        </is>
      </c>
      <c r="S15">
        <f>HYPERLINK("https://klasma.github.io/Logging_0760/artfynd/A 8828-2026 artfynd.xlsx", "A 8828-2026")</f>
        <v/>
      </c>
      <c r="T15">
        <f>HYPERLINK("https://klasma.github.io/Logging_0760/kartor/A 8828-2026 karta.png", "A 8828-2026")</f>
        <v/>
      </c>
      <c r="V15">
        <f>HYPERLINK("https://klasma.github.io/Logging_0760/klagomål/A 8828-2026 FSC-klagomål.docx", "A 8828-2026")</f>
        <v/>
      </c>
      <c r="W15">
        <f>HYPERLINK("https://klasma.github.io/Logging_0760/klagomålsmail/A 8828-2026 FSC-klagomål mail.docx", "A 8828-2026")</f>
        <v/>
      </c>
      <c r="X15">
        <f>HYPERLINK("https://klasma.github.io/Logging_0760/tillsyn/A 8828-2026 tillsynsbegäran.docx", "A 8828-2026")</f>
        <v/>
      </c>
      <c r="Y15">
        <f>HYPERLINK("https://klasma.github.io/Logging_0760/tillsynsmail/A 8828-2026 tillsynsbegäran mail.docx", "A 8828-2026")</f>
        <v/>
      </c>
      <c r="Z15">
        <f>HYPERLINK("https://klasma.github.io/Logging_0760/fåglar/A 8828-2026 prioriterade fågelarter.docx", "A 8828-2026")</f>
        <v/>
      </c>
    </row>
    <row r="16" ht="15" customHeight="1">
      <c r="A16" t="inlineStr">
        <is>
          <t>A 54189-2025</t>
        </is>
      </c>
      <c r="B16" s="1" t="n">
        <v>45964.56922453704</v>
      </c>
      <c r="C16" s="1" t="n">
        <v>46103</v>
      </c>
      <c r="D16" t="inlineStr">
        <is>
          <t>KRONOBERGS LÄN</t>
        </is>
      </c>
      <c r="E16" t="inlineStr">
        <is>
          <t>VÄXJÖ</t>
        </is>
      </c>
      <c r="G16" t="n">
        <v>1.2</v>
      </c>
      <c r="H16" t="n">
        <v>5</v>
      </c>
      <c r="I16" t="n">
        <v>0</v>
      </c>
      <c r="J16" t="n">
        <v>4</v>
      </c>
      <c r="K16" t="n">
        <v>0</v>
      </c>
      <c r="L16" t="n">
        <v>0</v>
      </c>
      <c r="M16" t="n">
        <v>0</v>
      </c>
      <c r="N16" t="n">
        <v>0</v>
      </c>
      <c r="O16" t="n">
        <v>4</v>
      </c>
      <c r="P16" t="n">
        <v>0</v>
      </c>
      <c r="Q16" t="n">
        <v>5</v>
      </c>
      <c r="R16" s="2" t="inlineStr">
        <is>
          <t>Björktrast
Gulsparv
Kråka
Talltita
Grönsiska</t>
        </is>
      </c>
      <c r="S16">
        <f>HYPERLINK("https://klasma.github.io/Logging_0780/artfynd/A 54189-2025 artfynd.xlsx", "A 54189-2025")</f>
        <v/>
      </c>
      <c r="T16">
        <f>HYPERLINK("https://klasma.github.io/Logging_0780/kartor/A 54189-2025 karta.png", "A 54189-2025")</f>
        <v/>
      </c>
      <c r="V16">
        <f>HYPERLINK("https://klasma.github.io/Logging_0780/klagomål/A 54189-2025 FSC-klagomål.docx", "A 54189-2025")</f>
        <v/>
      </c>
      <c r="W16">
        <f>HYPERLINK("https://klasma.github.io/Logging_0780/klagomålsmail/A 54189-2025 FSC-klagomål mail.docx", "A 54189-2025")</f>
        <v/>
      </c>
      <c r="X16">
        <f>HYPERLINK("https://klasma.github.io/Logging_0780/tillsyn/A 54189-2025 tillsynsbegäran.docx", "A 54189-2025")</f>
        <v/>
      </c>
      <c r="Y16">
        <f>HYPERLINK("https://klasma.github.io/Logging_0780/tillsynsmail/A 54189-2025 tillsynsbegäran mail.docx", "A 54189-2025")</f>
        <v/>
      </c>
      <c r="Z16">
        <f>HYPERLINK("https://klasma.github.io/Logging_0780/fåglar/A 54189-2025 prioriterade fågelarter.docx", "A 54189-2025")</f>
        <v/>
      </c>
    </row>
    <row r="17" ht="15" customHeight="1">
      <c r="A17" t="inlineStr">
        <is>
          <t>A 37062-2021</t>
        </is>
      </c>
      <c r="B17" s="1" t="n">
        <v>44393</v>
      </c>
      <c r="C17" s="1" t="n">
        <v>46103</v>
      </c>
      <c r="D17" t="inlineStr">
        <is>
          <t>KRONOBERGS LÄN</t>
        </is>
      </c>
      <c r="E17" t="inlineStr">
        <is>
          <t>MARKARYD</t>
        </is>
      </c>
      <c r="G17" t="n">
        <v>9.800000000000001</v>
      </c>
      <c r="H17" t="n">
        <v>0</v>
      </c>
      <c r="I17" t="n">
        <v>4</v>
      </c>
      <c r="J17" t="n">
        <v>1</v>
      </c>
      <c r="K17" t="n">
        <v>0</v>
      </c>
      <c r="L17" t="n">
        <v>0</v>
      </c>
      <c r="M17" t="n">
        <v>0</v>
      </c>
      <c r="N17" t="n">
        <v>0</v>
      </c>
      <c r="O17" t="n">
        <v>1</v>
      </c>
      <c r="P17" t="n">
        <v>0</v>
      </c>
      <c r="Q17" t="n">
        <v>5</v>
      </c>
      <c r="R17" s="2" t="inlineStr">
        <is>
          <t>Lunglav
Havstulpanlav
Platt fjädermossa
Scytinium lichenoides s.lat.
Stor knopplav</t>
        </is>
      </c>
      <c r="S17">
        <f>HYPERLINK("https://klasma.github.io/Logging_0767/artfynd/A 37062-2021 artfynd.xlsx", "A 37062-2021")</f>
        <v/>
      </c>
      <c r="T17">
        <f>HYPERLINK("https://klasma.github.io/Logging_0767/kartor/A 37062-2021 karta.png", "A 37062-2021")</f>
        <v/>
      </c>
      <c r="V17">
        <f>HYPERLINK("https://klasma.github.io/Logging_0767/klagomål/A 37062-2021 FSC-klagomål.docx", "A 37062-2021")</f>
        <v/>
      </c>
      <c r="W17">
        <f>HYPERLINK("https://klasma.github.io/Logging_0767/klagomålsmail/A 37062-2021 FSC-klagomål mail.docx", "A 37062-2021")</f>
        <v/>
      </c>
      <c r="X17">
        <f>HYPERLINK("https://klasma.github.io/Logging_0767/tillsyn/A 37062-2021 tillsynsbegäran.docx", "A 37062-2021")</f>
        <v/>
      </c>
      <c r="Y17">
        <f>HYPERLINK("https://klasma.github.io/Logging_0767/tillsynsmail/A 37062-2021 tillsynsbegäran mail.docx", "A 37062-2021")</f>
        <v/>
      </c>
    </row>
    <row r="18" ht="15" customHeight="1">
      <c r="A18" t="inlineStr">
        <is>
          <t>A 27315-2025</t>
        </is>
      </c>
      <c r="B18" s="1" t="n">
        <v>45812.58784722222</v>
      </c>
      <c r="C18" s="1" t="n">
        <v>46103</v>
      </c>
      <c r="D18" t="inlineStr">
        <is>
          <t>KRONOBERGS LÄN</t>
        </is>
      </c>
      <c r="E18" t="inlineStr">
        <is>
          <t>VÄXJÖ</t>
        </is>
      </c>
      <c r="G18" t="n">
        <v>28.5</v>
      </c>
      <c r="H18" t="n">
        <v>3</v>
      </c>
      <c r="I18" t="n">
        <v>1</v>
      </c>
      <c r="J18" t="n">
        <v>2</v>
      </c>
      <c r="K18" t="n">
        <v>0</v>
      </c>
      <c r="L18" t="n">
        <v>0</v>
      </c>
      <c r="M18" t="n">
        <v>0</v>
      </c>
      <c r="N18" t="n">
        <v>0</v>
      </c>
      <c r="O18" t="n">
        <v>2</v>
      </c>
      <c r="P18" t="n">
        <v>0</v>
      </c>
      <c r="Q18" t="n">
        <v>5</v>
      </c>
      <c r="R18" s="2" t="inlineStr">
        <is>
          <t>Tallriska
Talltita
Blåmossa
Kungsfågel
Tjäder</t>
        </is>
      </c>
      <c r="S18">
        <f>HYPERLINK("https://klasma.github.io/Logging_0780/artfynd/A 27315-2025 artfynd.xlsx", "A 27315-2025")</f>
        <v/>
      </c>
      <c r="T18">
        <f>HYPERLINK("https://klasma.github.io/Logging_0780/kartor/A 27315-2025 karta.png", "A 27315-2025")</f>
        <v/>
      </c>
      <c r="V18">
        <f>HYPERLINK("https://klasma.github.io/Logging_0780/klagomål/A 27315-2025 FSC-klagomål.docx", "A 27315-2025")</f>
        <v/>
      </c>
      <c r="W18">
        <f>HYPERLINK("https://klasma.github.io/Logging_0780/klagomålsmail/A 27315-2025 FSC-klagomål mail.docx", "A 27315-2025")</f>
        <v/>
      </c>
      <c r="X18">
        <f>HYPERLINK("https://klasma.github.io/Logging_0780/tillsyn/A 27315-2025 tillsynsbegäran.docx", "A 27315-2025")</f>
        <v/>
      </c>
      <c r="Y18">
        <f>HYPERLINK("https://klasma.github.io/Logging_0780/tillsynsmail/A 27315-2025 tillsynsbegäran mail.docx", "A 27315-2025")</f>
        <v/>
      </c>
      <c r="Z18">
        <f>HYPERLINK("https://klasma.github.io/Logging_0780/fåglar/A 27315-2025 prioriterade fågelarter.docx", "A 27315-2025")</f>
        <v/>
      </c>
    </row>
    <row r="19" ht="15" customHeight="1">
      <c r="A19" t="inlineStr">
        <is>
          <t>A 12437-2025</t>
        </is>
      </c>
      <c r="B19" s="1" t="n">
        <v>45730.47016203704</v>
      </c>
      <c r="C19" s="1" t="n">
        <v>46103</v>
      </c>
      <c r="D19" t="inlineStr">
        <is>
          <t>KRONOBERGS LÄN</t>
        </is>
      </c>
      <c r="E19" t="inlineStr">
        <is>
          <t>ALVESTA</t>
        </is>
      </c>
      <c r="G19" t="n">
        <v>104.3</v>
      </c>
      <c r="H19" t="n">
        <v>5</v>
      </c>
      <c r="I19" t="n">
        <v>0</v>
      </c>
      <c r="J19" t="n">
        <v>3</v>
      </c>
      <c r="K19" t="n">
        <v>0</v>
      </c>
      <c r="L19" t="n">
        <v>0</v>
      </c>
      <c r="M19" t="n">
        <v>0</v>
      </c>
      <c r="N19" t="n">
        <v>0</v>
      </c>
      <c r="O19" t="n">
        <v>3</v>
      </c>
      <c r="P19" t="n">
        <v>0</v>
      </c>
      <c r="Q19" t="n">
        <v>5</v>
      </c>
      <c r="R19" s="2" t="inlineStr">
        <is>
          <t>Spillkråka
Svartvit flugsnappare
Ärtsångare
Gröngöling
Skogsduva</t>
        </is>
      </c>
      <c r="S19">
        <f>HYPERLINK("https://klasma.github.io/Logging_0764/artfynd/A 12437-2025 artfynd.xlsx", "A 12437-2025")</f>
        <v/>
      </c>
      <c r="T19">
        <f>HYPERLINK("https://klasma.github.io/Logging_0764/kartor/A 12437-2025 karta.png", "A 12437-2025")</f>
        <v/>
      </c>
      <c r="V19">
        <f>HYPERLINK("https://klasma.github.io/Logging_0764/klagomål/A 12437-2025 FSC-klagomål.docx", "A 12437-2025")</f>
        <v/>
      </c>
      <c r="W19">
        <f>HYPERLINK("https://klasma.github.io/Logging_0764/klagomålsmail/A 12437-2025 FSC-klagomål mail.docx", "A 12437-2025")</f>
        <v/>
      </c>
      <c r="X19">
        <f>HYPERLINK("https://klasma.github.io/Logging_0764/tillsyn/A 12437-2025 tillsynsbegäran.docx", "A 12437-2025")</f>
        <v/>
      </c>
      <c r="Y19">
        <f>HYPERLINK("https://klasma.github.io/Logging_0764/tillsynsmail/A 12437-2025 tillsynsbegäran mail.docx", "A 12437-2025")</f>
        <v/>
      </c>
      <c r="Z19">
        <f>HYPERLINK("https://klasma.github.io/Logging_0764/fåglar/A 12437-2025 prioriterade fågelarter.docx", "A 12437-2025")</f>
        <v/>
      </c>
    </row>
    <row r="20" ht="15" customHeight="1">
      <c r="A20" t="inlineStr">
        <is>
          <t>A 12437-2025</t>
        </is>
      </c>
      <c r="B20" s="1" t="n">
        <v>45730.47016203704</v>
      </c>
      <c r="C20" s="1" t="n">
        <v>46103</v>
      </c>
      <c r="D20" t="inlineStr">
        <is>
          <t>KRONOBERGS LÄN</t>
        </is>
      </c>
      <c r="E20" t="inlineStr">
        <is>
          <t>ALVESTA</t>
        </is>
      </c>
      <c r="G20" t="n">
        <v>104.3</v>
      </c>
      <c r="H20" t="n">
        <v>5</v>
      </c>
      <c r="I20" t="n">
        <v>0</v>
      </c>
      <c r="J20" t="n">
        <v>3</v>
      </c>
      <c r="K20" t="n">
        <v>0</v>
      </c>
      <c r="L20" t="n">
        <v>0</v>
      </c>
      <c r="M20" t="n">
        <v>0</v>
      </c>
      <c r="N20" t="n">
        <v>0</v>
      </c>
      <c r="O20" t="n">
        <v>3</v>
      </c>
      <c r="P20" t="n">
        <v>0</v>
      </c>
      <c r="Q20" t="n">
        <v>5</v>
      </c>
      <c r="R20" s="2" t="inlineStr">
        <is>
          <t>Spillkråka
Svartvit flugsnappare
Ärtsångare
Gröngöling
Skogsduva</t>
        </is>
      </c>
      <c r="S20">
        <f>HYPERLINK("https://klasma.github.io/Logging_0764/artfynd/A 12437-2025 artfynd.xlsx", "A 12437-2025")</f>
        <v/>
      </c>
      <c r="T20">
        <f>HYPERLINK("https://klasma.github.io/Logging_0764/kartor/A 12437-2025 karta.png", "A 12437-2025")</f>
        <v/>
      </c>
      <c r="V20">
        <f>HYPERLINK("https://klasma.github.io/Logging_0764/klagomål/A 12437-2025 FSC-klagomål.docx", "A 12437-2025")</f>
        <v/>
      </c>
      <c r="W20">
        <f>HYPERLINK("https://klasma.github.io/Logging_0764/klagomålsmail/A 12437-2025 FSC-klagomål mail.docx", "A 12437-2025")</f>
        <v/>
      </c>
      <c r="X20">
        <f>HYPERLINK("https://klasma.github.io/Logging_0764/tillsyn/A 12437-2025 tillsynsbegäran.docx", "A 12437-2025")</f>
        <v/>
      </c>
      <c r="Y20">
        <f>HYPERLINK("https://klasma.github.io/Logging_0764/tillsynsmail/A 12437-2025 tillsynsbegäran mail.docx", "A 12437-2025")</f>
        <v/>
      </c>
      <c r="Z20">
        <f>HYPERLINK("https://klasma.github.io/Logging_0764/fåglar/A 12437-2025 prioriterade fågelarter.docx", "A 12437-2025")</f>
        <v/>
      </c>
    </row>
    <row r="21" ht="15" customHeight="1">
      <c r="A21" t="inlineStr">
        <is>
          <t>A 49699-2023</t>
        </is>
      </c>
      <c r="B21" s="1" t="n">
        <v>45208</v>
      </c>
      <c r="C21" s="1" t="n">
        <v>46103</v>
      </c>
      <c r="D21" t="inlineStr">
        <is>
          <t>KRONOBERGS LÄN</t>
        </is>
      </c>
      <c r="E21" t="inlineStr">
        <is>
          <t>TINGSRYD</t>
        </is>
      </c>
      <c r="G21" t="n">
        <v>1.9</v>
      </c>
      <c r="H21" t="n">
        <v>3</v>
      </c>
      <c r="I21" t="n">
        <v>0</v>
      </c>
      <c r="J21" t="n">
        <v>1</v>
      </c>
      <c r="K21" t="n">
        <v>0</v>
      </c>
      <c r="L21" t="n">
        <v>0</v>
      </c>
      <c r="M21" t="n">
        <v>1</v>
      </c>
      <c r="N21" t="n">
        <v>0</v>
      </c>
      <c r="O21" t="n">
        <v>2</v>
      </c>
      <c r="P21" t="n">
        <v>1</v>
      </c>
      <c r="Q21" t="n">
        <v>4</v>
      </c>
      <c r="R21" s="2" t="inlineStr">
        <is>
          <t>Skogsalm
Buskskvätta
Dvärgpipistrell
Törnskata</t>
        </is>
      </c>
      <c r="S21">
        <f>HYPERLINK("https://klasma.github.io/Logging_0763/artfynd/A 49699-2023 artfynd.xlsx", "A 49699-2023")</f>
        <v/>
      </c>
      <c r="T21">
        <f>HYPERLINK("https://klasma.github.io/Logging_0763/kartor/A 49699-2023 karta.png", "A 49699-2023")</f>
        <v/>
      </c>
      <c r="V21">
        <f>HYPERLINK("https://klasma.github.io/Logging_0763/klagomål/A 49699-2023 FSC-klagomål.docx", "A 49699-2023")</f>
        <v/>
      </c>
      <c r="W21">
        <f>HYPERLINK("https://klasma.github.io/Logging_0763/klagomålsmail/A 49699-2023 FSC-klagomål mail.docx", "A 49699-2023")</f>
        <v/>
      </c>
      <c r="X21">
        <f>HYPERLINK("https://klasma.github.io/Logging_0763/tillsyn/A 49699-2023 tillsynsbegäran.docx", "A 49699-2023")</f>
        <v/>
      </c>
      <c r="Y21">
        <f>HYPERLINK("https://klasma.github.io/Logging_0763/tillsynsmail/A 49699-2023 tillsynsbegäran mail.docx", "A 49699-2023")</f>
        <v/>
      </c>
      <c r="Z21">
        <f>HYPERLINK("https://klasma.github.io/Logging_0763/fåglar/A 49699-2023 prioriterade fågelarter.docx", "A 49699-2023")</f>
        <v/>
      </c>
    </row>
    <row r="22" ht="15" customHeight="1">
      <c r="A22" t="inlineStr">
        <is>
          <t>A 27866-2024</t>
        </is>
      </c>
      <c r="B22" s="1" t="n">
        <v>45475</v>
      </c>
      <c r="C22" s="1" t="n">
        <v>46103</v>
      </c>
      <c r="D22" t="inlineStr">
        <is>
          <t>KRONOBERGS LÄN</t>
        </is>
      </c>
      <c r="E22" t="inlineStr">
        <is>
          <t>UPPVIDINGE</t>
        </is>
      </c>
      <c r="G22" t="n">
        <v>2.6</v>
      </c>
      <c r="H22" t="n">
        <v>0</v>
      </c>
      <c r="I22" t="n">
        <v>0</v>
      </c>
      <c r="J22" t="n">
        <v>4</v>
      </c>
      <c r="K22" t="n">
        <v>0</v>
      </c>
      <c r="L22" t="n">
        <v>0</v>
      </c>
      <c r="M22" t="n">
        <v>0</v>
      </c>
      <c r="N22" t="n">
        <v>0</v>
      </c>
      <c r="O22" t="n">
        <v>4</v>
      </c>
      <c r="P22" t="n">
        <v>0</v>
      </c>
      <c r="Q22" t="n">
        <v>4</v>
      </c>
      <c r="R22" s="2" t="inlineStr">
        <is>
          <t>Backmåra
Spindelört
Spindelörtskinnbagge
Uloma rufa</t>
        </is>
      </c>
      <c r="S22">
        <f>HYPERLINK("https://klasma.github.io/Logging_0760/artfynd/A 27866-2024 artfynd.xlsx", "A 27866-2024")</f>
        <v/>
      </c>
      <c r="T22">
        <f>HYPERLINK("https://klasma.github.io/Logging_0760/kartor/A 27866-2024 karta.png", "A 27866-2024")</f>
        <v/>
      </c>
      <c r="V22">
        <f>HYPERLINK("https://klasma.github.io/Logging_0760/klagomål/A 27866-2024 FSC-klagomål.docx", "A 27866-2024")</f>
        <v/>
      </c>
      <c r="W22">
        <f>HYPERLINK("https://klasma.github.io/Logging_0760/klagomålsmail/A 27866-2024 FSC-klagomål mail.docx", "A 27866-2024")</f>
        <v/>
      </c>
      <c r="X22">
        <f>HYPERLINK("https://klasma.github.io/Logging_0760/tillsyn/A 27866-2024 tillsynsbegäran.docx", "A 27866-2024")</f>
        <v/>
      </c>
      <c r="Y22">
        <f>HYPERLINK("https://klasma.github.io/Logging_0760/tillsynsmail/A 27866-2024 tillsynsbegäran mail.docx", "A 27866-2024")</f>
        <v/>
      </c>
    </row>
    <row r="23" ht="15" customHeight="1">
      <c r="A23" t="inlineStr">
        <is>
          <t>A 297-2024</t>
        </is>
      </c>
      <c r="B23" s="1" t="n">
        <v>45294</v>
      </c>
      <c r="C23" s="1" t="n">
        <v>46103</v>
      </c>
      <c r="D23" t="inlineStr">
        <is>
          <t>KRONOBERGS LÄN</t>
        </is>
      </c>
      <c r="E23" t="inlineStr">
        <is>
          <t>VÄXJÖ</t>
        </is>
      </c>
      <c r="F23" t="inlineStr">
        <is>
          <t>Kyrkan</t>
        </is>
      </c>
      <c r="G23" t="n">
        <v>8.199999999999999</v>
      </c>
      <c r="H23" t="n">
        <v>3</v>
      </c>
      <c r="I23" t="n">
        <v>1</v>
      </c>
      <c r="J23" t="n">
        <v>1</v>
      </c>
      <c r="K23" t="n">
        <v>0</v>
      </c>
      <c r="L23" t="n">
        <v>0</v>
      </c>
      <c r="M23" t="n">
        <v>0</v>
      </c>
      <c r="N23" t="n">
        <v>0</v>
      </c>
      <c r="O23" t="n">
        <v>1</v>
      </c>
      <c r="P23" t="n">
        <v>0</v>
      </c>
      <c r="Q23" t="n">
        <v>4</v>
      </c>
      <c r="R23" s="2" t="inlineStr">
        <is>
          <t>Talltita
Blomkålssvamp
Kungsfågel
Tjäder</t>
        </is>
      </c>
      <c r="S23">
        <f>HYPERLINK("https://klasma.github.io/Logging_0780/artfynd/A 297-2024 artfynd.xlsx", "A 297-2024")</f>
        <v/>
      </c>
      <c r="T23">
        <f>HYPERLINK("https://klasma.github.io/Logging_0780/kartor/A 297-2024 karta.png", "A 297-2024")</f>
        <v/>
      </c>
      <c r="V23">
        <f>HYPERLINK("https://klasma.github.io/Logging_0780/klagomål/A 297-2024 FSC-klagomål.docx", "A 297-2024")</f>
        <v/>
      </c>
      <c r="W23">
        <f>HYPERLINK("https://klasma.github.io/Logging_0780/klagomålsmail/A 297-2024 FSC-klagomål mail.docx", "A 297-2024")</f>
        <v/>
      </c>
      <c r="X23">
        <f>HYPERLINK("https://klasma.github.io/Logging_0780/tillsyn/A 297-2024 tillsynsbegäran.docx", "A 297-2024")</f>
        <v/>
      </c>
      <c r="Y23">
        <f>HYPERLINK("https://klasma.github.io/Logging_0780/tillsynsmail/A 297-2024 tillsynsbegäran mail.docx", "A 297-2024")</f>
        <v/>
      </c>
      <c r="Z23">
        <f>HYPERLINK("https://klasma.github.io/Logging_0780/fåglar/A 297-2024 prioriterade fågelarter.docx", "A 297-2024")</f>
        <v/>
      </c>
    </row>
    <row r="24" ht="15" customHeight="1">
      <c r="A24" t="inlineStr">
        <is>
          <t>A 8389-2023</t>
        </is>
      </c>
      <c r="B24" s="1" t="n">
        <v>44977.41337962963</v>
      </c>
      <c r="C24" s="1" t="n">
        <v>46103</v>
      </c>
      <c r="D24" t="inlineStr">
        <is>
          <t>KRONOBERGS LÄN</t>
        </is>
      </c>
      <c r="E24" t="inlineStr">
        <is>
          <t>TINGSRYD</t>
        </is>
      </c>
      <c r="G24" t="n">
        <v>2.1</v>
      </c>
      <c r="H24" t="n">
        <v>4</v>
      </c>
      <c r="I24" t="n">
        <v>0</v>
      </c>
      <c r="J24" t="n">
        <v>1</v>
      </c>
      <c r="K24" t="n">
        <v>0</v>
      </c>
      <c r="L24" t="n">
        <v>0</v>
      </c>
      <c r="M24" t="n">
        <v>0</v>
      </c>
      <c r="N24" t="n">
        <v>0</v>
      </c>
      <c r="O24" t="n">
        <v>1</v>
      </c>
      <c r="P24" t="n">
        <v>0</v>
      </c>
      <c r="Q24" t="n">
        <v>4</v>
      </c>
      <c r="R24" s="2" t="inlineStr">
        <is>
          <t>Nordfladdermus
Dvärgpipistrell
Större brunfladdermus
Vattenfladdermus</t>
        </is>
      </c>
      <c r="S24">
        <f>HYPERLINK("https://klasma.github.io/Logging_0763/artfynd/A 8389-2023 artfynd.xlsx", "A 8389-2023")</f>
        <v/>
      </c>
      <c r="T24">
        <f>HYPERLINK("https://klasma.github.io/Logging_0763/kartor/A 8389-2023 karta.png", "A 8389-2023")</f>
        <v/>
      </c>
      <c r="V24">
        <f>HYPERLINK("https://klasma.github.io/Logging_0763/klagomål/A 8389-2023 FSC-klagomål.docx", "A 8389-2023")</f>
        <v/>
      </c>
      <c r="W24">
        <f>HYPERLINK("https://klasma.github.io/Logging_0763/klagomålsmail/A 8389-2023 FSC-klagomål mail.docx", "A 8389-2023")</f>
        <v/>
      </c>
      <c r="X24">
        <f>HYPERLINK("https://klasma.github.io/Logging_0763/tillsyn/A 8389-2023 tillsynsbegäran.docx", "A 8389-2023")</f>
        <v/>
      </c>
      <c r="Y24">
        <f>HYPERLINK("https://klasma.github.io/Logging_0763/tillsynsmail/A 8389-2023 tillsynsbegäran mail.docx", "A 8389-2023")</f>
        <v/>
      </c>
    </row>
    <row r="25" ht="15" customHeight="1">
      <c r="A25" t="inlineStr">
        <is>
          <t>A 2576-2024</t>
        </is>
      </c>
      <c r="B25" s="1" t="n">
        <v>45313</v>
      </c>
      <c r="C25" s="1" t="n">
        <v>46103</v>
      </c>
      <c r="D25" t="inlineStr">
        <is>
          <t>KRONOBERGS LÄN</t>
        </is>
      </c>
      <c r="E25" t="inlineStr">
        <is>
          <t>UPPVIDINGE</t>
        </is>
      </c>
      <c r="G25" t="n">
        <v>2.8</v>
      </c>
      <c r="H25" t="n">
        <v>3</v>
      </c>
      <c r="I25" t="n">
        <v>2</v>
      </c>
      <c r="J25" t="n">
        <v>1</v>
      </c>
      <c r="K25" t="n">
        <v>1</v>
      </c>
      <c r="L25" t="n">
        <v>0</v>
      </c>
      <c r="M25" t="n">
        <v>0</v>
      </c>
      <c r="N25" t="n">
        <v>0</v>
      </c>
      <c r="O25" t="n">
        <v>2</v>
      </c>
      <c r="P25" t="n">
        <v>1</v>
      </c>
      <c r="Q25" t="n">
        <v>4</v>
      </c>
      <c r="R25" s="2" t="inlineStr">
        <is>
          <t>Knärot
Spillkråka
Korallrot
Stor revmossa</t>
        </is>
      </c>
      <c r="S25">
        <f>HYPERLINK("https://klasma.github.io/Logging_0760/artfynd/A 2576-2024 artfynd.xlsx", "A 2576-2024")</f>
        <v/>
      </c>
      <c r="T25">
        <f>HYPERLINK("https://klasma.github.io/Logging_0760/kartor/A 2576-2024 karta.png", "A 2576-2024")</f>
        <v/>
      </c>
      <c r="U25">
        <f>HYPERLINK("https://klasma.github.io/Logging_0760/knärot/A 2576-2024 karta knärot.png", "A 2576-2024")</f>
        <v/>
      </c>
      <c r="V25">
        <f>HYPERLINK("https://klasma.github.io/Logging_0760/klagomål/A 2576-2024 FSC-klagomål.docx", "A 2576-2024")</f>
        <v/>
      </c>
      <c r="W25">
        <f>HYPERLINK("https://klasma.github.io/Logging_0760/klagomålsmail/A 2576-2024 FSC-klagomål mail.docx", "A 2576-2024")</f>
        <v/>
      </c>
      <c r="X25">
        <f>HYPERLINK("https://klasma.github.io/Logging_0760/tillsyn/A 2576-2024 tillsynsbegäran.docx", "A 2576-2024")</f>
        <v/>
      </c>
      <c r="Y25">
        <f>HYPERLINK("https://klasma.github.io/Logging_0760/tillsynsmail/A 2576-2024 tillsynsbegäran mail.docx", "A 2576-2024")</f>
        <v/>
      </c>
      <c r="Z25">
        <f>HYPERLINK("https://klasma.github.io/Logging_0760/fåglar/A 2576-2024 prioriterade fågelarter.docx", "A 2576-2024")</f>
        <v/>
      </c>
    </row>
    <row r="26" ht="15" customHeight="1">
      <c r="A26" t="inlineStr">
        <is>
          <t>A 34130-2022</t>
        </is>
      </c>
      <c r="B26" s="1" t="n">
        <v>44791</v>
      </c>
      <c r="C26" s="1" t="n">
        <v>46103</v>
      </c>
      <c r="D26" t="inlineStr">
        <is>
          <t>KRONOBERGS LÄN</t>
        </is>
      </c>
      <c r="E26" t="inlineStr">
        <is>
          <t>TINGSRYD</t>
        </is>
      </c>
      <c r="G26" t="n">
        <v>3.5</v>
      </c>
      <c r="H26" t="n">
        <v>0</v>
      </c>
      <c r="I26" t="n">
        <v>0</v>
      </c>
      <c r="J26" t="n">
        <v>3</v>
      </c>
      <c r="K26" t="n">
        <v>0</v>
      </c>
      <c r="L26" t="n">
        <v>0</v>
      </c>
      <c r="M26" t="n">
        <v>0</v>
      </c>
      <c r="N26" t="n">
        <v>0</v>
      </c>
      <c r="O26" t="n">
        <v>3</v>
      </c>
      <c r="P26" t="n">
        <v>0</v>
      </c>
      <c r="Q26" t="n">
        <v>3</v>
      </c>
      <c r="R26" s="2" t="inlineStr">
        <is>
          <t>Granspira
Loppstarr
Ängsstarr</t>
        </is>
      </c>
      <c r="S26">
        <f>HYPERLINK("https://klasma.github.io/Logging_0763/artfynd/A 34130-2022 artfynd.xlsx", "A 34130-2022")</f>
        <v/>
      </c>
      <c r="T26">
        <f>HYPERLINK("https://klasma.github.io/Logging_0763/kartor/A 34130-2022 karta.png", "A 34130-2022")</f>
        <v/>
      </c>
      <c r="V26">
        <f>HYPERLINK("https://klasma.github.io/Logging_0763/klagomål/A 34130-2022 FSC-klagomål.docx", "A 34130-2022")</f>
        <v/>
      </c>
      <c r="W26">
        <f>HYPERLINK("https://klasma.github.io/Logging_0763/klagomålsmail/A 34130-2022 FSC-klagomål mail.docx", "A 34130-2022")</f>
        <v/>
      </c>
      <c r="X26">
        <f>HYPERLINK("https://klasma.github.io/Logging_0763/tillsyn/A 34130-2022 tillsynsbegäran.docx", "A 34130-2022")</f>
        <v/>
      </c>
      <c r="Y26">
        <f>HYPERLINK("https://klasma.github.io/Logging_0763/tillsynsmail/A 34130-2022 tillsynsbegäran mail.docx", "A 34130-2022")</f>
        <v/>
      </c>
    </row>
    <row r="27" ht="15" customHeight="1">
      <c r="A27" t="inlineStr">
        <is>
          <t>A 26375-2022</t>
        </is>
      </c>
      <c r="B27" s="1" t="n">
        <v>44735</v>
      </c>
      <c r="C27" s="1" t="n">
        <v>46103</v>
      </c>
      <c r="D27" t="inlineStr">
        <is>
          <t>KRONOBERGS LÄN</t>
        </is>
      </c>
      <c r="E27" t="inlineStr">
        <is>
          <t>LJUNGBY</t>
        </is>
      </c>
      <c r="G27" t="n">
        <v>9.1</v>
      </c>
      <c r="H27" t="n">
        <v>0</v>
      </c>
      <c r="I27" t="n">
        <v>2</v>
      </c>
      <c r="J27" t="n">
        <v>1</v>
      </c>
      <c r="K27" t="n">
        <v>0</v>
      </c>
      <c r="L27" t="n">
        <v>0</v>
      </c>
      <c r="M27" t="n">
        <v>0</v>
      </c>
      <c r="N27" t="n">
        <v>0</v>
      </c>
      <c r="O27" t="n">
        <v>1</v>
      </c>
      <c r="P27" t="n">
        <v>0</v>
      </c>
      <c r="Q27" t="n">
        <v>3</v>
      </c>
      <c r="R27" s="2" t="inlineStr">
        <is>
          <t>Gropticka
Stor revmossa
Vågbandad barkbock</t>
        </is>
      </c>
      <c r="S27">
        <f>HYPERLINK("https://klasma.github.io/Logging_0781/artfynd/A 26375-2022 artfynd.xlsx", "A 26375-2022")</f>
        <v/>
      </c>
      <c r="T27">
        <f>HYPERLINK("https://klasma.github.io/Logging_0781/kartor/A 26375-2022 karta.png", "A 26375-2022")</f>
        <v/>
      </c>
      <c r="V27">
        <f>HYPERLINK("https://klasma.github.io/Logging_0781/klagomål/A 26375-2022 FSC-klagomål.docx", "A 26375-2022")</f>
        <v/>
      </c>
      <c r="W27">
        <f>HYPERLINK("https://klasma.github.io/Logging_0781/klagomålsmail/A 26375-2022 FSC-klagomål mail.docx", "A 26375-2022")</f>
        <v/>
      </c>
      <c r="X27">
        <f>HYPERLINK("https://klasma.github.io/Logging_0781/tillsyn/A 26375-2022 tillsynsbegäran.docx", "A 26375-2022")</f>
        <v/>
      </c>
      <c r="Y27">
        <f>HYPERLINK("https://klasma.github.io/Logging_0781/tillsynsmail/A 26375-2022 tillsynsbegäran mail.docx", "A 26375-2022")</f>
        <v/>
      </c>
    </row>
    <row r="28" ht="15" customHeight="1">
      <c r="A28" t="inlineStr">
        <is>
          <t>A 21810-2021</t>
        </is>
      </c>
      <c r="B28" s="1" t="n">
        <v>44319</v>
      </c>
      <c r="C28" s="1" t="n">
        <v>46103</v>
      </c>
      <c r="D28" t="inlineStr">
        <is>
          <t>KRONOBERGS LÄN</t>
        </is>
      </c>
      <c r="E28" t="inlineStr">
        <is>
          <t>ALVESTA</t>
        </is>
      </c>
      <c r="G28" t="n">
        <v>11</v>
      </c>
      <c r="H28" t="n">
        <v>2</v>
      </c>
      <c r="I28" t="n">
        <v>1</v>
      </c>
      <c r="J28" t="n">
        <v>1</v>
      </c>
      <c r="K28" t="n">
        <v>0</v>
      </c>
      <c r="L28" t="n">
        <v>0</v>
      </c>
      <c r="M28" t="n">
        <v>0</v>
      </c>
      <c r="N28" t="n">
        <v>0</v>
      </c>
      <c r="O28" t="n">
        <v>1</v>
      </c>
      <c r="P28" t="n">
        <v>0</v>
      </c>
      <c r="Q28" t="n">
        <v>3</v>
      </c>
      <c r="R28" s="2" t="inlineStr">
        <is>
          <t>Rödvingetrast
Scharlakansskål
Revlummer</t>
        </is>
      </c>
      <c r="S28">
        <f>HYPERLINK("https://klasma.github.io/Logging_0764/artfynd/A 21810-2021 artfynd.xlsx", "A 21810-2021")</f>
        <v/>
      </c>
      <c r="T28">
        <f>HYPERLINK("https://klasma.github.io/Logging_0764/kartor/A 21810-2021 karta.png", "A 21810-2021")</f>
        <v/>
      </c>
      <c r="V28">
        <f>HYPERLINK("https://klasma.github.io/Logging_0764/klagomål/A 21810-2021 FSC-klagomål.docx", "A 21810-2021")</f>
        <v/>
      </c>
      <c r="W28">
        <f>HYPERLINK("https://klasma.github.io/Logging_0764/klagomålsmail/A 21810-2021 FSC-klagomål mail.docx", "A 21810-2021")</f>
        <v/>
      </c>
      <c r="X28">
        <f>HYPERLINK("https://klasma.github.io/Logging_0764/tillsyn/A 21810-2021 tillsynsbegäran.docx", "A 21810-2021")</f>
        <v/>
      </c>
      <c r="Y28">
        <f>HYPERLINK("https://klasma.github.io/Logging_0764/tillsynsmail/A 21810-2021 tillsynsbegäran mail.docx", "A 21810-2021")</f>
        <v/>
      </c>
      <c r="Z28">
        <f>HYPERLINK("https://klasma.github.io/Logging_0764/fåglar/A 21810-2021 prioriterade fågelarter.docx", "A 21810-2021")</f>
        <v/>
      </c>
    </row>
    <row r="29" ht="15" customHeight="1">
      <c r="A29" t="inlineStr">
        <is>
          <t>A 5027-2023</t>
        </is>
      </c>
      <c r="B29" s="1" t="n">
        <v>44958.56475694444</v>
      </c>
      <c r="C29" s="1" t="n">
        <v>46103</v>
      </c>
      <c r="D29" t="inlineStr">
        <is>
          <t>KRONOBERGS LÄN</t>
        </is>
      </c>
      <c r="E29" t="inlineStr">
        <is>
          <t>VÄXJÖ</t>
        </is>
      </c>
      <c r="G29" t="n">
        <v>3.1</v>
      </c>
      <c r="H29" t="n">
        <v>3</v>
      </c>
      <c r="I29" t="n">
        <v>0</v>
      </c>
      <c r="J29" t="n">
        <v>1</v>
      </c>
      <c r="K29" t="n">
        <v>0</v>
      </c>
      <c r="L29" t="n">
        <v>0</v>
      </c>
      <c r="M29" t="n">
        <v>0</v>
      </c>
      <c r="N29" t="n">
        <v>0</v>
      </c>
      <c r="O29" t="n">
        <v>1</v>
      </c>
      <c r="P29" t="n">
        <v>0</v>
      </c>
      <c r="Q29" t="n">
        <v>3</v>
      </c>
      <c r="R29" s="2" t="inlineStr">
        <is>
          <t>Gulsparv
Göktyta
Törnskata</t>
        </is>
      </c>
      <c r="S29">
        <f>HYPERLINK("https://klasma.github.io/Logging_0780/artfynd/A 5027-2023 artfynd.xlsx", "A 5027-2023")</f>
        <v/>
      </c>
      <c r="T29">
        <f>HYPERLINK("https://klasma.github.io/Logging_0780/kartor/A 5027-2023 karta.png", "A 5027-2023")</f>
        <v/>
      </c>
      <c r="V29">
        <f>HYPERLINK("https://klasma.github.io/Logging_0780/klagomål/A 5027-2023 FSC-klagomål.docx", "A 5027-2023")</f>
        <v/>
      </c>
      <c r="W29">
        <f>HYPERLINK("https://klasma.github.io/Logging_0780/klagomålsmail/A 5027-2023 FSC-klagomål mail.docx", "A 5027-2023")</f>
        <v/>
      </c>
      <c r="X29">
        <f>HYPERLINK("https://klasma.github.io/Logging_0780/tillsyn/A 5027-2023 tillsynsbegäran.docx", "A 5027-2023")</f>
        <v/>
      </c>
      <c r="Y29">
        <f>HYPERLINK("https://klasma.github.io/Logging_0780/tillsynsmail/A 5027-2023 tillsynsbegäran mail.docx", "A 5027-2023")</f>
        <v/>
      </c>
      <c r="Z29">
        <f>HYPERLINK("https://klasma.github.io/Logging_0780/fåglar/A 5027-2023 prioriterade fågelarter.docx", "A 5027-2023")</f>
        <v/>
      </c>
    </row>
    <row r="30" ht="15" customHeight="1">
      <c r="A30" t="inlineStr">
        <is>
          <t>A 52675-2024</t>
        </is>
      </c>
      <c r="B30" s="1" t="n">
        <v>45610</v>
      </c>
      <c r="C30" s="1" t="n">
        <v>46103</v>
      </c>
      <c r="D30" t="inlineStr">
        <is>
          <t>KRONOBERGS LÄN</t>
        </is>
      </c>
      <c r="E30" t="inlineStr">
        <is>
          <t>ALVESTA</t>
        </is>
      </c>
      <c r="F30" t="inlineStr">
        <is>
          <t>Kyrkan</t>
        </is>
      </c>
      <c r="G30" t="n">
        <v>1.2</v>
      </c>
      <c r="H30" t="n">
        <v>1</v>
      </c>
      <c r="I30" t="n">
        <v>2</v>
      </c>
      <c r="J30" t="n">
        <v>0</v>
      </c>
      <c r="K30" t="n">
        <v>0</v>
      </c>
      <c r="L30" t="n">
        <v>0</v>
      </c>
      <c r="M30" t="n">
        <v>0</v>
      </c>
      <c r="N30" t="n">
        <v>0</v>
      </c>
      <c r="O30" t="n">
        <v>0</v>
      </c>
      <c r="P30" t="n">
        <v>0</v>
      </c>
      <c r="Q30" t="n">
        <v>3</v>
      </c>
      <c r="R30" s="2" t="inlineStr">
        <is>
          <t>Grovticka
Västlig hakmossa
Revlummer</t>
        </is>
      </c>
      <c r="S30">
        <f>HYPERLINK("https://klasma.github.io/Logging_0764/artfynd/A 52675-2024 artfynd.xlsx", "A 52675-2024")</f>
        <v/>
      </c>
      <c r="T30">
        <f>HYPERLINK("https://klasma.github.io/Logging_0764/kartor/A 52675-2024 karta.png", "A 52675-2024")</f>
        <v/>
      </c>
      <c r="V30">
        <f>HYPERLINK("https://klasma.github.io/Logging_0764/klagomål/A 52675-2024 FSC-klagomål.docx", "A 52675-2024")</f>
        <v/>
      </c>
      <c r="W30">
        <f>HYPERLINK("https://klasma.github.io/Logging_0764/klagomålsmail/A 52675-2024 FSC-klagomål mail.docx", "A 52675-2024")</f>
        <v/>
      </c>
      <c r="X30">
        <f>HYPERLINK("https://klasma.github.io/Logging_0764/tillsyn/A 52675-2024 tillsynsbegäran.docx", "A 52675-2024")</f>
        <v/>
      </c>
      <c r="Y30">
        <f>HYPERLINK("https://klasma.github.io/Logging_0764/tillsynsmail/A 52675-2024 tillsynsbegäran mail.docx", "A 52675-2024")</f>
        <v/>
      </c>
    </row>
    <row r="31" ht="15" customHeight="1">
      <c r="A31" t="inlineStr">
        <is>
          <t>A 62678-2025</t>
        </is>
      </c>
      <c r="B31" s="1" t="n">
        <v>46008.45151620371</v>
      </c>
      <c r="C31" s="1" t="n">
        <v>46103</v>
      </c>
      <c r="D31" t="inlineStr">
        <is>
          <t>KRONOBERGS LÄN</t>
        </is>
      </c>
      <c r="E31" t="inlineStr">
        <is>
          <t>LJUNGBY</t>
        </is>
      </c>
      <c r="G31" t="n">
        <v>0.4</v>
      </c>
      <c r="H31" t="n">
        <v>3</v>
      </c>
      <c r="I31" t="n">
        <v>0</v>
      </c>
      <c r="J31" t="n">
        <v>2</v>
      </c>
      <c r="K31" t="n">
        <v>0</v>
      </c>
      <c r="L31" t="n">
        <v>0</v>
      </c>
      <c r="M31" t="n">
        <v>0</v>
      </c>
      <c r="N31" t="n">
        <v>0</v>
      </c>
      <c r="O31" t="n">
        <v>2</v>
      </c>
      <c r="P31" t="n">
        <v>0</v>
      </c>
      <c r="Q31" t="n">
        <v>3</v>
      </c>
      <c r="R31" s="2" t="inlineStr">
        <is>
          <t>Spillkråka
Talltita
Gröngöling</t>
        </is>
      </c>
      <c r="S31">
        <f>HYPERLINK("https://klasma.github.io/Logging_0781/artfynd/A 62678-2025 artfynd.xlsx", "A 62678-2025")</f>
        <v/>
      </c>
      <c r="T31">
        <f>HYPERLINK("https://klasma.github.io/Logging_0781/kartor/A 62678-2025 karta.png", "A 62678-2025")</f>
        <v/>
      </c>
      <c r="V31">
        <f>HYPERLINK("https://klasma.github.io/Logging_0781/klagomål/A 62678-2025 FSC-klagomål.docx", "A 62678-2025")</f>
        <v/>
      </c>
      <c r="W31">
        <f>HYPERLINK("https://klasma.github.io/Logging_0781/klagomålsmail/A 62678-2025 FSC-klagomål mail.docx", "A 62678-2025")</f>
        <v/>
      </c>
      <c r="X31">
        <f>HYPERLINK("https://klasma.github.io/Logging_0781/tillsyn/A 62678-2025 tillsynsbegäran.docx", "A 62678-2025")</f>
        <v/>
      </c>
      <c r="Y31">
        <f>HYPERLINK("https://klasma.github.io/Logging_0781/tillsynsmail/A 62678-2025 tillsynsbegäran mail.docx", "A 62678-2025")</f>
        <v/>
      </c>
      <c r="Z31">
        <f>HYPERLINK("https://klasma.github.io/Logging_0781/fåglar/A 62678-2025 prioriterade fågelarter.docx", "A 62678-2025")</f>
        <v/>
      </c>
    </row>
    <row r="32" ht="15" customHeight="1">
      <c r="A32" t="inlineStr">
        <is>
          <t>A 37528-2023</t>
        </is>
      </c>
      <c r="B32" s="1" t="n">
        <v>45158</v>
      </c>
      <c r="C32" s="1" t="n">
        <v>46103</v>
      </c>
      <c r="D32" t="inlineStr">
        <is>
          <t>KRONOBERGS LÄN</t>
        </is>
      </c>
      <c r="E32" t="inlineStr">
        <is>
          <t>UPPVIDINGE</t>
        </is>
      </c>
      <c r="G32" t="n">
        <v>3.5</v>
      </c>
      <c r="H32" t="n">
        <v>0</v>
      </c>
      <c r="I32" t="n">
        <v>3</v>
      </c>
      <c r="J32" t="n">
        <v>0</v>
      </c>
      <c r="K32" t="n">
        <v>0</v>
      </c>
      <c r="L32" t="n">
        <v>0</v>
      </c>
      <c r="M32" t="n">
        <v>0</v>
      </c>
      <c r="N32" t="n">
        <v>0</v>
      </c>
      <c r="O32" t="n">
        <v>0</v>
      </c>
      <c r="P32" t="n">
        <v>0</v>
      </c>
      <c r="Q32" t="n">
        <v>3</v>
      </c>
      <c r="R32" s="2" t="inlineStr">
        <is>
          <t>Blomkålssvamp
Fjällig taggsvamp s.str.
Grönpyrola</t>
        </is>
      </c>
      <c r="S32">
        <f>HYPERLINK("https://klasma.github.io/Logging_0760/artfynd/A 37528-2023 artfynd.xlsx", "A 37528-2023")</f>
        <v/>
      </c>
      <c r="T32">
        <f>HYPERLINK("https://klasma.github.io/Logging_0760/kartor/A 37528-2023 karta.png", "A 37528-2023")</f>
        <v/>
      </c>
      <c r="V32">
        <f>HYPERLINK("https://klasma.github.io/Logging_0760/klagomål/A 37528-2023 FSC-klagomål.docx", "A 37528-2023")</f>
        <v/>
      </c>
      <c r="W32">
        <f>HYPERLINK("https://klasma.github.io/Logging_0760/klagomålsmail/A 37528-2023 FSC-klagomål mail.docx", "A 37528-2023")</f>
        <v/>
      </c>
      <c r="X32">
        <f>HYPERLINK("https://klasma.github.io/Logging_0760/tillsyn/A 37528-2023 tillsynsbegäran.docx", "A 37528-2023")</f>
        <v/>
      </c>
      <c r="Y32">
        <f>HYPERLINK("https://klasma.github.io/Logging_0760/tillsynsmail/A 37528-2023 tillsynsbegäran mail.docx", "A 37528-2023")</f>
        <v/>
      </c>
    </row>
    <row r="33" ht="15" customHeight="1">
      <c r="A33" t="inlineStr">
        <is>
          <t>A 3128-2026</t>
        </is>
      </c>
      <c r="B33" s="1" t="n">
        <v>46041.37991898148</v>
      </c>
      <c r="C33" s="1" t="n">
        <v>46103</v>
      </c>
      <c r="D33" t="inlineStr">
        <is>
          <t>KRONOBERGS LÄN</t>
        </is>
      </c>
      <c r="E33" t="inlineStr">
        <is>
          <t>ÄLMHULT</t>
        </is>
      </c>
      <c r="G33" t="n">
        <v>2</v>
      </c>
      <c r="H33" t="n">
        <v>0</v>
      </c>
      <c r="I33" t="n">
        <v>2</v>
      </c>
      <c r="J33" t="n">
        <v>1</v>
      </c>
      <c r="K33" t="n">
        <v>0</v>
      </c>
      <c r="L33" t="n">
        <v>0</v>
      </c>
      <c r="M33" t="n">
        <v>0</v>
      </c>
      <c r="N33" t="n">
        <v>0</v>
      </c>
      <c r="O33" t="n">
        <v>1</v>
      </c>
      <c r="P33" t="n">
        <v>0</v>
      </c>
      <c r="Q33" t="n">
        <v>3</v>
      </c>
      <c r="R33" s="2" t="inlineStr">
        <is>
          <t>Motaggsvamp
Skuggmossa
Västlig hakmossa</t>
        </is>
      </c>
      <c r="S33">
        <f>HYPERLINK("https://klasma.github.io/Logging_0765/artfynd/A 3128-2026 artfynd.xlsx", "A 3128-2026")</f>
        <v/>
      </c>
      <c r="T33">
        <f>HYPERLINK("https://klasma.github.io/Logging_0765/kartor/A 3128-2026 karta.png", "A 3128-2026")</f>
        <v/>
      </c>
      <c r="V33">
        <f>HYPERLINK("https://klasma.github.io/Logging_0765/klagomål/A 3128-2026 FSC-klagomål.docx", "A 3128-2026")</f>
        <v/>
      </c>
      <c r="W33">
        <f>HYPERLINK("https://klasma.github.io/Logging_0765/klagomålsmail/A 3128-2026 FSC-klagomål mail.docx", "A 3128-2026")</f>
        <v/>
      </c>
      <c r="X33">
        <f>HYPERLINK("https://klasma.github.io/Logging_0765/tillsyn/A 3128-2026 tillsynsbegäran.docx", "A 3128-2026")</f>
        <v/>
      </c>
      <c r="Y33">
        <f>HYPERLINK("https://klasma.github.io/Logging_0765/tillsynsmail/A 3128-2026 tillsynsbegäran mail.docx", "A 3128-2026")</f>
        <v/>
      </c>
    </row>
    <row r="34" ht="15" customHeight="1">
      <c r="A34" t="inlineStr">
        <is>
          <t>A 52542-2025</t>
        </is>
      </c>
      <c r="B34" s="1" t="n">
        <v>45954.54986111111</v>
      </c>
      <c r="C34" s="1" t="n">
        <v>46103</v>
      </c>
      <c r="D34" t="inlineStr">
        <is>
          <t>KRONOBERGS LÄN</t>
        </is>
      </c>
      <c r="E34" t="inlineStr">
        <is>
          <t>LESSEBO</t>
        </is>
      </c>
      <c r="F34" t="inlineStr">
        <is>
          <t>Sveaskog</t>
        </is>
      </c>
      <c r="G34" t="n">
        <v>2.9</v>
      </c>
      <c r="H34" t="n">
        <v>1</v>
      </c>
      <c r="I34" t="n">
        <v>2</v>
      </c>
      <c r="J34" t="n">
        <v>0</v>
      </c>
      <c r="K34" t="n">
        <v>0</v>
      </c>
      <c r="L34" t="n">
        <v>0</v>
      </c>
      <c r="M34" t="n">
        <v>0</v>
      </c>
      <c r="N34" t="n">
        <v>0</v>
      </c>
      <c r="O34" t="n">
        <v>0</v>
      </c>
      <c r="P34" t="n">
        <v>0</v>
      </c>
      <c r="Q34" t="n">
        <v>3</v>
      </c>
      <c r="R34" s="2" t="inlineStr">
        <is>
          <t>Brandticka
Vedticka
Kungsfågel</t>
        </is>
      </c>
      <c r="S34">
        <f>HYPERLINK("https://klasma.github.io/Logging_0761/artfynd/A 52542-2025 artfynd.xlsx", "A 52542-2025")</f>
        <v/>
      </c>
      <c r="T34">
        <f>HYPERLINK("https://klasma.github.io/Logging_0761/kartor/A 52542-2025 karta.png", "A 52542-2025")</f>
        <v/>
      </c>
      <c r="V34">
        <f>HYPERLINK("https://klasma.github.io/Logging_0761/klagomål/A 52542-2025 FSC-klagomål.docx", "A 52542-2025")</f>
        <v/>
      </c>
      <c r="W34">
        <f>HYPERLINK("https://klasma.github.io/Logging_0761/klagomålsmail/A 52542-2025 FSC-klagomål mail.docx", "A 52542-2025")</f>
        <v/>
      </c>
      <c r="X34">
        <f>HYPERLINK("https://klasma.github.io/Logging_0761/tillsyn/A 52542-2025 tillsynsbegäran.docx", "A 52542-2025")</f>
        <v/>
      </c>
      <c r="Y34">
        <f>HYPERLINK("https://klasma.github.io/Logging_0761/tillsynsmail/A 52542-2025 tillsynsbegäran mail.docx", "A 52542-2025")</f>
        <v/>
      </c>
      <c r="Z34">
        <f>HYPERLINK("https://klasma.github.io/Logging_0761/fåglar/A 52542-2025 prioriterade fågelarter.docx", "A 52542-2025")</f>
        <v/>
      </c>
    </row>
    <row r="35" ht="15" customHeight="1">
      <c r="A35" t="inlineStr">
        <is>
          <t>A 52541-2025</t>
        </is>
      </c>
      <c r="B35" s="1" t="n">
        <v>45954.54858796296</v>
      </c>
      <c r="C35" s="1" t="n">
        <v>46103</v>
      </c>
      <c r="D35" t="inlineStr">
        <is>
          <t>KRONOBERGS LÄN</t>
        </is>
      </c>
      <c r="E35" t="inlineStr">
        <is>
          <t>LESSEBO</t>
        </is>
      </c>
      <c r="F35" t="inlineStr">
        <is>
          <t>Sveaskog</t>
        </is>
      </c>
      <c r="G35" t="n">
        <v>3.2</v>
      </c>
      <c r="H35" t="n">
        <v>3</v>
      </c>
      <c r="I35" t="n">
        <v>0</v>
      </c>
      <c r="J35" t="n">
        <v>1</v>
      </c>
      <c r="K35" t="n">
        <v>0</v>
      </c>
      <c r="L35" t="n">
        <v>0</v>
      </c>
      <c r="M35" t="n">
        <v>0</v>
      </c>
      <c r="N35" t="n">
        <v>0</v>
      </c>
      <c r="O35" t="n">
        <v>1</v>
      </c>
      <c r="P35" t="n">
        <v>0</v>
      </c>
      <c r="Q35" t="n">
        <v>3</v>
      </c>
      <c r="R35" s="2" t="inlineStr">
        <is>
          <t>Spillkråka
Grönsiska
Kungsfågel</t>
        </is>
      </c>
      <c r="S35">
        <f>HYPERLINK("https://klasma.github.io/Logging_0761/artfynd/A 52541-2025 artfynd.xlsx", "A 52541-2025")</f>
        <v/>
      </c>
      <c r="T35">
        <f>HYPERLINK("https://klasma.github.io/Logging_0761/kartor/A 52541-2025 karta.png", "A 52541-2025")</f>
        <v/>
      </c>
      <c r="V35">
        <f>HYPERLINK("https://klasma.github.io/Logging_0761/klagomål/A 52541-2025 FSC-klagomål.docx", "A 52541-2025")</f>
        <v/>
      </c>
      <c r="W35">
        <f>HYPERLINK("https://klasma.github.io/Logging_0761/klagomålsmail/A 52541-2025 FSC-klagomål mail.docx", "A 52541-2025")</f>
        <v/>
      </c>
      <c r="X35">
        <f>HYPERLINK("https://klasma.github.io/Logging_0761/tillsyn/A 52541-2025 tillsynsbegäran.docx", "A 52541-2025")</f>
        <v/>
      </c>
      <c r="Y35">
        <f>HYPERLINK("https://klasma.github.io/Logging_0761/tillsynsmail/A 52541-2025 tillsynsbegäran mail.docx", "A 52541-2025")</f>
        <v/>
      </c>
      <c r="Z35">
        <f>HYPERLINK("https://klasma.github.io/Logging_0761/fåglar/A 52541-2025 prioriterade fågelarter.docx", "A 52541-2025")</f>
        <v/>
      </c>
    </row>
    <row r="36" ht="15" customHeight="1">
      <c r="A36" t="inlineStr">
        <is>
          <t>A 47420-2025</t>
        </is>
      </c>
      <c r="B36" s="1" t="n">
        <v>45930</v>
      </c>
      <c r="C36" s="1" t="n">
        <v>46103</v>
      </c>
      <c r="D36" t="inlineStr">
        <is>
          <t>KRONOBERGS LÄN</t>
        </is>
      </c>
      <c r="E36" t="inlineStr">
        <is>
          <t>UPPVIDINGE</t>
        </is>
      </c>
      <c r="F36" t="inlineStr">
        <is>
          <t>Kyrkan</t>
        </is>
      </c>
      <c r="G36" t="n">
        <v>7.8</v>
      </c>
      <c r="H36" t="n">
        <v>2</v>
      </c>
      <c r="I36" t="n">
        <v>1</v>
      </c>
      <c r="J36" t="n">
        <v>1</v>
      </c>
      <c r="K36" t="n">
        <v>0</v>
      </c>
      <c r="L36" t="n">
        <v>0</v>
      </c>
      <c r="M36" t="n">
        <v>0</v>
      </c>
      <c r="N36" t="n">
        <v>0</v>
      </c>
      <c r="O36" t="n">
        <v>1</v>
      </c>
      <c r="P36" t="n">
        <v>0</v>
      </c>
      <c r="Q36" t="n">
        <v>3</v>
      </c>
      <c r="R36" s="2" t="inlineStr">
        <is>
          <t>Talltita
Zontaggsvamp
Kungsfågel</t>
        </is>
      </c>
      <c r="S36">
        <f>HYPERLINK("https://klasma.github.io/Logging_0760/artfynd/A 47420-2025 artfynd.xlsx", "A 47420-2025")</f>
        <v/>
      </c>
      <c r="T36">
        <f>HYPERLINK("https://klasma.github.io/Logging_0760/kartor/A 47420-2025 karta.png", "A 47420-2025")</f>
        <v/>
      </c>
      <c r="V36">
        <f>HYPERLINK("https://klasma.github.io/Logging_0760/klagomål/A 47420-2025 FSC-klagomål.docx", "A 47420-2025")</f>
        <v/>
      </c>
      <c r="W36">
        <f>HYPERLINK("https://klasma.github.io/Logging_0760/klagomålsmail/A 47420-2025 FSC-klagomål mail.docx", "A 47420-2025")</f>
        <v/>
      </c>
      <c r="X36">
        <f>HYPERLINK("https://klasma.github.io/Logging_0760/tillsyn/A 47420-2025 tillsynsbegäran.docx", "A 47420-2025")</f>
        <v/>
      </c>
      <c r="Y36">
        <f>HYPERLINK("https://klasma.github.io/Logging_0760/tillsynsmail/A 47420-2025 tillsynsbegäran mail.docx", "A 47420-2025")</f>
        <v/>
      </c>
      <c r="Z36">
        <f>HYPERLINK("https://klasma.github.io/Logging_0760/fåglar/A 47420-2025 prioriterade fågelarter.docx", "A 47420-2025")</f>
        <v/>
      </c>
    </row>
    <row r="37" ht="15" customHeight="1">
      <c r="A37" t="inlineStr">
        <is>
          <t>A 11575-2023</t>
        </is>
      </c>
      <c r="B37" s="1" t="n">
        <v>44992</v>
      </c>
      <c r="C37" s="1" t="n">
        <v>46103</v>
      </c>
      <c r="D37" t="inlineStr">
        <is>
          <t>KRONOBERGS LÄN</t>
        </is>
      </c>
      <c r="E37" t="inlineStr">
        <is>
          <t>TINGSRYD</t>
        </is>
      </c>
      <c r="G37" t="n">
        <v>9.199999999999999</v>
      </c>
      <c r="H37" t="n">
        <v>1</v>
      </c>
      <c r="I37" t="n">
        <v>2</v>
      </c>
      <c r="J37" t="n">
        <v>0</v>
      </c>
      <c r="K37" t="n">
        <v>1</v>
      </c>
      <c r="L37" t="n">
        <v>0</v>
      </c>
      <c r="M37" t="n">
        <v>0</v>
      </c>
      <c r="N37" t="n">
        <v>0</v>
      </c>
      <c r="O37" t="n">
        <v>1</v>
      </c>
      <c r="P37" t="n">
        <v>1</v>
      </c>
      <c r="Q37" t="n">
        <v>3</v>
      </c>
      <c r="R37" s="2" t="inlineStr">
        <is>
          <t>Knärot
Blomkålssvamp
Grönpyrola</t>
        </is>
      </c>
      <c r="S37">
        <f>HYPERLINK("https://klasma.github.io/Logging_0763/artfynd/A 11575-2023 artfynd.xlsx", "A 11575-2023")</f>
        <v/>
      </c>
      <c r="T37">
        <f>HYPERLINK("https://klasma.github.io/Logging_0763/kartor/A 11575-2023 karta.png", "A 11575-2023")</f>
        <v/>
      </c>
      <c r="U37">
        <f>HYPERLINK("https://klasma.github.io/Logging_0763/knärot/A 11575-2023 karta knärot.png", "A 11575-2023")</f>
        <v/>
      </c>
      <c r="V37">
        <f>HYPERLINK("https://klasma.github.io/Logging_0763/klagomål/A 11575-2023 FSC-klagomål.docx", "A 11575-2023")</f>
        <v/>
      </c>
      <c r="W37">
        <f>HYPERLINK("https://klasma.github.io/Logging_0763/klagomålsmail/A 11575-2023 FSC-klagomål mail.docx", "A 11575-2023")</f>
        <v/>
      </c>
      <c r="X37">
        <f>HYPERLINK("https://klasma.github.io/Logging_0763/tillsyn/A 11575-2023 tillsynsbegäran.docx", "A 11575-2023")</f>
        <v/>
      </c>
      <c r="Y37">
        <f>HYPERLINK("https://klasma.github.io/Logging_0763/tillsynsmail/A 11575-2023 tillsynsbegäran mail.docx", "A 11575-2023")</f>
        <v/>
      </c>
    </row>
    <row r="38" ht="15" customHeight="1">
      <c r="A38" t="inlineStr">
        <is>
          <t>A 43369-2024</t>
        </is>
      </c>
      <c r="B38" s="1" t="n">
        <v>45568</v>
      </c>
      <c r="C38" s="1" t="n">
        <v>46103</v>
      </c>
      <c r="D38" t="inlineStr">
        <is>
          <t>KRONOBERGS LÄN</t>
        </is>
      </c>
      <c r="E38" t="inlineStr">
        <is>
          <t>LJUNGBY</t>
        </is>
      </c>
      <c r="G38" t="n">
        <v>1.6</v>
      </c>
      <c r="H38" t="n">
        <v>2</v>
      </c>
      <c r="I38" t="n">
        <v>0</v>
      </c>
      <c r="J38" t="n">
        <v>0</v>
      </c>
      <c r="K38" t="n">
        <v>1</v>
      </c>
      <c r="L38" t="n">
        <v>0</v>
      </c>
      <c r="M38" t="n">
        <v>0</v>
      </c>
      <c r="N38" t="n">
        <v>0</v>
      </c>
      <c r="O38" t="n">
        <v>1</v>
      </c>
      <c r="P38" t="n">
        <v>1</v>
      </c>
      <c r="Q38" t="n">
        <v>3</v>
      </c>
      <c r="R38" s="2" t="inlineStr">
        <is>
          <t>Slåttergubbe
Fläcknycklar
Grönvit nattviol</t>
        </is>
      </c>
      <c r="S38">
        <f>HYPERLINK("https://klasma.github.io/Logging_0781/artfynd/A 43369-2024 artfynd.xlsx", "A 43369-2024")</f>
        <v/>
      </c>
      <c r="T38">
        <f>HYPERLINK("https://klasma.github.io/Logging_0781/kartor/A 43369-2024 karta.png", "A 43369-2024")</f>
        <v/>
      </c>
      <c r="V38">
        <f>HYPERLINK("https://klasma.github.io/Logging_0781/klagomål/A 43369-2024 FSC-klagomål.docx", "A 43369-2024")</f>
        <v/>
      </c>
      <c r="W38">
        <f>HYPERLINK("https://klasma.github.io/Logging_0781/klagomålsmail/A 43369-2024 FSC-klagomål mail.docx", "A 43369-2024")</f>
        <v/>
      </c>
      <c r="X38">
        <f>HYPERLINK("https://klasma.github.io/Logging_0781/tillsyn/A 43369-2024 tillsynsbegäran.docx", "A 43369-2024")</f>
        <v/>
      </c>
      <c r="Y38">
        <f>HYPERLINK("https://klasma.github.io/Logging_0781/tillsynsmail/A 43369-2024 tillsynsbegäran mail.docx", "A 43369-2024")</f>
        <v/>
      </c>
    </row>
    <row r="39" ht="15" customHeight="1">
      <c r="A39" t="inlineStr">
        <is>
          <t>A 51425-2024</t>
        </is>
      </c>
      <c r="B39" s="1" t="n">
        <v>45604.4624537037</v>
      </c>
      <c r="C39" s="1" t="n">
        <v>46103</v>
      </c>
      <c r="D39" t="inlineStr">
        <is>
          <t>KRONOBERGS LÄN</t>
        </is>
      </c>
      <c r="E39" t="inlineStr">
        <is>
          <t>UPPVIDINGE</t>
        </is>
      </c>
      <c r="G39" t="n">
        <v>1.2</v>
      </c>
      <c r="H39" t="n">
        <v>2</v>
      </c>
      <c r="I39" t="n">
        <v>1</v>
      </c>
      <c r="J39" t="n">
        <v>1</v>
      </c>
      <c r="K39" t="n">
        <v>0</v>
      </c>
      <c r="L39" t="n">
        <v>0</v>
      </c>
      <c r="M39" t="n">
        <v>0</v>
      </c>
      <c r="N39" t="n">
        <v>0</v>
      </c>
      <c r="O39" t="n">
        <v>1</v>
      </c>
      <c r="P39" t="n">
        <v>0</v>
      </c>
      <c r="Q39" t="n">
        <v>3</v>
      </c>
      <c r="R39" s="2" t="inlineStr">
        <is>
          <t>Spillkråka
Rostfläck
Tjäder</t>
        </is>
      </c>
      <c r="S39">
        <f>HYPERLINK("https://klasma.github.io/Logging_0760/artfynd/A 51425-2024 artfynd.xlsx", "A 51425-2024")</f>
        <v/>
      </c>
      <c r="T39">
        <f>HYPERLINK("https://klasma.github.io/Logging_0760/kartor/A 51425-2024 karta.png", "A 51425-2024")</f>
        <v/>
      </c>
      <c r="V39">
        <f>HYPERLINK("https://klasma.github.io/Logging_0760/klagomål/A 51425-2024 FSC-klagomål.docx", "A 51425-2024")</f>
        <v/>
      </c>
      <c r="W39">
        <f>HYPERLINK("https://klasma.github.io/Logging_0760/klagomålsmail/A 51425-2024 FSC-klagomål mail.docx", "A 51425-2024")</f>
        <v/>
      </c>
      <c r="X39">
        <f>HYPERLINK("https://klasma.github.io/Logging_0760/tillsyn/A 51425-2024 tillsynsbegäran.docx", "A 51425-2024")</f>
        <v/>
      </c>
      <c r="Y39">
        <f>HYPERLINK("https://klasma.github.io/Logging_0760/tillsynsmail/A 51425-2024 tillsynsbegäran mail.docx", "A 51425-2024")</f>
        <v/>
      </c>
      <c r="Z39">
        <f>HYPERLINK("https://klasma.github.io/Logging_0760/fåglar/A 51425-2024 prioriterade fågelarter.docx", "A 51425-2024")</f>
        <v/>
      </c>
    </row>
    <row r="40" ht="15" customHeight="1">
      <c r="A40" t="inlineStr">
        <is>
          <t>A 45777-2023</t>
        </is>
      </c>
      <c r="B40" s="1" t="n">
        <v>45195</v>
      </c>
      <c r="C40" s="1" t="n">
        <v>46103</v>
      </c>
      <c r="D40" t="inlineStr">
        <is>
          <t>KRONOBERGS LÄN</t>
        </is>
      </c>
      <c r="E40" t="inlineStr">
        <is>
          <t>UPPVIDINGE</t>
        </is>
      </c>
      <c r="G40" t="n">
        <v>2.2</v>
      </c>
      <c r="H40" t="n">
        <v>2</v>
      </c>
      <c r="I40" t="n">
        <v>0</v>
      </c>
      <c r="J40" t="n">
        <v>2</v>
      </c>
      <c r="K40" t="n">
        <v>1</v>
      </c>
      <c r="L40" t="n">
        <v>0</v>
      </c>
      <c r="M40" t="n">
        <v>0</v>
      </c>
      <c r="N40" t="n">
        <v>0</v>
      </c>
      <c r="O40" t="n">
        <v>3</v>
      </c>
      <c r="P40" t="n">
        <v>1</v>
      </c>
      <c r="Q40" t="n">
        <v>3</v>
      </c>
      <c r="R40" s="2" t="inlineStr">
        <is>
          <t>Knärot
Spillkråka
Tallticka</t>
        </is>
      </c>
      <c r="S40">
        <f>HYPERLINK("https://klasma.github.io/Logging_0760/artfynd/A 45777-2023 artfynd.xlsx", "A 45777-2023")</f>
        <v/>
      </c>
      <c r="T40">
        <f>HYPERLINK("https://klasma.github.io/Logging_0760/kartor/A 45777-2023 karta.png", "A 45777-2023")</f>
        <v/>
      </c>
      <c r="U40">
        <f>HYPERLINK("https://klasma.github.io/Logging_0760/knärot/A 45777-2023 karta knärot.png", "A 45777-2023")</f>
        <v/>
      </c>
      <c r="V40">
        <f>HYPERLINK("https://klasma.github.io/Logging_0760/klagomål/A 45777-2023 FSC-klagomål.docx", "A 45777-2023")</f>
        <v/>
      </c>
      <c r="W40">
        <f>HYPERLINK("https://klasma.github.io/Logging_0760/klagomålsmail/A 45777-2023 FSC-klagomål mail.docx", "A 45777-2023")</f>
        <v/>
      </c>
      <c r="X40">
        <f>HYPERLINK("https://klasma.github.io/Logging_0760/tillsyn/A 45777-2023 tillsynsbegäran.docx", "A 45777-2023")</f>
        <v/>
      </c>
      <c r="Y40">
        <f>HYPERLINK("https://klasma.github.io/Logging_0760/tillsynsmail/A 45777-2023 tillsynsbegäran mail.docx", "A 45777-2023")</f>
        <v/>
      </c>
      <c r="Z40">
        <f>HYPERLINK("https://klasma.github.io/Logging_0760/fåglar/A 45777-2023 prioriterade fågelarter.docx", "A 45777-2023")</f>
        <v/>
      </c>
    </row>
    <row r="41" ht="15" customHeight="1">
      <c r="A41" t="inlineStr">
        <is>
          <t>A 33088-2025</t>
        </is>
      </c>
      <c r="B41" s="1" t="n">
        <v>45840.46792824074</v>
      </c>
      <c r="C41" s="1" t="n">
        <v>46103</v>
      </c>
      <c r="D41" t="inlineStr">
        <is>
          <t>KRONOBERGS LÄN</t>
        </is>
      </c>
      <c r="E41" t="inlineStr">
        <is>
          <t>UPPVIDINGE</t>
        </is>
      </c>
      <c r="G41" t="n">
        <v>2.6</v>
      </c>
      <c r="H41" t="n">
        <v>1</v>
      </c>
      <c r="I41" t="n">
        <v>2</v>
      </c>
      <c r="J41" t="n">
        <v>0</v>
      </c>
      <c r="K41" t="n">
        <v>0</v>
      </c>
      <c r="L41" t="n">
        <v>0</v>
      </c>
      <c r="M41" t="n">
        <v>0</v>
      </c>
      <c r="N41" t="n">
        <v>0</v>
      </c>
      <c r="O41" t="n">
        <v>0</v>
      </c>
      <c r="P41" t="n">
        <v>0</v>
      </c>
      <c r="Q41" t="n">
        <v>3</v>
      </c>
      <c r="R41" s="2" t="inlineStr">
        <is>
          <t>Fjällig taggsvamp s.str.
Skarp dropptaggsvamp
Blåsippa</t>
        </is>
      </c>
      <c r="S41">
        <f>HYPERLINK("https://klasma.github.io/Logging_0760/artfynd/A 33088-2025 artfynd.xlsx", "A 33088-2025")</f>
        <v/>
      </c>
      <c r="T41">
        <f>HYPERLINK("https://klasma.github.io/Logging_0760/kartor/A 33088-2025 karta.png", "A 33088-2025")</f>
        <v/>
      </c>
      <c r="V41">
        <f>HYPERLINK("https://klasma.github.io/Logging_0760/klagomål/A 33088-2025 FSC-klagomål.docx", "A 33088-2025")</f>
        <v/>
      </c>
      <c r="W41">
        <f>HYPERLINK("https://klasma.github.io/Logging_0760/klagomålsmail/A 33088-2025 FSC-klagomål mail.docx", "A 33088-2025")</f>
        <v/>
      </c>
      <c r="X41">
        <f>HYPERLINK("https://klasma.github.io/Logging_0760/tillsyn/A 33088-2025 tillsynsbegäran.docx", "A 33088-2025")</f>
        <v/>
      </c>
      <c r="Y41">
        <f>HYPERLINK("https://klasma.github.io/Logging_0760/tillsynsmail/A 33088-2025 tillsynsbegäran mail.docx", "A 33088-2025")</f>
        <v/>
      </c>
    </row>
    <row r="42" ht="15" customHeight="1">
      <c r="A42" t="inlineStr">
        <is>
          <t>A 27619-2022</t>
        </is>
      </c>
      <c r="B42" s="1" t="n">
        <v>44743</v>
      </c>
      <c r="C42" s="1" t="n">
        <v>46103</v>
      </c>
      <c r="D42" t="inlineStr">
        <is>
          <t>KRONOBERGS LÄN</t>
        </is>
      </c>
      <c r="E42" t="inlineStr">
        <is>
          <t>MARKARYD</t>
        </is>
      </c>
      <c r="G42" t="n">
        <v>25.7</v>
      </c>
      <c r="H42" t="n">
        <v>1</v>
      </c>
      <c r="I42" t="n">
        <v>2</v>
      </c>
      <c r="J42" t="n">
        <v>0</v>
      </c>
      <c r="K42" t="n">
        <v>0</v>
      </c>
      <c r="L42" t="n">
        <v>0</v>
      </c>
      <c r="M42" t="n">
        <v>0</v>
      </c>
      <c r="N42" t="n">
        <v>0</v>
      </c>
      <c r="O42" t="n">
        <v>0</v>
      </c>
      <c r="P42" t="n">
        <v>0</v>
      </c>
      <c r="Q42" t="n">
        <v>3</v>
      </c>
      <c r="R42" s="2" t="inlineStr">
        <is>
          <t>Blanksvart trämyra
Västlig hakmossa
Huggorm</t>
        </is>
      </c>
      <c r="S42">
        <f>HYPERLINK("https://klasma.github.io/Logging_0767/artfynd/A 27619-2022 artfynd.xlsx", "A 27619-2022")</f>
        <v/>
      </c>
      <c r="T42">
        <f>HYPERLINK("https://klasma.github.io/Logging_0767/kartor/A 27619-2022 karta.png", "A 27619-2022")</f>
        <v/>
      </c>
      <c r="V42">
        <f>HYPERLINK("https://klasma.github.io/Logging_0767/klagomål/A 27619-2022 FSC-klagomål.docx", "A 27619-2022")</f>
        <v/>
      </c>
      <c r="W42">
        <f>HYPERLINK("https://klasma.github.io/Logging_0767/klagomålsmail/A 27619-2022 FSC-klagomål mail.docx", "A 27619-2022")</f>
        <v/>
      </c>
      <c r="X42">
        <f>HYPERLINK("https://klasma.github.io/Logging_0767/tillsyn/A 27619-2022 tillsynsbegäran.docx", "A 27619-2022")</f>
        <v/>
      </c>
      <c r="Y42">
        <f>HYPERLINK("https://klasma.github.io/Logging_0767/tillsynsmail/A 27619-2022 tillsynsbegäran mail.docx", "A 27619-2022")</f>
        <v/>
      </c>
    </row>
    <row r="43" ht="15" customHeight="1">
      <c r="A43" t="inlineStr">
        <is>
          <t>A 24339-2023</t>
        </is>
      </c>
      <c r="B43" s="1" t="n">
        <v>45081</v>
      </c>
      <c r="C43" s="1" t="n">
        <v>46103</v>
      </c>
      <c r="D43" t="inlineStr">
        <is>
          <t>KRONOBERGS LÄN</t>
        </is>
      </c>
      <c r="E43" t="inlineStr">
        <is>
          <t>VÄXJÖ</t>
        </is>
      </c>
      <c r="G43" t="n">
        <v>3</v>
      </c>
      <c r="H43" t="n">
        <v>3</v>
      </c>
      <c r="I43" t="n">
        <v>0</v>
      </c>
      <c r="J43" t="n">
        <v>1</v>
      </c>
      <c r="K43" t="n">
        <v>1</v>
      </c>
      <c r="L43" t="n">
        <v>0</v>
      </c>
      <c r="M43" t="n">
        <v>0</v>
      </c>
      <c r="N43" t="n">
        <v>0</v>
      </c>
      <c r="O43" t="n">
        <v>2</v>
      </c>
      <c r="P43" t="n">
        <v>1</v>
      </c>
      <c r="Q43" t="n">
        <v>3</v>
      </c>
      <c r="R43" s="2" t="inlineStr">
        <is>
          <t>Tofsvipa
Spillkråka
Huggorm</t>
        </is>
      </c>
      <c r="S43">
        <f>HYPERLINK("https://klasma.github.io/Logging_0780/artfynd/A 24339-2023 artfynd.xlsx", "A 24339-2023")</f>
        <v/>
      </c>
      <c r="T43">
        <f>HYPERLINK("https://klasma.github.io/Logging_0780/kartor/A 24339-2023 karta.png", "A 24339-2023")</f>
        <v/>
      </c>
      <c r="V43">
        <f>HYPERLINK("https://klasma.github.io/Logging_0780/klagomål/A 24339-2023 FSC-klagomål.docx", "A 24339-2023")</f>
        <v/>
      </c>
      <c r="W43">
        <f>HYPERLINK("https://klasma.github.io/Logging_0780/klagomålsmail/A 24339-2023 FSC-klagomål mail.docx", "A 24339-2023")</f>
        <v/>
      </c>
      <c r="X43">
        <f>HYPERLINK("https://klasma.github.io/Logging_0780/tillsyn/A 24339-2023 tillsynsbegäran.docx", "A 24339-2023")</f>
        <v/>
      </c>
      <c r="Y43">
        <f>HYPERLINK("https://klasma.github.io/Logging_0780/tillsynsmail/A 24339-2023 tillsynsbegäran mail.docx", "A 24339-2023")</f>
        <v/>
      </c>
      <c r="Z43">
        <f>HYPERLINK("https://klasma.github.io/Logging_0780/fåglar/A 24339-2023 prioriterade fågelarter.docx", "A 24339-2023")</f>
        <v/>
      </c>
    </row>
    <row r="44" ht="15" customHeight="1">
      <c r="A44" t="inlineStr">
        <is>
          <t>A 51450-2023</t>
        </is>
      </c>
      <c r="B44" s="1" t="n">
        <v>45215</v>
      </c>
      <c r="C44" s="1" t="n">
        <v>46103</v>
      </c>
      <c r="D44" t="inlineStr">
        <is>
          <t>KRONOBERGS LÄN</t>
        </is>
      </c>
      <c r="E44" t="inlineStr">
        <is>
          <t>ÄLMHULT</t>
        </is>
      </c>
      <c r="G44" t="n">
        <v>60.9</v>
      </c>
      <c r="H44" t="n">
        <v>0</v>
      </c>
      <c r="I44" t="n">
        <v>2</v>
      </c>
      <c r="J44" t="n">
        <v>1</v>
      </c>
      <c r="K44" t="n">
        <v>0</v>
      </c>
      <c r="L44" t="n">
        <v>0</v>
      </c>
      <c r="M44" t="n">
        <v>0</v>
      </c>
      <c r="N44" t="n">
        <v>0</v>
      </c>
      <c r="O44" t="n">
        <v>1</v>
      </c>
      <c r="P44" t="n">
        <v>0</v>
      </c>
      <c r="Q44" t="n">
        <v>3</v>
      </c>
      <c r="R44" s="2" t="inlineStr">
        <is>
          <t>Tallticka
Blåmossa
Stor revmossa</t>
        </is>
      </c>
      <c r="S44">
        <f>HYPERLINK("https://klasma.github.io/Logging_0765/artfynd/A 51450-2023 artfynd.xlsx", "A 51450-2023")</f>
        <v/>
      </c>
      <c r="T44">
        <f>HYPERLINK("https://klasma.github.io/Logging_0765/kartor/A 51450-2023 karta.png", "A 51450-2023")</f>
        <v/>
      </c>
      <c r="V44">
        <f>HYPERLINK("https://klasma.github.io/Logging_0765/klagomål/A 51450-2023 FSC-klagomål.docx", "A 51450-2023")</f>
        <v/>
      </c>
      <c r="W44">
        <f>HYPERLINK("https://klasma.github.io/Logging_0765/klagomålsmail/A 51450-2023 FSC-klagomål mail.docx", "A 51450-2023")</f>
        <v/>
      </c>
      <c r="X44">
        <f>HYPERLINK("https://klasma.github.io/Logging_0765/tillsyn/A 51450-2023 tillsynsbegäran.docx", "A 51450-2023")</f>
        <v/>
      </c>
      <c r="Y44">
        <f>HYPERLINK("https://klasma.github.io/Logging_0765/tillsynsmail/A 51450-2023 tillsynsbegäran mail.docx", "A 51450-2023")</f>
        <v/>
      </c>
    </row>
    <row r="45" ht="15" customHeight="1">
      <c r="A45" t="inlineStr">
        <is>
          <t>A 20623-2021</t>
        </is>
      </c>
      <c r="B45" s="1" t="n">
        <v>44315</v>
      </c>
      <c r="C45" s="1" t="n">
        <v>46103</v>
      </c>
      <c r="D45" t="inlineStr">
        <is>
          <t>KRONOBERGS LÄN</t>
        </is>
      </c>
      <c r="E45" t="inlineStr">
        <is>
          <t>UPPVIDINGE</t>
        </is>
      </c>
      <c r="G45" t="n">
        <v>12</v>
      </c>
      <c r="H45" t="n">
        <v>0</v>
      </c>
      <c r="I45" t="n">
        <v>0</v>
      </c>
      <c r="J45" t="n">
        <v>1</v>
      </c>
      <c r="K45" t="n">
        <v>1</v>
      </c>
      <c r="L45" t="n">
        <v>0</v>
      </c>
      <c r="M45" t="n">
        <v>0</v>
      </c>
      <c r="N45" t="n">
        <v>0</v>
      </c>
      <c r="O45" t="n">
        <v>2</v>
      </c>
      <c r="P45" t="n">
        <v>1</v>
      </c>
      <c r="Q45" t="n">
        <v>2</v>
      </c>
      <c r="R45" s="2" t="inlineStr">
        <is>
          <t>Åkerrättika
Solvända</t>
        </is>
      </c>
      <c r="S45">
        <f>HYPERLINK("https://klasma.github.io/Logging_0760/artfynd/A 20623-2021 artfynd.xlsx", "A 20623-2021")</f>
        <v/>
      </c>
      <c r="T45">
        <f>HYPERLINK("https://klasma.github.io/Logging_0760/kartor/A 20623-2021 karta.png", "A 20623-2021")</f>
        <v/>
      </c>
      <c r="V45">
        <f>HYPERLINK("https://klasma.github.io/Logging_0760/klagomål/A 20623-2021 FSC-klagomål.docx", "A 20623-2021")</f>
        <v/>
      </c>
      <c r="W45">
        <f>HYPERLINK("https://klasma.github.io/Logging_0760/klagomålsmail/A 20623-2021 FSC-klagomål mail.docx", "A 20623-2021")</f>
        <v/>
      </c>
      <c r="X45">
        <f>HYPERLINK("https://klasma.github.io/Logging_0760/tillsyn/A 20623-2021 tillsynsbegäran.docx", "A 20623-2021")</f>
        <v/>
      </c>
      <c r="Y45">
        <f>HYPERLINK("https://klasma.github.io/Logging_0760/tillsynsmail/A 20623-2021 tillsynsbegäran mail.docx", "A 20623-2021")</f>
        <v/>
      </c>
    </row>
    <row r="46" ht="15" customHeight="1">
      <c r="A46" t="inlineStr">
        <is>
          <t>A 25716-2021</t>
        </is>
      </c>
      <c r="B46" s="1" t="n">
        <v>44343</v>
      </c>
      <c r="C46" s="1" t="n">
        <v>46103</v>
      </c>
      <c r="D46" t="inlineStr">
        <is>
          <t>KRONOBERGS LÄN</t>
        </is>
      </c>
      <c r="E46" t="inlineStr">
        <is>
          <t>LJUNGBY</t>
        </is>
      </c>
      <c r="G46" t="n">
        <v>5.1</v>
      </c>
      <c r="H46" t="n">
        <v>2</v>
      </c>
      <c r="I46" t="n">
        <v>0</v>
      </c>
      <c r="J46" t="n">
        <v>0</v>
      </c>
      <c r="K46" t="n">
        <v>1</v>
      </c>
      <c r="L46" t="n">
        <v>0</v>
      </c>
      <c r="M46" t="n">
        <v>0</v>
      </c>
      <c r="N46" t="n">
        <v>0</v>
      </c>
      <c r="O46" t="n">
        <v>1</v>
      </c>
      <c r="P46" t="n">
        <v>1</v>
      </c>
      <c r="Q46" t="n">
        <v>2</v>
      </c>
      <c r="R46" s="2" t="inlineStr">
        <is>
          <t>Knärot
Äkta lopplummer</t>
        </is>
      </c>
      <c r="S46">
        <f>HYPERLINK("https://klasma.github.io/Logging_0781/artfynd/A 25716-2021 artfynd.xlsx", "A 25716-2021")</f>
        <v/>
      </c>
      <c r="T46">
        <f>HYPERLINK("https://klasma.github.io/Logging_0781/kartor/A 25716-2021 karta.png", "A 25716-2021")</f>
        <v/>
      </c>
      <c r="U46">
        <f>HYPERLINK("https://klasma.github.io/Logging_0781/knärot/A 25716-2021 karta knärot.png", "A 25716-2021")</f>
        <v/>
      </c>
      <c r="V46">
        <f>HYPERLINK("https://klasma.github.io/Logging_0781/klagomål/A 25716-2021 FSC-klagomål.docx", "A 25716-2021")</f>
        <v/>
      </c>
      <c r="W46">
        <f>HYPERLINK("https://klasma.github.io/Logging_0781/klagomålsmail/A 25716-2021 FSC-klagomål mail.docx", "A 25716-2021")</f>
        <v/>
      </c>
      <c r="X46">
        <f>HYPERLINK("https://klasma.github.io/Logging_0781/tillsyn/A 25716-2021 tillsynsbegäran.docx", "A 25716-2021")</f>
        <v/>
      </c>
      <c r="Y46">
        <f>HYPERLINK("https://klasma.github.io/Logging_0781/tillsynsmail/A 25716-2021 tillsynsbegäran mail.docx", "A 25716-2021")</f>
        <v/>
      </c>
    </row>
    <row r="47" ht="15" customHeight="1">
      <c r="A47" t="inlineStr">
        <is>
          <t>A 29179-2021</t>
        </is>
      </c>
      <c r="B47" s="1" t="n">
        <v>44358</v>
      </c>
      <c r="C47" s="1" t="n">
        <v>46103</v>
      </c>
      <c r="D47" t="inlineStr">
        <is>
          <t>KRONOBERGS LÄN</t>
        </is>
      </c>
      <c r="E47" t="inlineStr">
        <is>
          <t>VÄXJÖ</t>
        </is>
      </c>
      <c r="F47" t="inlineStr">
        <is>
          <t>Kyrkan</t>
        </is>
      </c>
      <c r="G47" t="n">
        <v>5.1</v>
      </c>
      <c r="H47" t="n">
        <v>2</v>
      </c>
      <c r="I47" t="n">
        <v>0</v>
      </c>
      <c r="J47" t="n">
        <v>1</v>
      </c>
      <c r="K47" t="n">
        <v>0</v>
      </c>
      <c r="L47" t="n">
        <v>0</v>
      </c>
      <c r="M47" t="n">
        <v>0</v>
      </c>
      <c r="N47" t="n">
        <v>0</v>
      </c>
      <c r="O47" t="n">
        <v>1</v>
      </c>
      <c r="P47" t="n">
        <v>0</v>
      </c>
      <c r="Q47" t="n">
        <v>2</v>
      </c>
      <c r="R47" s="2" t="inlineStr">
        <is>
          <t>Talltita
Sångsvan</t>
        </is>
      </c>
      <c r="S47">
        <f>HYPERLINK("https://klasma.github.io/Logging_0780/artfynd/A 29179-2021 artfynd.xlsx", "A 29179-2021")</f>
        <v/>
      </c>
      <c r="T47">
        <f>HYPERLINK("https://klasma.github.io/Logging_0780/kartor/A 29179-2021 karta.png", "A 29179-2021")</f>
        <v/>
      </c>
      <c r="V47">
        <f>HYPERLINK("https://klasma.github.io/Logging_0780/klagomål/A 29179-2021 FSC-klagomål.docx", "A 29179-2021")</f>
        <v/>
      </c>
      <c r="W47">
        <f>HYPERLINK("https://klasma.github.io/Logging_0780/klagomålsmail/A 29179-2021 FSC-klagomål mail.docx", "A 29179-2021")</f>
        <v/>
      </c>
      <c r="X47">
        <f>HYPERLINK("https://klasma.github.io/Logging_0780/tillsyn/A 29179-2021 tillsynsbegäran.docx", "A 29179-2021")</f>
        <v/>
      </c>
      <c r="Y47">
        <f>HYPERLINK("https://klasma.github.io/Logging_0780/tillsynsmail/A 29179-2021 tillsynsbegäran mail.docx", "A 29179-2021")</f>
        <v/>
      </c>
      <c r="Z47">
        <f>HYPERLINK("https://klasma.github.io/Logging_0780/fåglar/A 29179-2021 prioriterade fågelarter.docx", "A 29179-2021")</f>
        <v/>
      </c>
    </row>
    <row r="48" ht="15" customHeight="1">
      <c r="A48" t="inlineStr">
        <is>
          <t>A 49727-2021</t>
        </is>
      </c>
      <c r="B48" s="1" t="n">
        <v>44455</v>
      </c>
      <c r="C48" s="1" t="n">
        <v>46103</v>
      </c>
      <c r="D48" t="inlineStr">
        <is>
          <t>KRONOBERGS LÄN</t>
        </is>
      </c>
      <c r="E48" t="inlineStr">
        <is>
          <t>UPPVIDINGE</t>
        </is>
      </c>
      <c r="G48" t="n">
        <v>1.2</v>
      </c>
      <c r="H48" t="n">
        <v>0</v>
      </c>
      <c r="I48" t="n">
        <v>2</v>
      </c>
      <c r="J48" t="n">
        <v>0</v>
      </c>
      <c r="K48" t="n">
        <v>0</v>
      </c>
      <c r="L48" t="n">
        <v>0</v>
      </c>
      <c r="M48" t="n">
        <v>0</v>
      </c>
      <c r="N48" t="n">
        <v>0</v>
      </c>
      <c r="O48" t="n">
        <v>0</v>
      </c>
      <c r="P48" t="n">
        <v>0</v>
      </c>
      <c r="Q48" t="n">
        <v>2</v>
      </c>
      <c r="R48" s="2" t="inlineStr">
        <is>
          <t>Fjällig taggsvamp s.str.
Grönpyrola</t>
        </is>
      </c>
      <c r="S48">
        <f>HYPERLINK("https://klasma.github.io/Logging_0760/artfynd/A 49727-2021 artfynd.xlsx", "A 49727-2021")</f>
        <v/>
      </c>
      <c r="T48">
        <f>HYPERLINK("https://klasma.github.io/Logging_0760/kartor/A 49727-2021 karta.png", "A 49727-2021")</f>
        <v/>
      </c>
      <c r="V48">
        <f>HYPERLINK("https://klasma.github.io/Logging_0760/klagomål/A 49727-2021 FSC-klagomål.docx", "A 49727-2021")</f>
        <v/>
      </c>
      <c r="W48">
        <f>HYPERLINK("https://klasma.github.io/Logging_0760/klagomålsmail/A 49727-2021 FSC-klagomål mail.docx", "A 49727-2021")</f>
        <v/>
      </c>
      <c r="X48">
        <f>HYPERLINK("https://klasma.github.io/Logging_0760/tillsyn/A 49727-2021 tillsynsbegäran.docx", "A 49727-2021")</f>
        <v/>
      </c>
      <c r="Y48">
        <f>HYPERLINK("https://klasma.github.io/Logging_0760/tillsynsmail/A 49727-2021 tillsynsbegäran mail.docx", "A 49727-2021")</f>
        <v/>
      </c>
    </row>
    <row r="49" ht="15" customHeight="1">
      <c r="A49" t="inlineStr">
        <is>
          <t>A 49737-2022</t>
        </is>
      </c>
      <c r="B49" s="1" t="n">
        <v>44859</v>
      </c>
      <c r="C49" s="1" t="n">
        <v>46103</v>
      </c>
      <c r="D49" t="inlineStr">
        <is>
          <t>KRONOBERGS LÄN</t>
        </is>
      </c>
      <c r="E49" t="inlineStr">
        <is>
          <t>UPPVIDINGE</t>
        </is>
      </c>
      <c r="G49" t="n">
        <v>2</v>
      </c>
      <c r="H49" t="n">
        <v>0</v>
      </c>
      <c r="I49" t="n">
        <v>0</v>
      </c>
      <c r="J49" t="n">
        <v>1</v>
      </c>
      <c r="K49" t="n">
        <v>1</v>
      </c>
      <c r="L49" t="n">
        <v>0</v>
      </c>
      <c r="M49" t="n">
        <v>0</v>
      </c>
      <c r="N49" t="n">
        <v>0</v>
      </c>
      <c r="O49" t="n">
        <v>2</v>
      </c>
      <c r="P49" t="n">
        <v>1</v>
      </c>
      <c r="Q49" t="n">
        <v>2</v>
      </c>
      <c r="R49" s="2" t="inlineStr">
        <is>
          <t>Slåttergubbe
Spindelört</t>
        </is>
      </c>
      <c r="S49">
        <f>HYPERLINK("https://klasma.github.io/Logging_0760/artfynd/A 49737-2022 artfynd.xlsx", "A 49737-2022")</f>
        <v/>
      </c>
      <c r="T49">
        <f>HYPERLINK("https://klasma.github.io/Logging_0760/kartor/A 49737-2022 karta.png", "A 49737-2022")</f>
        <v/>
      </c>
      <c r="V49">
        <f>HYPERLINK("https://klasma.github.io/Logging_0760/klagomål/A 49737-2022 FSC-klagomål.docx", "A 49737-2022")</f>
        <v/>
      </c>
      <c r="W49">
        <f>HYPERLINK("https://klasma.github.io/Logging_0760/klagomålsmail/A 49737-2022 FSC-klagomål mail.docx", "A 49737-2022")</f>
        <v/>
      </c>
      <c r="X49">
        <f>HYPERLINK("https://klasma.github.io/Logging_0760/tillsyn/A 49737-2022 tillsynsbegäran.docx", "A 49737-2022")</f>
        <v/>
      </c>
      <c r="Y49">
        <f>HYPERLINK("https://klasma.github.io/Logging_0760/tillsynsmail/A 49737-2022 tillsynsbegäran mail.docx", "A 49737-2022")</f>
        <v/>
      </c>
    </row>
    <row r="50" ht="15" customHeight="1">
      <c r="A50" t="inlineStr">
        <is>
          <t>A 4825-2022</t>
        </is>
      </c>
      <c r="B50" s="1" t="n">
        <v>44592</v>
      </c>
      <c r="C50" s="1" t="n">
        <v>46103</v>
      </c>
      <c r="D50" t="inlineStr">
        <is>
          <t>KRONOBERGS LÄN</t>
        </is>
      </c>
      <c r="E50" t="inlineStr">
        <is>
          <t>ALVESTA</t>
        </is>
      </c>
      <c r="G50" t="n">
        <v>6.7</v>
      </c>
      <c r="H50" t="n">
        <v>1</v>
      </c>
      <c r="I50" t="n">
        <v>1</v>
      </c>
      <c r="J50" t="n">
        <v>1</v>
      </c>
      <c r="K50" t="n">
        <v>0</v>
      </c>
      <c r="L50" t="n">
        <v>0</v>
      </c>
      <c r="M50" t="n">
        <v>0</v>
      </c>
      <c r="N50" t="n">
        <v>0</v>
      </c>
      <c r="O50" t="n">
        <v>1</v>
      </c>
      <c r="P50" t="n">
        <v>0</v>
      </c>
      <c r="Q50" t="n">
        <v>2</v>
      </c>
      <c r="R50" s="2" t="inlineStr">
        <is>
          <t>Spillkråka
Blåmossa</t>
        </is>
      </c>
      <c r="S50">
        <f>HYPERLINK("https://klasma.github.io/Logging_0764/artfynd/A 4825-2022 artfynd.xlsx", "A 4825-2022")</f>
        <v/>
      </c>
      <c r="T50">
        <f>HYPERLINK("https://klasma.github.io/Logging_0764/kartor/A 4825-2022 karta.png", "A 4825-2022")</f>
        <v/>
      </c>
      <c r="V50">
        <f>HYPERLINK("https://klasma.github.io/Logging_0764/klagomål/A 4825-2022 FSC-klagomål.docx", "A 4825-2022")</f>
        <v/>
      </c>
      <c r="W50">
        <f>HYPERLINK("https://klasma.github.io/Logging_0764/klagomålsmail/A 4825-2022 FSC-klagomål mail.docx", "A 4825-2022")</f>
        <v/>
      </c>
      <c r="X50">
        <f>HYPERLINK("https://klasma.github.io/Logging_0764/tillsyn/A 4825-2022 tillsynsbegäran.docx", "A 4825-2022")</f>
        <v/>
      </c>
      <c r="Y50">
        <f>HYPERLINK("https://klasma.github.io/Logging_0764/tillsynsmail/A 4825-2022 tillsynsbegäran mail.docx", "A 4825-2022")</f>
        <v/>
      </c>
      <c r="Z50">
        <f>HYPERLINK("https://klasma.github.io/Logging_0764/fåglar/A 4825-2022 prioriterade fågelarter.docx", "A 4825-2022")</f>
        <v/>
      </c>
    </row>
    <row r="51" ht="15" customHeight="1">
      <c r="A51" t="inlineStr">
        <is>
          <t>A 39507-2022</t>
        </is>
      </c>
      <c r="B51" s="1" t="n">
        <v>44818</v>
      </c>
      <c r="C51" s="1" t="n">
        <v>46103</v>
      </c>
      <c r="D51" t="inlineStr">
        <is>
          <t>KRONOBERGS LÄN</t>
        </is>
      </c>
      <c r="E51" t="inlineStr">
        <is>
          <t>MARKARYD</t>
        </is>
      </c>
      <c r="F51" t="inlineStr">
        <is>
          <t>Kommuner</t>
        </is>
      </c>
      <c r="G51" t="n">
        <v>12.5</v>
      </c>
      <c r="H51" t="n">
        <v>0</v>
      </c>
      <c r="I51" t="n">
        <v>2</v>
      </c>
      <c r="J51" t="n">
        <v>0</v>
      </c>
      <c r="K51" t="n">
        <v>0</v>
      </c>
      <c r="L51" t="n">
        <v>0</v>
      </c>
      <c r="M51" t="n">
        <v>0</v>
      </c>
      <c r="N51" t="n">
        <v>0</v>
      </c>
      <c r="O51" t="n">
        <v>0</v>
      </c>
      <c r="P51" t="n">
        <v>0</v>
      </c>
      <c r="Q51" t="n">
        <v>2</v>
      </c>
      <c r="R51" s="2" t="inlineStr">
        <is>
          <t>Havstulpanlav
Klippfrullania</t>
        </is>
      </c>
      <c r="S51">
        <f>HYPERLINK("https://klasma.github.io/Logging_0767/artfynd/A 39507-2022 artfynd.xlsx", "A 39507-2022")</f>
        <v/>
      </c>
      <c r="T51">
        <f>HYPERLINK("https://klasma.github.io/Logging_0767/kartor/A 39507-2022 karta.png", "A 39507-2022")</f>
        <v/>
      </c>
      <c r="V51">
        <f>HYPERLINK("https://klasma.github.io/Logging_0767/klagomål/A 39507-2022 FSC-klagomål.docx", "A 39507-2022")</f>
        <v/>
      </c>
      <c r="W51">
        <f>HYPERLINK("https://klasma.github.io/Logging_0767/klagomålsmail/A 39507-2022 FSC-klagomål mail.docx", "A 39507-2022")</f>
        <v/>
      </c>
      <c r="X51">
        <f>HYPERLINK("https://klasma.github.io/Logging_0767/tillsyn/A 39507-2022 tillsynsbegäran.docx", "A 39507-2022")</f>
        <v/>
      </c>
      <c r="Y51">
        <f>HYPERLINK("https://klasma.github.io/Logging_0767/tillsynsmail/A 39507-2022 tillsynsbegäran mail.docx", "A 39507-2022")</f>
        <v/>
      </c>
    </row>
    <row r="52" ht="15" customHeight="1">
      <c r="A52" t="inlineStr">
        <is>
          <t>A 36046-2024</t>
        </is>
      </c>
      <c r="B52" s="1" t="n">
        <v>45533</v>
      </c>
      <c r="C52" s="1" t="n">
        <v>46103</v>
      </c>
      <c r="D52" t="inlineStr">
        <is>
          <t>KRONOBERGS LÄN</t>
        </is>
      </c>
      <c r="E52" t="inlineStr">
        <is>
          <t>LJUNGBY</t>
        </is>
      </c>
      <c r="G52" t="n">
        <v>4</v>
      </c>
      <c r="H52" t="n">
        <v>0</v>
      </c>
      <c r="I52" t="n">
        <v>1</v>
      </c>
      <c r="J52" t="n">
        <v>1</v>
      </c>
      <c r="K52" t="n">
        <v>0</v>
      </c>
      <c r="L52" t="n">
        <v>0</v>
      </c>
      <c r="M52" t="n">
        <v>0</v>
      </c>
      <c r="N52" t="n">
        <v>0</v>
      </c>
      <c r="O52" t="n">
        <v>1</v>
      </c>
      <c r="P52" t="n">
        <v>0</v>
      </c>
      <c r="Q52" t="n">
        <v>2</v>
      </c>
      <c r="R52" s="2" t="inlineStr">
        <is>
          <t>Brunpudrad nållav
Brandticka</t>
        </is>
      </c>
      <c r="S52">
        <f>HYPERLINK("https://klasma.github.io/Logging_0781/artfynd/A 36046-2024 artfynd.xlsx", "A 36046-2024")</f>
        <v/>
      </c>
      <c r="T52">
        <f>HYPERLINK("https://klasma.github.io/Logging_0781/kartor/A 36046-2024 karta.png", "A 36046-2024")</f>
        <v/>
      </c>
      <c r="V52">
        <f>HYPERLINK("https://klasma.github.io/Logging_0781/klagomål/A 36046-2024 FSC-klagomål.docx", "A 36046-2024")</f>
        <v/>
      </c>
      <c r="W52">
        <f>HYPERLINK("https://klasma.github.io/Logging_0781/klagomålsmail/A 36046-2024 FSC-klagomål mail.docx", "A 36046-2024")</f>
        <v/>
      </c>
      <c r="X52">
        <f>HYPERLINK("https://klasma.github.io/Logging_0781/tillsyn/A 36046-2024 tillsynsbegäran.docx", "A 36046-2024")</f>
        <v/>
      </c>
      <c r="Y52">
        <f>HYPERLINK("https://klasma.github.io/Logging_0781/tillsynsmail/A 36046-2024 tillsynsbegäran mail.docx", "A 36046-2024")</f>
        <v/>
      </c>
    </row>
    <row r="53" ht="15" customHeight="1">
      <c r="A53" t="inlineStr">
        <is>
          <t>A 42930-2022</t>
        </is>
      </c>
      <c r="B53" s="1" t="n">
        <v>44833</v>
      </c>
      <c r="C53" s="1" t="n">
        <v>46103</v>
      </c>
      <c r="D53" t="inlineStr">
        <is>
          <t>KRONOBERGS LÄN</t>
        </is>
      </c>
      <c r="E53" t="inlineStr">
        <is>
          <t>UPPVIDINGE</t>
        </is>
      </c>
      <c r="F53" t="inlineStr">
        <is>
          <t>Sveaskog</t>
        </is>
      </c>
      <c r="G53" t="n">
        <v>1.1</v>
      </c>
      <c r="H53" t="n">
        <v>1</v>
      </c>
      <c r="I53" t="n">
        <v>0</v>
      </c>
      <c r="J53" t="n">
        <v>1</v>
      </c>
      <c r="K53" t="n">
        <v>0</v>
      </c>
      <c r="L53" t="n">
        <v>0</v>
      </c>
      <c r="M53" t="n">
        <v>0</v>
      </c>
      <c r="N53" t="n">
        <v>0</v>
      </c>
      <c r="O53" t="n">
        <v>1</v>
      </c>
      <c r="P53" t="n">
        <v>0</v>
      </c>
      <c r="Q53" t="n">
        <v>2</v>
      </c>
      <c r="R53" s="2" t="inlineStr">
        <is>
          <t>Solvända
Fläcknycklar</t>
        </is>
      </c>
      <c r="S53">
        <f>HYPERLINK("https://klasma.github.io/Logging_0760/artfynd/A 42930-2022 artfynd.xlsx", "A 42930-2022")</f>
        <v/>
      </c>
      <c r="T53">
        <f>HYPERLINK("https://klasma.github.io/Logging_0760/kartor/A 42930-2022 karta.png", "A 42930-2022")</f>
        <v/>
      </c>
      <c r="V53">
        <f>HYPERLINK("https://klasma.github.io/Logging_0760/klagomål/A 42930-2022 FSC-klagomål.docx", "A 42930-2022")</f>
        <v/>
      </c>
      <c r="W53">
        <f>HYPERLINK("https://klasma.github.io/Logging_0760/klagomålsmail/A 42930-2022 FSC-klagomål mail.docx", "A 42930-2022")</f>
        <v/>
      </c>
      <c r="X53">
        <f>HYPERLINK("https://klasma.github.io/Logging_0760/tillsyn/A 42930-2022 tillsynsbegäran.docx", "A 42930-2022")</f>
        <v/>
      </c>
      <c r="Y53">
        <f>HYPERLINK("https://klasma.github.io/Logging_0760/tillsynsmail/A 42930-2022 tillsynsbegäran mail.docx", "A 42930-2022")</f>
        <v/>
      </c>
    </row>
    <row r="54" ht="15" customHeight="1">
      <c r="A54" t="inlineStr">
        <is>
          <t>A 69689-2021</t>
        </is>
      </c>
      <c r="B54" s="1" t="n">
        <v>44532</v>
      </c>
      <c r="C54" s="1" t="n">
        <v>46103</v>
      </c>
      <c r="D54" t="inlineStr">
        <is>
          <t>KRONOBERGS LÄN</t>
        </is>
      </c>
      <c r="E54" t="inlineStr">
        <is>
          <t>VÄXJÖ</t>
        </is>
      </c>
      <c r="F54" t="inlineStr">
        <is>
          <t>Övriga statliga verk och myndigheter</t>
        </is>
      </c>
      <c r="G54" t="n">
        <v>2.7</v>
      </c>
      <c r="H54" t="n">
        <v>2</v>
      </c>
      <c r="I54" t="n">
        <v>0</v>
      </c>
      <c r="J54" t="n">
        <v>1</v>
      </c>
      <c r="K54" t="n">
        <v>0</v>
      </c>
      <c r="L54" t="n">
        <v>0</v>
      </c>
      <c r="M54" t="n">
        <v>0</v>
      </c>
      <c r="N54" t="n">
        <v>0</v>
      </c>
      <c r="O54" t="n">
        <v>1</v>
      </c>
      <c r="P54" t="n">
        <v>0</v>
      </c>
      <c r="Q54" t="n">
        <v>2</v>
      </c>
      <c r="R54" s="2" t="inlineStr">
        <is>
          <t>Talltita
Hasselmus</t>
        </is>
      </c>
      <c r="S54">
        <f>HYPERLINK("https://klasma.github.io/Logging_0780/artfynd/A 69689-2021 artfynd.xlsx", "A 69689-2021")</f>
        <v/>
      </c>
      <c r="T54">
        <f>HYPERLINK("https://klasma.github.io/Logging_0780/kartor/A 69689-2021 karta.png", "A 69689-2021")</f>
        <v/>
      </c>
      <c r="V54">
        <f>HYPERLINK("https://klasma.github.io/Logging_0780/klagomål/A 69689-2021 FSC-klagomål.docx", "A 69689-2021")</f>
        <v/>
      </c>
      <c r="W54">
        <f>HYPERLINK("https://klasma.github.io/Logging_0780/klagomålsmail/A 69689-2021 FSC-klagomål mail.docx", "A 69689-2021")</f>
        <v/>
      </c>
      <c r="X54">
        <f>HYPERLINK("https://klasma.github.io/Logging_0780/tillsyn/A 69689-2021 tillsynsbegäran.docx", "A 69689-2021")</f>
        <v/>
      </c>
      <c r="Y54">
        <f>HYPERLINK("https://klasma.github.io/Logging_0780/tillsynsmail/A 69689-2021 tillsynsbegäran mail.docx", "A 69689-2021")</f>
        <v/>
      </c>
      <c r="Z54">
        <f>HYPERLINK("https://klasma.github.io/Logging_0780/fåglar/A 69689-2021 prioriterade fågelarter.docx", "A 69689-2021")</f>
        <v/>
      </c>
    </row>
    <row r="55" ht="15" customHeight="1">
      <c r="A55" t="inlineStr">
        <is>
          <t>A 32944-2024</t>
        </is>
      </c>
      <c r="B55" s="1" t="n">
        <v>45517.34768518519</v>
      </c>
      <c r="C55" s="1" t="n">
        <v>46103</v>
      </c>
      <c r="D55" t="inlineStr">
        <is>
          <t>KRONOBERGS LÄN</t>
        </is>
      </c>
      <c r="E55" t="inlineStr">
        <is>
          <t>UPPVIDINGE</t>
        </is>
      </c>
      <c r="G55" t="n">
        <v>7.9</v>
      </c>
      <c r="H55" t="n">
        <v>1</v>
      </c>
      <c r="I55" t="n">
        <v>1</v>
      </c>
      <c r="J55" t="n">
        <v>0</v>
      </c>
      <c r="K55" t="n">
        <v>0</v>
      </c>
      <c r="L55" t="n">
        <v>0</v>
      </c>
      <c r="M55" t="n">
        <v>0</v>
      </c>
      <c r="N55" t="n">
        <v>0</v>
      </c>
      <c r="O55" t="n">
        <v>0</v>
      </c>
      <c r="P55" t="n">
        <v>0</v>
      </c>
      <c r="Q55" t="n">
        <v>2</v>
      </c>
      <c r="R55" s="2" t="inlineStr">
        <is>
          <t>Blåmossa
Revlummer</t>
        </is>
      </c>
      <c r="S55">
        <f>HYPERLINK("https://klasma.github.io/Logging_0760/artfynd/A 32944-2024 artfynd.xlsx", "A 32944-2024")</f>
        <v/>
      </c>
      <c r="T55">
        <f>HYPERLINK("https://klasma.github.io/Logging_0760/kartor/A 32944-2024 karta.png", "A 32944-2024")</f>
        <v/>
      </c>
      <c r="V55">
        <f>HYPERLINK("https://klasma.github.io/Logging_0760/klagomål/A 32944-2024 FSC-klagomål.docx", "A 32944-2024")</f>
        <v/>
      </c>
      <c r="W55">
        <f>HYPERLINK("https://klasma.github.io/Logging_0760/klagomålsmail/A 32944-2024 FSC-klagomål mail.docx", "A 32944-2024")</f>
        <v/>
      </c>
      <c r="X55">
        <f>HYPERLINK("https://klasma.github.io/Logging_0760/tillsyn/A 32944-2024 tillsynsbegäran.docx", "A 32944-2024")</f>
        <v/>
      </c>
      <c r="Y55">
        <f>HYPERLINK("https://klasma.github.io/Logging_0760/tillsynsmail/A 32944-2024 tillsynsbegäran mail.docx", "A 32944-2024")</f>
        <v/>
      </c>
    </row>
    <row r="56" ht="15" customHeight="1">
      <c r="A56" t="inlineStr">
        <is>
          <t>A 70221-2021</t>
        </is>
      </c>
      <c r="B56" s="1" t="n">
        <v>44535</v>
      </c>
      <c r="C56" s="1" t="n">
        <v>46103</v>
      </c>
      <c r="D56" t="inlineStr">
        <is>
          <t>KRONOBERGS LÄN</t>
        </is>
      </c>
      <c r="E56" t="inlineStr">
        <is>
          <t>ALVESTA</t>
        </is>
      </c>
      <c r="G56" t="n">
        <v>1.1</v>
      </c>
      <c r="H56" t="n">
        <v>0</v>
      </c>
      <c r="I56" t="n">
        <v>1</v>
      </c>
      <c r="J56" t="n">
        <v>1</v>
      </c>
      <c r="K56" t="n">
        <v>0</v>
      </c>
      <c r="L56" t="n">
        <v>0</v>
      </c>
      <c r="M56" t="n">
        <v>0</v>
      </c>
      <c r="N56" t="n">
        <v>0</v>
      </c>
      <c r="O56" t="n">
        <v>1</v>
      </c>
      <c r="P56" t="n">
        <v>0</v>
      </c>
      <c r="Q56" t="n">
        <v>2</v>
      </c>
      <c r="R56" s="2" t="inlineStr">
        <is>
          <t>Brunpudrad nållav
Gulnål</t>
        </is>
      </c>
      <c r="S56">
        <f>HYPERLINK("https://klasma.github.io/Logging_0764/artfynd/A 70221-2021 artfynd.xlsx", "A 70221-2021")</f>
        <v/>
      </c>
      <c r="T56">
        <f>HYPERLINK("https://klasma.github.io/Logging_0764/kartor/A 70221-2021 karta.png", "A 70221-2021")</f>
        <v/>
      </c>
      <c r="V56">
        <f>HYPERLINK("https://klasma.github.io/Logging_0764/klagomål/A 70221-2021 FSC-klagomål.docx", "A 70221-2021")</f>
        <v/>
      </c>
      <c r="W56">
        <f>HYPERLINK("https://klasma.github.io/Logging_0764/klagomålsmail/A 70221-2021 FSC-klagomål mail.docx", "A 70221-2021")</f>
        <v/>
      </c>
      <c r="X56">
        <f>HYPERLINK("https://klasma.github.io/Logging_0764/tillsyn/A 70221-2021 tillsynsbegäran.docx", "A 70221-2021")</f>
        <v/>
      </c>
      <c r="Y56">
        <f>HYPERLINK("https://klasma.github.io/Logging_0764/tillsynsmail/A 70221-2021 tillsynsbegäran mail.docx", "A 70221-2021")</f>
        <v/>
      </c>
    </row>
    <row r="57" ht="15" customHeight="1">
      <c r="A57" t="inlineStr">
        <is>
          <t>A 15743-2024</t>
        </is>
      </c>
      <c r="B57" s="1" t="n">
        <v>45404.55137731481</v>
      </c>
      <c r="C57" s="1" t="n">
        <v>46103</v>
      </c>
      <c r="D57" t="inlineStr">
        <is>
          <t>KRONOBERGS LÄN</t>
        </is>
      </c>
      <c r="E57" t="inlineStr">
        <is>
          <t>UPPVIDINGE</t>
        </is>
      </c>
      <c r="G57" t="n">
        <v>5.8</v>
      </c>
      <c r="H57" t="n">
        <v>1</v>
      </c>
      <c r="I57" t="n">
        <v>1</v>
      </c>
      <c r="J57" t="n">
        <v>0</v>
      </c>
      <c r="K57" t="n">
        <v>0</v>
      </c>
      <c r="L57" t="n">
        <v>0</v>
      </c>
      <c r="M57" t="n">
        <v>0</v>
      </c>
      <c r="N57" t="n">
        <v>0</v>
      </c>
      <c r="O57" t="n">
        <v>0</v>
      </c>
      <c r="P57" t="n">
        <v>0</v>
      </c>
      <c r="Q57" t="n">
        <v>2</v>
      </c>
      <c r="R57" s="2" t="inlineStr">
        <is>
          <t>Grönpyrola
Mattlummer</t>
        </is>
      </c>
      <c r="S57">
        <f>HYPERLINK("https://klasma.github.io/Logging_0760/artfynd/A 15743-2024 artfynd.xlsx", "A 15743-2024")</f>
        <v/>
      </c>
      <c r="T57">
        <f>HYPERLINK("https://klasma.github.io/Logging_0760/kartor/A 15743-2024 karta.png", "A 15743-2024")</f>
        <v/>
      </c>
      <c r="V57">
        <f>HYPERLINK("https://klasma.github.io/Logging_0760/klagomål/A 15743-2024 FSC-klagomål.docx", "A 15743-2024")</f>
        <v/>
      </c>
      <c r="W57">
        <f>HYPERLINK("https://klasma.github.io/Logging_0760/klagomålsmail/A 15743-2024 FSC-klagomål mail.docx", "A 15743-2024")</f>
        <v/>
      </c>
      <c r="X57">
        <f>HYPERLINK("https://klasma.github.io/Logging_0760/tillsyn/A 15743-2024 tillsynsbegäran.docx", "A 15743-2024")</f>
        <v/>
      </c>
      <c r="Y57">
        <f>HYPERLINK("https://klasma.github.io/Logging_0760/tillsynsmail/A 15743-2024 tillsynsbegäran mail.docx", "A 15743-2024")</f>
        <v/>
      </c>
    </row>
    <row r="58" ht="15" customHeight="1">
      <c r="A58" t="inlineStr">
        <is>
          <t>A 55971-2022</t>
        </is>
      </c>
      <c r="B58" s="1" t="n">
        <v>44889.44659722222</v>
      </c>
      <c r="C58" s="1" t="n">
        <v>46103</v>
      </c>
      <c r="D58" t="inlineStr">
        <is>
          <t>KRONOBERGS LÄN</t>
        </is>
      </c>
      <c r="E58" t="inlineStr">
        <is>
          <t>ÄLMHULT</t>
        </is>
      </c>
      <c r="G58" t="n">
        <v>0.5</v>
      </c>
      <c r="H58" t="n">
        <v>2</v>
      </c>
      <c r="I58" t="n">
        <v>0</v>
      </c>
      <c r="J58" t="n">
        <v>1</v>
      </c>
      <c r="K58" t="n">
        <v>0</v>
      </c>
      <c r="L58" t="n">
        <v>0</v>
      </c>
      <c r="M58" t="n">
        <v>0</v>
      </c>
      <c r="N58" t="n">
        <v>0</v>
      </c>
      <c r="O58" t="n">
        <v>1</v>
      </c>
      <c r="P58" t="n">
        <v>0</v>
      </c>
      <c r="Q58" t="n">
        <v>2</v>
      </c>
      <c r="R58" s="2" t="inlineStr">
        <is>
          <t>Gulsparv
Trädlärka</t>
        </is>
      </c>
      <c r="S58">
        <f>HYPERLINK("https://klasma.github.io/Logging_0765/artfynd/A 55971-2022 artfynd.xlsx", "A 55971-2022")</f>
        <v/>
      </c>
      <c r="T58">
        <f>HYPERLINK("https://klasma.github.io/Logging_0765/kartor/A 55971-2022 karta.png", "A 55971-2022")</f>
        <v/>
      </c>
      <c r="V58">
        <f>HYPERLINK("https://klasma.github.io/Logging_0765/klagomål/A 55971-2022 FSC-klagomål.docx", "A 55971-2022")</f>
        <v/>
      </c>
      <c r="W58">
        <f>HYPERLINK("https://klasma.github.io/Logging_0765/klagomålsmail/A 55971-2022 FSC-klagomål mail.docx", "A 55971-2022")</f>
        <v/>
      </c>
      <c r="X58">
        <f>HYPERLINK("https://klasma.github.io/Logging_0765/tillsyn/A 55971-2022 tillsynsbegäran.docx", "A 55971-2022")</f>
        <v/>
      </c>
      <c r="Y58">
        <f>HYPERLINK("https://klasma.github.io/Logging_0765/tillsynsmail/A 55971-2022 tillsynsbegäran mail.docx", "A 55971-2022")</f>
        <v/>
      </c>
      <c r="Z58">
        <f>HYPERLINK("https://klasma.github.io/Logging_0765/fåglar/A 55971-2022 prioriterade fågelarter.docx", "A 55971-2022")</f>
        <v/>
      </c>
    </row>
    <row r="59" ht="15" customHeight="1">
      <c r="A59" t="inlineStr">
        <is>
          <t>A 51447-2024</t>
        </is>
      </c>
      <c r="B59" s="1" t="n">
        <v>45604.48800925926</v>
      </c>
      <c r="C59" s="1" t="n">
        <v>46103</v>
      </c>
      <c r="D59" t="inlineStr">
        <is>
          <t>KRONOBERGS LÄN</t>
        </is>
      </c>
      <c r="E59" t="inlineStr">
        <is>
          <t>UPPVIDINGE</t>
        </is>
      </c>
      <c r="G59" t="n">
        <v>1.1</v>
      </c>
      <c r="H59" t="n">
        <v>1</v>
      </c>
      <c r="I59" t="n">
        <v>1</v>
      </c>
      <c r="J59" t="n">
        <v>0</v>
      </c>
      <c r="K59" t="n">
        <v>0</v>
      </c>
      <c r="L59" t="n">
        <v>0</v>
      </c>
      <c r="M59" t="n">
        <v>0</v>
      </c>
      <c r="N59" t="n">
        <v>0</v>
      </c>
      <c r="O59" t="n">
        <v>0</v>
      </c>
      <c r="P59" t="n">
        <v>0</v>
      </c>
      <c r="Q59" t="n">
        <v>2</v>
      </c>
      <c r="R59" s="2" t="inlineStr">
        <is>
          <t>Trådticka
Tjäder</t>
        </is>
      </c>
      <c r="S59">
        <f>HYPERLINK("https://klasma.github.io/Logging_0760/artfynd/A 51447-2024 artfynd.xlsx", "A 51447-2024")</f>
        <v/>
      </c>
      <c r="T59">
        <f>HYPERLINK("https://klasma.github.io/Logging_0760/kartor/A 51447-2024 karta.png", "A 51447-2024")</f>
        <v/>
      </c>
      <c r="V59">
        <f>HYPERLINK("https://klasma.github.io/Logging_0760/klagomål/A 51447-2024 FSC-klagomål.docx", "A 51447-2024")</f>
        <v/>
      </c>
      <c r="W59">
        <f>HYPERLINK("https://klasma.github.io/Logging_0760/klagomålsmail/A 51447-2024 FSC-klagomål mail.docx", "A 51447-2024")</f>
        <v/>
      </c>
      <c r="X59">
        <f>HYPERLINK("https://klasma.github.io/Logging_0760/tillsyn/A 51447-2024 tillsynsbegäran.docx", "A 51447-2024")</f>
        <v/>
      </c>
      <c r="Y59">
        <f>HYPERLINK("https://klasma.github.io/Logging_0760/tillsynsmail/A 51447-2024 tillsynsbegäran mail.docx", "A 51447-2024")</f>
        <v/>
      </c>
      <c r="Z59">
        <f>HYPERLINK("https://klasma.github.io/Logging_0760/fåglar/A 51447-2024 prioriterade fågelarter.docx", "A 51447-2024")</f>
        <v/>
      </c>
    </row>
    <row r="60" ht="15" customHeight="1">
      <c r="A60" t="inlineStr">
        <is>
          <t>A 45510-2023</t>
        </is>
      </c>
      <c r="B60" s="1" t="n">
        <v>45194</v>
      </c>
      <c r="C60" s="1" t="n">
        <v>46103</v>
      </c>
      <c r="D60" t="inlineStr">
        <is>
          <t>KRONOBERGS LÄN</t>
        </is>
      </c>
      <c r="E60" t="inlineStr">
        <is>
          <t>LJUNGBY</t>
        </is>
      </c>
      <c r="G60" t="n">
        <v>1.9</v>
      </c>
      <c r="H60" t="n">
        <v>0</v>
      </c>
      <c r="I60" t="n">
        <v>2</v>
      </c>
      <c r="J60" t="n">
        <v>0</v>
      </c>
      <c r="K60" t="n">
        <v>0</v>
      </c>
      <c r="L60" t="n">
        <v>0</v>
      </c>
      <c r="M60" t="n">
        <v>0</v>
      </c>
      <c r="N60" t="n">
        <v>0</v>
      </c>
      <c r="O60" t="n">
        <v>0</v>
      </c>
      <c r="P60" t="n">
        <v>0</v>
      </c>
      <c r="Q60" t="n">
        <v>2</v>
      </c>
      <c r="R60" s="2" t="inlineStr">
        <is>
          <t>Fällmossa
Klippfrullania</t>
        </is>
      </c>
      <c r="S60">
        <f>HYPERLINK("https://klasma.github.io/Logging_0781/artfynd/A 45510-2023 artfynd.xlsx", "A 45510-2023")</f>
        <v/>
      </c>
      <c r="T60">
        <f>HYPERLINK("https://klasma.github.io/Logging_0781/kartor/A 45510-2023 karta.png", "A 45510-2023")</f>
        <v/>
      </c>
      <c r="V60">
        <f>HYPERLINK("https://klasma.github.io/Logging_0781/klagomål/A 45510-2023 FSC-klagomål.docx", "A 45510-2023")</f>
        <v/>
      </c>
      <c r="W60">
        <f>HYPERLINK("https://klasma.github.io/Logging_0781/klagomålsmail/A 45510-2023 FSC-klagomål mail.docx", "A 45510-2023")</f>
        <v/>
      </c>
      <c r="X60">
        <f>HYPERLINK("https://klasma.github.io/Logging_0781/tillsyn/A 45510-2023 tillsynsbegäran.docx", "A 45510-2023")</f>
        <v/>
      </c>
      <c r="Y60">
        <f>HYPERLINK("https://klasma.github.io/Logging_0781/tillsynsmail/A 45510-2023 tillsynsbegäran mail.docx", "A 45510-2023")</f>
        <v/>
      </c>
    </row>
    <row r="61" ht="15" customHeight="1">
      <c r="A61" t="inlineStr">
        <is>
          <t>A 18959-2021</t>
        </is>
      </c>
      <c r="B61" s="1" t="n">
        <v>44308</v>
      </c>
      <c r="C61" s="1" t="n">
        <v>46103</v>
      </c>
      <c r="D61" t="inlineStr">
        <is>
          <t>KRONOBERGS LÄN</t>
        </is>
      </c>
      <c r="E61" t="inlineStr">
        <is>
          <t>LESSEBO</t>
        </is>
      </c>
      <c r="G61" t="n">
        <v>4.9</v>
      </c>
      <c r="H61" t="n">
        <v>0</v>
      </c>
      <c r="I61" t="n">
        <v>0</v>
      </c>
      <c r="J61" t="n">
        <v>2</v>
      </c>
      <c r="K61" t="n">
        <v>0</v>
      </c>
      <c r="L61" t="n">
        <v>0</v>
      </c>
      <c r="M61" t="n">
        <v>0</v>
      </c>
      <c r="N61" t="n">
        <v>0</v>
      </c>
      <c r="O61" t="n">
        <v>2</v>
      </c>
      <c r="P61" t="n">
        <v>0</v>
      </c>
      <c r="Q61" t="n">
        <v>2</v>
      </c>
      <c r="R61" s="2" t="inlineStr">
        <is>
          <t>Brunpudrad nållav
Tallticka</t>
        </is>
      </c>
      <c r="S61">
        <f>HYPERLINK("https://klasma.github.io/Logging_0761/artfynd/A 18959-2021 artfynd.xlsx", "A 18959-2021")</f>
        <v/>
      </c>
      <c r="T61">
        <f>HYPERLINK("https://klasma.github.io/Logging_0761/kartor/A 18959-2021 karta.png", "A 18959-2021")</f>
        <v/>
      </c>
      <c r="V61">
        <f>HYPERLINK("https://klasma.github.io/Logging_0761/klagomål/A 18959-2021 FSC-klagomål.docx", "A 18959-2021")</f>
        <v/>
      </c>
      <c r="W61">
        <f>HYPERLINK("https://klasma.github.io/Logging_0761/klagomålsmail/A 18959-2021 FSC-klagomål mail.docx", "A 18959-2021")</f>
        <v/>
      </c>
      <c r="X61">
        <f>HYPERLINK("https://klasma.github.io/Logging_0761/tillsyn/A 18959-2021 tillsynsbegäran.docx", "A 18959-2021")</f>
        <v/>
      </c>
      <c r="Y61">
        <f>HYPERLINK("https://klasma.github.io/Logging_0761/tillsynsmail/A 18959-2021 tillsynsbegäran mail.docx", "A 18959-2021")</f>
        <v/>
      </c>
    </row>
    <row r="62" ht="15" customHeight="1">
      <c r="A62" t="inlineStr">
        <is>
          <t>A 22545-2025</t>
        </is>
      </c>
      <c r="B62" s="1" t="n">
        <v>45788.45532407407</v>
      </c>
      <c r="C62" s="1" t="n">
        <v>46103</v>
      </c>
      <c r="D62" t="inlineStr">
        <is>
          <t>KRONOBERGS LÄN</t>
        </is>
      </c>
      <c r="E62" t="inlineStr">
        <is>
          <t>VÄXJÖ</t>
        </is>
      </c>
      <c r="G62" t="n">
        <v>1</v>
      </c>
      <c r="H62" t="n">
        <v>0</v>
      </c>
      <c r="I62" t="n">
        <v>2</v>
      </c>
      <c r="J62" t="n">
        <v>0</v>
      </c>
      <c r="K62" t="n">
        <v>0</v>
      </c>
      <c r="L62" t="n">
        <v>0</v>
      </c>
      <c r="M62" t="n">
        <v>0</v>
      </c>
      <c r="N62" t="n">
        <v>0</v>
      </c>
      <c r="O62" t="n">
        <v>0</v>
      </c>
      <c r="P62" t="n">
        <v>0</v>
      </c>
      <c r="Q62" t="n">
        <v>2</v>
      </c>
      <c r="R62" s="2" t="inlineStr">
        <is>
          <t>Thomsons trägnagare
Vågbandad barkbock</t>
        </is>
      </c>
      <c r="S62">
        <f>HYPERLINK("https://klasma.github.io/Logging_0780/artfynd/A 22545-2025 artfynd.xlsx", "A 22545-2025")</f>
        <v/>
      </c>
      <c r="T62">
        <f>HYPERLINK("https://klasma.github.io/Logging_0780/kartor/A 22545-2025 karta.png", "A 22545-2025")</f>
        <v/>
      </c>
      <c r="V62">
        <f>HYPERLINK("https://klasma.github.io/Logging_0780/klagomål/A 22545-2025 FSC-klagomål.docx", "A 22545-2025")</f>
        <v/>
      </c>
      <c r="W62">
        <f>HYPERLINK("https://klasma.github.io/Logging_0780/klagomålsmail/A 22545-2025 FSC-klagomål mail.docx", "A 22545-2025")</f>
        <v/>
      </c>
      <c r="X62">
        <f>HYPERLINK("https://klasma.github.io/Logging_0780/tillsyn/A 22545-2025 tillsynsbegäran.docx", "A 22545-2025")</f>
        <v/>
      </c>
      <c r="Y62">
        <f>HYPERLINK("https://klasma.github.io/Logging_0780/tillsynsmail/A 22545-2025 tillsynsbegäran mail.docx", "A 22545-2025")</f>
        <v/>
      </c>
    </row>
    <row r="63" ht="15" customHeight="1">
      <c r="A63" t="inlineStr">
        <is>
          <t>A 18207-2023</t>
        </is>
      </c>
      <c r="B63" s="1" t="n">
        <v>45041.38268518518</v>
      </c>
      <c r="C63" s="1" t="n">
        <v>46103</v>
      </c>
      <c r="D63" t="inlineStr">
        <is>
          <t>KRONOBERGS LÄN</t>
        </is>
      </c>
      <c r="E63" t="inlineStr">
        <is>
          <t>ALVESTA</t>
        </is>
      </c>
      <c r="G63" t="n">
        <v>2.1</v>
      </c>
      <c r="H63" t="n">
        <v>0</v>
      </c>
      <c r="I63" t="n">
        <v>0</v>
      </c>
      <c r="J63" t="n">
        <v>0</v>
      </c>
      <c r="K63" t="n">
        <v>1</v>
      </c>
      <c r="L63" t="n">
        <v>1</v>
      </c>
      <c r="M63" t="n">
        <v>0</v>
      </c>
      <c r="N63" t="n">
        <v>0</v>
      </c>
      <c r="O63" t="n">
        <v>2</v>
      </c>
      <c r="P63" t="n">
        <v>2</v>
      </c>
      <c r="Q63" t="n">
        <v>2</v>
      </c>
      <c r="R63" s="2" t="inlineStr">
        <is>
          <t>Ask
Gulvit blekspik</t>
        </is>
      </c>
      <c r="S63">
        <f>HYPERLINK("https://klasma.github.io/Logging_0764/artfynd/A 18207-2023 artfynd.xlsx", "A 18207-2023")</f>
        <v/>
      </c>
      <c r="T63">
        <f>HYPERLINK("https://klasma.github.io/Logging_0764/kartor/A 18207-2023 karta.png", "A 18207-2023")</f>
        <v/>
      </c>
      <c r="V63">
        <f>HYPERLINK("https://klasma.github.io/Logging_0764/klagomål/A 18207-2023 FSC-klagomål.docx", "A 18207-2023")</f>
        <v/>
      </c>
      <c r="W63">
        <f>HYPERLINK("https://klasma.github.io/Logging_0764/klagomålsmail/A 18207-2023 FSC-klagomål mail.docx", "A 18207-2023")</f>
        <v/>
      </c>
      <c r="X63">
        <f>HYPERLINK("https://klasma.github.io/Logging_0764/tillsyn/A 18207-2023 tillsynsbegäran.docx", "A 18207-2023")</f>
        <v/>
      </c>
      <c r="Y63">
        <f>HYPERLINK("https://klasma.github.io/Logging_0764/tillsynsmail/A 18207-2023 tillsynsbegäran mail.docx", "A 18207-2023")</f>
        <v/>
      </c>
    </row>
    <row r="64" ht="15" customHeight="1">
      <c r="A64" t="inlineStr">
        <is>
          <t>A 39307-2025</t>
        </is>
      </c>
      <c r="B64" s="1" t="n">
        <v>45889</v>
      </c>
      <c r="C64" s="1" t="n">
        <v>46103</v>
      </c>
      <c r="D64" t="inlineStr">
        <is>
          <t>KRONOBERGS LÄN</t>
        </is>
      </c>
      <c r="E64" t="inlineStr">
        <is>
          <t>UPPVIDINGE</t>
        </is>
      </c>
      <c r="G64" t="n">
        <v>4.3</v>
      </c>
      <c r="H64" t="n">
        <v>1</v>
      </c>
      <c r="I64" t="n">
        <v>1</v>
      </c>
      <c r="J64" t="n">
        <v>0</v>
      </c>
      <c r="K64" t="n">
        <v>1</v>
      </c>
      <c r="L64" t="n">
        <v>0</v>
      </c>
      <c r="M64" t="n">
        <v>0</v>
      </c>
      <c r="N64" t="n">
        <v>0</v>
      </c>
      <c r="O64" t="n">
        <v>1</v>
      </c>
      <c r="P64" t="n">
        <v>1</v>
      </c>
      <c r="Q64" t="n">
        <v>2</v>
      </c>
      <c r="R64" s="2" t="inlineStr">
        <is>
          <t>Knärot
Dropptaggsvamp</t>
        </is>
      </c>
      <c r="S64">
        <f>HYPERLINK("https://klasma.github.io/Logging_0760/artfynd/A 39307-2025 artfynd.xlsx", "A 39307-2025")</f>
        <v/>
      </c>
      <c r="T64">
        <f>HYPERLINK("https://klasma.github.io/Logging_0760/kartor/A 39307-2025 karta.png", "A 39307-2025")</f>
        <v/>
      </c>
      <c r="U64">
        <f>HYPERLINK("https://klasma.github.io/Logging_0760/knärot/A 39307-2025 karta knärot.png", "A 39307-2025")</f>
        <v/>
      </c>
      <c r="V64">
        <f>HYPERLINK("https://klasma.github.io/Logging_0760/klagomål/A 39307-2025 FSC-klagomål.docx", "A 39307-2025")</f>
        <v/>
      </c>
      <c r="W64">
        <f>HYPERLINK("https://klasma.github.io/Logging_0760/klagomålsmail/A 39307-2025 FSC-klagomål mail.docx", "A 39307-2025")</f>
        <v/>
      </c>
      <c r="X64">
        <f>HYPERLINK("https://klasma.github.io/Logging_0760/tillsyn/A 39307-2025 tillsynsbegäran.docx", "A 39307-2025")</f>
        <v/>
      </c>
      <c r="Y64">
        <f>HYPERLINK("https://klasma.github.io/Logging_0760/tillsynsmail/A 39307-2025 tillsynsbegäran mail.docx", "A 39307-2025")</f>
        <v/>
      </c>
    </row>
    <row r="65" ht="15" customHeight="1">
      <c r="A65" t="inlineStr">
        <is>
          <t>A 47480-2025</t>
        </is>
      </c>
      <c r="B65" s="1" t="n">
        <v>45930</v>
      </c>
      <c r="C65" s="1" t="n">
        <v>46103</v>
      </c>
      <c r="D65" t="inlineStr">
        <is>
          <t>KRONOBERGS LÄN</t>
        </is>
      </c>
      <c r="E65" t="inlineStr">
        <is>
          <t>UPPVIDINGE</t>
        </is>
      </c>
      <c r="F65" t="inlineStr">
        <is>
          <t>Kyrkan</t>
        </is>
      </c>
      <c r="G65" t="n">
        <v>3.8</v>
      </c>
      <c r="H65" t="n">
        <v>2</v>
      </c>
      <c r="I65" t="n">
        <v>2</v>
      </c>
      <c r="J65" t="n">
        <v>0</v>
      </c>
      <c r="K65" t="n">
        <v>0</v>
      </c>
      <c r="L65" t="n">
        <v>0</v>
      </c>
      <c r="M65" t="n">
        <v>0</v>
      </c>
      <c r="N65" t="n">
        <v>0</v>
      </c>
      <c r="O65" t="n">
        <v>0</v>
      </c>
      <c r="P65" t="n">
        <v>0</v>
      </c>
      <c r="Q65" t="n">
        <v>2</v>
      </c>
      <c r="R65" s="2" t="inlineStr">
        <is>
          <t>Korallrot
Spindelblomster</t>
        </is>
      </c>
      <c r="S65">
        <f>HYPERLINK("https://klasma.github.io/Logging_0760/artfynd/A 47480-2025 artfynd.xlsx", "A 47480-2025")</f>
        <v/>
      </c>
      <c r="T65">
        <f>HYPERLINK("https://klasma.github.io/Logging_0760/kartor/A 47480-2025 karta.png", "A 47480-2025")</f>
        <v/>
      </c>
      <c r="V65">
        <f>HYPERLINK("https://klasma.github.io/Logging_0760/klagomål/A 47480-2025 FSC-klagomål.docx", "A 47480-2025")</f>
        <v/>
      </c>
      <c r="W65">
        <f>HYPERLINK("https://klasma.github.io/Logging_0760/klagomålsmail/A 47480-2025 FSC-klagomål mail.docx", "A 47480-2025")</f>
        <v/>
      </c>
      <c r="X65">
        <f>HYPERLINK("https://klasma.github.io/Logging_0760/tillsyn/A 47480-2025 tillsynsbegäran.docx", "A 47480-2025")</f>
        <v/>
      </c>
      <c r="Y65">
        <f>HYPERLINK("https://klasma.github.io/Logging_0760/tillsynsmail/A 47480-2025 tillsynsbegäran mail.docx", "A 47480-2025")</f>
        <v/>
      </c>
    </row>
    <row r="66" ht="15" customHeight="1">
      <c r="A66" t="inlineStr">
        <is>
          <t>A 53849-2023</t>
        </is>
      </c>
      <c r="B66" s="1" t="n">
        <v>45224</v>
      </c>
      <c r="C66" s="1" t="n">
        <v>46103</v>
      </c>
      <c r="D66" t="inlineStr">
        <is>
          <t>KRONOBERGS LÄN</t>
        </is>
      </c>
      <c r="E66" t="inlineStr">
        <is>
          <t>LJUNGBY</t>
        </is>
      </c>
      <c r="F66" t="inlineStr">
        <is>
          <t>Kyrkan</t>
        </is>
      </c>
      <c r="G66" t="n">
        <v>1</v>
      </c>
      <c r="H66" t="n">
        <v>1</v>
      </c>
      <c r="I66" t="n">
        <v>0</v>
      </c>
      <c r="J66" t="n">
        <v>1</v>
      </c>
      <c r="K66" t="n">
        <v>0</v>
      </c>
      <c r="L66" t="n">
        <v>1</v>
      </c>
      <c r="M66" t="n">
        <v>0</v>
      </c>
      <c r="N66" t="n">
        <v>0</v>
      </c>
      <c r="O66" t="n">
        <v>2</v>
      </c>
      <c r="P66" t="n">
        <v>1</v>
      </c>
      <c r="Q66" t="n">
        <v>2</v>
      </c>
      <c r="R66" s="2" t="inlineStr">
        <is>
          <t>Vit stork
Igelkott</t>
        </is>
      </c>
      <c r="S66">
        <f>HYPERLINK("https://klasma.github.io/Logging_0781/artfynd/A 53849-2023 artfynd.xlsx", "A 53849-2023")</f>
        <v/>
      </c>
      <c r="T66">
        <f>HYPERLINK("https://klasma.github.io/Logging_0781/kartor/A 53849-2023 karta.png", "A 53849-2023")</f>
        <v/>
      </c>
      <c r="V66">
        <f>HYPERLINK("https://klasma.github.io/Logging_0781/klagomål/A 53849-2023 FSC-klagomål.docx", "A 53849-2023")</f>
        <v/>
      </c>
      <c r="W66">
        <f>HYPERLINK("https://klasma.github.io/Logging_0781/klagomålsmail/A 53849-2023 FSC-klagomål mail.docx", "A 53849-2023")</f>
        <v/>
      </c>
      <c r="X66">
        <f>HYPERLINK("https://klasma.github.io/Logging_0781/tillsyn/A 53849-2023 tillsynsbegäran.docx", "A 53849-2023")</f>
        <v/>
      </c>
      <c r="Y66">
        <f>HYPERLINK("https://klasma.github.io/Logging_0781/tillsynsmail/A 53849-2023 tillsynsbegäran mail.docx", "A 53849-2023")</f>
        <v/>
      </c>
    </row>
    <row r="67" ht="15" customHeight="1">
      <c r="A67" t="inlineStr">
        <is>
          <t>A 24024-2023</t>
        </is>
      </c>
      <c r="B67" s="1" t="n">
        <v>45078</v>
      </c>
      <c r="C67" s="1" t="n">
        <v>46103</v>
      </c>
      <c r="D67" t="inlineStr">
        <is>
          <t>KRONOBERGS LÄN</t>
        </is>
      </c>
      <c r="E67" t="inlineStr">
        <is>
          <t>LJUNGBY</t>
        </is>
      </c>
      <c r="G67" t="n">
        <v>3</v>
      </c>
      <c r="H67" t="n">
        <v>0</v>
      </c>
      <c r="I67" t="n">
        <v>2</v>
      </c>
      <c r="J67" t="n">
        <v>0</v>
      </c>
      <c r="K67" t="n">
        <v>0</v>
      </c>
      <c r="L67" t="n">
        <v>0</v>
      </c>
      <c r="M67" t="n">
        <v>0</v>
      </c>
      <c r="N67" t="n">
        <v>0</v>
      </c>
      <c r="O67" t="n">
        <v>0</v>
      </c>
      <c r="P67" t="n">
        <v>0</v>
      </c>
      <c r="Q67" t="n">
        <v>2</v>
      </c>
      <c r="R67" s="2" t="inlineStr">
        <is>
          <t>Fällmossa
Klippfrullania</t>
        </is>
      </c>
      <c r="S67">
        <f>HYPERLINK("https://klasma.github.io/Logging_0781/artfynd/A 24024-2023 artfynd.xlsx", "A 24024-2023")</f>
        <v/>
      </c>
      <c r="T67">
        <f>HYPERLINK("https://klasma.github.io/Logging_0781/kartor/A 24024-2023 karta.png", "A 24024-2023")</f>
        <v/>
      </c>
      <c r="V67">
        <f>HYPERLINK("https://klasma.github.io/Logging_0781/klagomål/A 24024-2023 FSC-klagomål.docx", "A 24024-2023")</f>
        <v/>
      </c>
      <c r="W67">
        <f>HYPERLINK("https://klasma.github.io/Logging_0781/klagomålsmail/A 24024-2023 FSC-klagomål mail.docx", "A 24024-2023")</f>
        <v/>
      </c>
      <c r="X67">
        <f>HYPERLINK("https://klasma.github.io/Logging_0781/tillsyn/A 24024-2023 tillsynsbegäran.docx", "A 24024-2023")</f>
        <v/>
      </c>
      <c r="Y67">
        <f>HYPERLINK("https://klasma.github.io/Logging_0781/tillsynsmail/A 24024-2023 tillsynsbegäran mail.docx", "A 24024-2023")</f>
        <v/>
      </c>
    </row>
    <row r="68" ht="15" customHeight="1">
      <c r="A68" t="inlineStr">
        <is>
          <t>A 51785-2025</t>
        </is>
      </c>
      <c r="B68" s="1" t="n">
        <v>45951</v>
      </c>
      <c r="C68" s="1" t="n">
        <v>46103</v>
      </c>
      <c r="D68" t="inlineStr">
        <is>
          <t>KRONOBERGS LÄN</t>
        </is>
      </c>
      <c r="E68" t="inlineStr">
        <is>
          <t>ALVESTA</t>
        </is>
      </c>
      <c r="G68" t="n">
        <v>24.5</v>
      </c>
      <c r="H68" t="n">
        <v>1</v>
      </c>
      <c r="I68" t="n">
        <v>0</v>
      </c>
      <c r="J68" t="n">
        <v>1</v>
      </c>
      <c r="K68" t="n">
        <v>0</v>
      </c>
      <c r="L68" t="n">
        <v>0</v>
      </c>
      <c r="M68" t="n">
        <v>0</v>
      </c>
      <c r="N68" t="n">
        <v>0</v>
      </c>
      <c r="O68" t="n">
        <v>1</v>
      </c>
      <c r="P68" t="n">
        <v>0</v>
      </c>
      <c r="Q68" t="n">
        <v>2</v>
      </c>
      <c r="R68" s="2" t="inlineStr">
        <is>
          <t>Borsttåg
Lopplummer (aggregat)</t>
        </is>
      </c>
      <c r="S68">
        <f>HYPERLINK("https://klasma.github.io/Logging_0764/artfynd/A 51785-2025 artfynd.xlsx", "A 51785-2025")</f>
        <v/>
      </c>
      <c r="T68">
        <f>HYPERLINK("https://klasma.github.io/Logging_0764/kartor/A 51785-2025 karta.png", "A 51785-2025")</f>
        <v/>
      </c>
      <c r="V68">
        <f>HYPERLINK("https://klasma.github.io/Logging_0764/klagomål/A 51785-2025 FSC-klagomål.docx", "A 51785-2025")</f>
        <v/>
      </c>
      <c r="W68">
        <f>HYPERLINK("https://klasma.github.io/Logging_0764/klagomålsmail/A 51785-2025 FSC-klagomål mail.docx", "A 51785-2025")</f>
        <v/>
      </c>
      <c r="X68">
        <f>HYPERLINK("https://klasma.github.io/Logging_0764/tillsyn/A 51785-2025 tillsynsbegäran.docx", "A 51785-2025")</f>
        <v/>
      </c>
      <c r="Y68">
        <f>HYPERLINK("https://klasma.github.io/Logging_0764/tillsynsmail/A 51785-2025 tillsynsbegäran mail.docx", "A 51785-2025")</f>
        <v/>
      </c>
    </row>
    <row r="69" ht="15" customHeight="1">
      <c r="A69" t="inlineStr">
        <is>
          <t>A 28168-2023</t>
        </is>
      </c>
      <c r="B69" s="1" t="n">
        <v>45099.51319444444</v>
      </c>
      <c r="C69" s="1" t="n">
        <v>46103</v>
      </c>
      <c r="D69" t="inlineStr">
        <is>
          <t>KRONOBERGS LÄN</t>
        </is>
      </c>
      <c r="E69" t="inlineStr">
        <is>
          <t>TINGSRYD</t>
        </is>
      </c>
      <c r="G69" t="n">
        <v>1.1</v>
      </c>
      <c r="H69" t="n">
        <v>0</v>
      </c>
      <c r="I69" t="n">
        <v>0</v>
      </c>
      <c r="J69" t="n">
        <v>2</v>
      </c>
      <c r="K69" t="n">
        <v>0</v>
      </c>
      <c r="L69" t="n">
        <v>0</v>
      </c>
      <c r="M69" t="n">
        <v>0</v>
      </c>
      <c r="N69" t="n">
        <v>0</v>
      </c>
      <c r="O69" t="n">
        <v>2</v>
      </c>
      <c r="P69" t="n">
        <v>0</v>
      </c>
      <c r="Q69" t="n">
        <v>2</v>
      </c>
      <c r="R69" s="2" t="inlineStr">
        <is>
          <t>Mörk dunört
Åkerkål</t>
        </is>
      </c>
      <c r="S69">
        <f>HYPERLINK("https://klasma.github.io/Logging_0763/artfynd/A 28168-2023 artfynd.xlsx", "A 28168-2023")</f>
        <v/>
      </c>
      <c r="T69">
        <f>HYPERLINK("https://klasma.github.io/Logging_0763/kartor/A 28168-2023 karta.png", "A 28168-2023")</f>
        <v/>
      </c>
      <c r="V69">
        <f>HYPERLINK("https://klasma.github.io/Logging_0763/klagomål/A 28168-2023 FSC-klagomål.docx", "A 28168-2023")</f>
        <v/>
      </c>
      <c r="W69">
        <f>HYPERLINK("https://klasma.github.io/Logging_0763/klagomålsmail/A 28168-2023 FSC-klagomål mail.docx", "A 28168-2023")</f>
        <v/>
      </c>
      <c r="X69">
        <f>HYPERLINK("https://klasma.github.io/Logging_0763/tillsyn/A 28168-2023 tillsynsbegäran.docx", "A 28168-2023")</f>
        <v/>
      </c>
      <c r="Y69">
        <f>HYPERLINK("https://klasma.github.io/Logging_0763/tillsynsmail/A 28168-2023 tillsynsbegäran mail.docx", "A 28168-2023")</f>
        <v/>
      </c>
    </row>
    <row r="70" ht="15" customHeight="1">
      <c r="A70" t="inlineStr">
        <is>
          <t>A 52544-2025</t>
        </is>
      </c>
      <c r="B70" s="1" t="n">
        <v>45954.55127314815</v>
      </c>
      <c r="C70" s="1" t="n">
        <v>46103</v>
      </c>
      <c r="D70" t="inlineStr">
        <is>
          <t>KRONOBERGS LÄN</t>
        </is>
      </c>
      <c r="E70" t="inlineStr">
        <is>
          <t>LESSEBO</t>
        </is>
      </c>
      <c r="F70" t="inlineStr">
        <is>
          <t>Sveaskog</t>
        </is>
      </c>
      <c r="G70" t="n">
        <v>4.6</v>
      </c>
      <c r="H70" t="n">
        <v>2</v>
      </c>
      <c r="I70" t="n">
        <v>0</v>
      </c>
      <c r="J70" t="n">
        <v>0</v>
      </c>
      <c r="K70" t="n">
        <v>0</v>
      </c>
      <c r="L70" t="n">
        <v>0</v>
      </c>
      <c r="M70" t="n">
        <v>0</v>
      </c>
      <c r="N70" t="n">
        <v>0</v>
      </c>
      <c r="O70" t="n">
        <v>0</v>
      </c>
      <c r="P70" t="n">
        <v>0</v>
      </c>
      <c r="Q70" t="n">
        <v>2</v>
      </c>
      <c r="R70" s="2" t="inlineStr">
        <is>
          <t>Grönsiska
Kungsfågel</t>
        </is>
      </c>
      <c r="S70">
        <f>HYPERLINK("https://klasma.github.io/Logging_0761/artfynd/A 52544-2025 artfynd.xlsx", "A 52544-2025")</f>
        <v/>
      </c>
      <c r="T70">
        <f>HYPERLINK("https://klasma.github.io/Logging_0761/kartor/A 52544-2025 karta.png", "A 52544-2025")</f>
        <v/>
      </c>
      <c r="V70">
        <f>HYPERLINK("https://klasma.github.io/Logging_0761/klagomål/A 52544-2025 FSC-klagomål.docx", "A 52544-2025")</f>
        <v/>
      </c>
      <c r="W70">
        <f>HYPERLINK("https://klasma.github.io/Logging_0761/klagomålsmail/A 52544-2025 FSC-klagomål mail.docx", "A 52544-2025")</f>
        <v/>
      </c>
      <c r="X70">
        <f>HYPERLINK("https://klasma.github.io/Logging_0761/tillsyn/A 52544-2025 tillsynsbegäran.docx", "A 52544-2025")</f>
        <v/>
      </c>
      <c r="Y70">
        <f>HYPERLINK("https://klasma.github.io/Logging_0761/tillsynsmail/A 52544-2025 tillsynsbegäran mail.docx", "A 52544-2025")</f>
        <v/>
      </c>
      <c r="Z70">
        <f>HYPERLINK("https://klasma.github.io/Logging_0761/fåglar/A 52544-2025 prioriterade fågelarter.docx", "A 52544-2025")</f>
        <v/>
      </c>
    </row>
    <row r="71" ht="15" customHeight="1">
      <c r="A71" t="inlineStr">
        <is>
          <t>A 1917-2023</t>
        </is>
      </c>
      <c r="B71" s="1" t="n">
        <v>44937</v>
      </c>
      <c r="C71" s="1" t="n">
        <v>46103</v>
      </c>
      <c r="D71" t="inlineStr">
        <is>
          <t>KRONOBERGS LÄN</t>
        </is>
      </c>
      <c r="E71" t="inlineStr">
        <is>
          <t>UPPVIDINGE</t>
        </is>
      </c>
      <c r="F71" t="inlineStr">
        <is>
          <t>Kommuner</t>
        </is>
      </c>
      <c r="G71" t="n">
        <v>9.1</v>
      </c>
      <c r="H71" t="n">
        <v>2</v>
      </c>
      <c r="I71" t="n">
        <v>0</v>
      </c>
      <c r="J71" t="n">
        <v>0</v>
      </c>
      <c r="K71" t="n">
        <v>0</v>
      </c>
      <c r="L71" t="n">
        <v>0</v>
      </c>
      <c r="M71" t="n">
        <v>0</v>
      </c>
      <c r="N71" t="n">
        <v>0</v>
      </c>
      <c r="O71" t="n">
        <v>0</v>
      </c>
      <c r="P71" t="n">
        <v>0</v>
      </c>
      <c r="Q71" t="n">
        <v>2</v>
      </c>
      <c r="R71" s="2" t="inlineStr">
        <is>
          <t>Skogsödla
Revlummer</t>
        </is>
      </c>
      <c r="S71">
        <f>HYPERLINK("https://klasma.github.io/Logging_0760/artfynd/A 1917-2023 artfynd.xlsx", "A 1917-2023")</f>
        <v/>
      </c>
      <c r="T71">
        <f>HYPERLINK("https://klasma.github.io/Logging_0760/kartor/A 1917-2023 karta.png", "A 1917-2023")</f>
        <v/>
      </c>
      <c r="V71">
        <f>HYPERLINK("https://klasma.github.io/Logging_0760/klagomål/A 1917-2023 FSC-klagomål.docx", "A 1917-2023")</f>
        <v/>
      </c>
      <c r="W71">
        <f>HYPERLINK("https://klasma.github.io/Logging_0760/klagomålsmail/A 1917-2023 FSC-klagomål mail.docx", "A 1917-2023")</f>
        <v/>
      </c>
      <c r="X71">
        <f>HYPERLINK("https://klasma.github.io/Logging_0760/tillsyn/A 1917-2023 tillsynsbegäran.docx", "A 1917-2023")</f>
        <v/>
      </c>
      <c r="Y71">
        <f>HYPERLINK("https://klasma.github.io/Logging_0760/tillsynsmail/A 1917-2023 tillsynsbegäran mail.docx", "A 1917-2023")</f>
        <v/>
      </c>
    </row>
    <row r="72" ht="15" customHeight="1">
      <c r="A72" t="inlineStr">
        <is>
          <t>A 5344-2026</t>
        </is>
      </c>
      <c r="B72" s="1" t="n">
        <v>46050.43190972223</v>
      </c>
      <c r="C72" s="1" t="n">
        <v>46103</v>
      </c>
      <c r="D72" t="inlineStr">
        <is>
          <t>KRONOBERGS LÄN</t>
        </is>
      </c>
      <c r="E72" t="inlineStr">
        <is>
          <t>TINGSRYD</t>
        </is>
      </c>
      <c r="G72" t="n">
        <v>2.5</v>
      </c>
      <c r="H72" t="n">
        <v>0</v>
      </c>
      <c r="I72" t="n">
        <v>2</v>
      </c>
      <c r="J72" t="n">
        <v>0</v>
      </c>
      <c r="K72" t="n">
        <v>0</v>
      </c>
      <c r="L72" t="n">
        <v>0</v>
      </c>
      <c r="M72" t="n">
        <v>0</v>
      </c>
      <c r="N72" t="n">
        <v>0</v>
      </c>
      <c r="O72" t="n">
        <v>0</v>
      </c>
      <c r="P72" t="n">
        <v>0</v>
      </c>
      <c r="Q72" t="n">
        <v>2</v>
      </c>
      <c r="R72" s="2" t="inlineStr">
        <is>
          <t>Svart trolldruva
Underviol</t>
        </is>
      </c>
      <c r="S72">
        <f>HYPERLINK("https://klasma.github.io/Logging_0763/artfynd/A 5344-2026 artfynd.xlsx", "A 5344-2026")</f>
        <v/>
      </c>
      <c r="T72">
        <f>HYPERLINK("https://klasma.github.io/Logging_0763/kartor/A 5344-2026 karta.png", "A 5344-2026")</f>
        <v/>
      </c>
      <c r="V72">
        <f>HYPERLINK("https://klasma.github.io/Logging_0763/klagomål/A 5344-2026 FSC-klagomål.docx", "A 5344-2026")</f>
        <v/>
      </c>
      <c r="W72">
        <f>HYPERLINK("https://klasma.github.io/Logging_0763/klagomålsmail/A 5344-2026 FSC-klagomål mail.docx", "A 5344-2026")</f>
        <v/>
      </c>
      <c r="X72">
        <f>HYPERLINK("https://klasma.github.io/Logging_0763/tillsyn/A 5344-2026 tillsynsbegäran.docx", "A 5344-2026")</f>
        <v/>
      </c>
      <c r="Y72">
        <f>HYPERLINK("https://klasma.github.io/Logging_0763/tillsynsmail/A 5344-2026 tillsynsbegäran mail.docx", "A 5344-2026")</f>
        <v/>
      </c>
    </row>
    <row r="73" ht="15" customHeight="1">
      <c r="A73" t="inlineStr">
        <is>
          <t>A 5721-2026</t>
        </is>
      </c>
      <c r="B73" s="1" t="n">
        <v>46051</v>
      </c>
      <c r="C73" s="1" t="n">
        <v>46103</v>
      </c>
      <c r="D73" t="inlineStr">
        <is>
          <t>KRONOBERGS LÄN</t>
        </is>
      </c>
      <c r="E73" t="inlineStr">
        <is>
          <t>UPPVIDINGE</t>
        </is>
      </c>
      <c r="G73" t="n">
        <v>2.6</v>
      </c>
      <c r="H73" t="n">
        <v>0</v>
      </c>
      <c r="I73" t="n">
        <v>0</v>
      </c>
      <c r="J73" t="n">
        <v>2</v>
      </c>
      <c r="K73" t="n">
        <v>0</v>
      </c>
      <c r="L73" t="n">
        <v>0</v>
      </c>
      <c r="M73" t="n">
        <v>0</v>
      </c>
      <c r="N73" t="n">
        <v>0</v>
      </c>
      <c r="O73" t="n">
        <v>2</v>
      </c>
      <c r="P73" t="n">
        <v>0</v>
      </c>
      <c r="Q73" t="n">
        <v>2</v>
      </c>
      <c r="R73" s="2" t="inlineStr">
        <is>
          <t>Solvända
Sommarfibbla</t>
        </is>
      </c>
      <c r="S73">
        <f>HYPERLINK("https://klasma.github.io/Logging_0760/artfynd/A 5721-2026 artfynd.xlsx", "A 5721-2026")</f>
        <v/>
      </c>
      <c r="T73">
        <f>HYPERLINK("https://klasma.github.io/Logging_0760/kartor/A 5721-2026 karta.png", "A 5721-2026")</f>
        <v/>
      </c>
      <c r="V73">
        <f>HYPERLINK("https://klasma.github.io/Logging_0760/klagomål/A 5721-2026 FSC-klagomål.docx", "A 5721-2026")</f>
        <v/>
      </c>
      <c r="W73">
        <f>HYPERLINK("https://klasma.github.io/Logging_0760/klagomålsmail/A 5721-2026 FSC-klagomål mail.docx", "A 5721-2026")</f>
        <v/>
      </c>
      <c r="X73">
        <f>HYPERLINK("https://klasma.github.io/Logging_0760/tillsyn/A 5721-2026 tillsynsbegäran.docx", "A 5721-2026")</f>
        <v/>
      </c>
      <c r="Y73">
        <f>HYPERLINK("https://klasma.github.io/Logging_0760/tillsynsmail/A 5721-2026 tillsynsbegäran mail.docx", "A 5721-2026")</f>
        <v/>
      </c>
    </row>
    <row r="74" ht="15" customHeight="1">
      <c r="A74" t="inlineStr">
        <is>
          <t>A 25812-2025</t>
        </is>
      </c>
      <c r="B74" s="1" t="n">
        <v>45804</v>
      </c>
      <c r="C74" s="1" t="n">
        <v>46103</v>
      </c>
      <c r="D74" t="inlineStr">
        <is>
          <t>KRONOBERGS LÄN</t>
        </is>
      </c>
      <c r="E74" t="inlineStr">
        <is>
          <t>ALVESTA</t>
        </is>
      </c>
      <c r="G74" t="n">
        <v>3.2</v>
      </c>
      <c r="H74" t="n">
        <v>0</v>
      </c>
      <c r="I74" t="n">
        <v>0</v>
      </c>
      <c r="J74" t="n">
        <v>2</v>
      </c>
      <c r="K74" t="n">
        <v>0</v>
      </c>
      <c r="L74" t="n">
        <v>0</v>
      </c>
      <c r="M74" t="n">
        <v>0</v>
      </c>
      <c r="N74" t="n">
        <v>0</v>
      </c>
      <c r="O74" t="n">
        <v>2</v>
      </c>
      <c r="P74" t="n">
        <v>0</v>
      </c>
      <c r="Q74" t="n">
        <v>2</v>
      </c>
      <c r="R74" s="2" t="inlineStr">
        <is>
          <t>Loppstarr
Ängsstarr</t>
        </is>
      </c>
      <c r="S74">
        <f>HYPERLINK("https://klasma.github.io/Logging_0764/artfynd/A 25812-2025 artfynd.xlsx", "A 25812-2025")</f>
        <v/>
      </c>
      <c r="T74">
        <f>HYPERLINK("https://klasma.github.io/Logging_0764/kartor/A 25812-2025 karta.png", "A 25812-2025")</f>
        <v/>
      </c>
      <c r="V74">
        <f>HYPERLINK("https://klasma.github.io/Logging_0764/klagomål/A 25812-2025 FSC-klagomål.docx", "A 25812-2025")</f>
        <v/>
      </c>
      <c r="W74">
        <f>HYPERLINK("https://klasma.github.io/Logging_0764/klagomålsmail/A 25812-2025 FSC-klagomål mail.docx", "A 25812-2025")</f>
        <v/>
      </c>
      <c r="X74">
        <f>HYPERLINK("https://klasma.github.io/Logging_0764/tillsyn/A 25812-2025 tillsynsbegäran.docx", "A 25812-2025")</f>
        <v/>
      </c>
      <c r="Y74">
        <f>HYPERLINK("https://klasma.github.io/Logging_0764/tillsynsmail/A 25812-2025 tillsynsbegäran mail.docx", "A 25812-2025")</f>
        <v/>
      </c>
    </row>
    <row r="75" ht="15" customHeight="1">
      <c r="A75" t="inlineStr">
        <is>
          <t>A 26756-2025</t>
        </is>
      </c>
      <c r="B75" s="1" t="n">
        <v>45810.5565162037</v>
      </c>
      <c r="C75" s="1" t="n">
        <v>46103</v>
      </c>
      <c r="D75" t="inlineStr">
        <is>
          <t>KRONOBERGS LÄN</t>
        </is>
      </c>
      <c r="E75" t="inlineStr">
        <is>
          <t>TINGSRYD</t>
        </is>
      </c>
      <c r="G75" t="n">
        <v>1.3</v>
      </c>
      <c r="H75" t="n">
        <v>1</v>
      </c>
      <c r="I75" t="n">
        <v>0</v>
      </c>
      <c r="J75" t="n">
        <v>0</v>
      </c>
      <c r="K75" t="n">
        <v>1</v>
      </c>
      <c r="L75" t="n">
        <v>0</v>
      </c>
      <c r="M75" t="n">
        <v>0</v>
      </c>
      <c r="N75" t="n">
        <v>0</v>
      </c>
      <c r="O75" t="n">
        <v>1</v>
      </c>
      <c r="P75" t="n">
        <v>1</v>
      </c>
      <c r="Q75" t="n">
        <v>2</v>
      </c>
      <c r="R75" s="2" t="inlineStr">
        <is>
          <t>Slåttergubbe
Fläcknycklar</t>
        </is>
      </c>
      <c r="S75">
        <f>HYPERLINK("https://klasma.github.io/Logging_0763/artfynd/A 26756-2025 artfynd.xlsx", "A 26756-2025")</f>
        <v/>
      </c>
      <c r="T75">
        <f>HYPERLINK("https://klasma.github.io/Logging_0763/kartor/A 26756-2025 karta.png", "A 26756-2025")</f>
        <v/>
      </c>
      <c r="V75">
        <f>HYPERLINK("https://klasma.github.io/Logging_0763/klagomål/A 26756-2025 FSC-klagomål.docx", "A 26756-2025")</f>
        <v/>
      </c>
      <c r="W75">
        <f>HYPERLINK("https://klasma.github.io/Logging_0763/klagomålsmail/A 26756-2025 FSC-klagomål mail.docx", "A 26756-2025")</f>
        <v/>
      </c>
      <c r="X75">
        <f>HYPERLINK("https://klasma.github.io/Logging_0763/tillsyn/A 26756-2025 tillsynsbegäran.docx", "A 26756-2025")</f>
        <v/>
      </c>
      <c r="Y75">
        <f>HYPERLINK("https://klasma.github.io/Logging_0763/tillsynsmail/A 26756-2025 tillsynsbegäran mail.docx", "A 26756-2025")</f>
        <v/>
      </c>
    </row>
    <row r="76" ht="15" customHeight="1">
      <c r="A76" t="inlineStr">
        <is>
          <t>A 28468-2023</t>
        </is>
      </c>
      <c r="B76" s="1" t="n">
        <v>45103</v>
      </c>
      <c r="C76" s="1" t="n">
        <v>46103</v>
      </c>
      <c r="D76" t="inlineStr">
        <is>
          <t>KRONOBERGS LÄN</t>
        </is>
      </c>
      <c r="E76" t="inlineStr">
        <is>
          <t>UPPVIDINGE</t>
        </is>
      </c>
      <c r="G76" t="n">
        <v>5.9</v>
      </c>
      <c r="H76" t="n">
        <v>2</v>
      </c>
      <c r="I76" t="n">
        <v>1</v>
      </c>
      <c r="J76" t="n">
        <v>0</v>
      </c>
      <c r="K76" t="n">
        <v>0</v>
      </c>
      <c r="L76" t="n">
        <v>0</v>
      </c>
      <c r="M76" t="n">
        <v>0</v>
      </c>
      <c r="N76" t="n">
        <v>0</v>
      </c>
      <c r="O76" t="n">
        <v>0</v>
      </c>
      <c r="P76" t="n">
        <v>0</v>
      </c>
      <c r="Q76" t="n">
        <v>2</v>
      </c>
      <c r="R76" s="2" t="inlineStr">
        <is>
          <t>Korallrot
Dubbelnycklar</t>
        </is>
      </c>
      <c r="S76">
        <f>HYPERLINK("https://klasma.github.io/Logging_0760/artfynd/A 28468-2023 artfynd.xlsx", "A 28468-2023")</f>
        <v/>
      </c>
      <c r="T76">
        <f>HYPERLINK("https://klasma.github.io/Logging_0760/kartor/A 28468-2023 karta.png", "A 28468-2023")</f>
        <v/>
      </c>
      <c r="V76">
        <f>HYPERLINK("https://klasma.github.io/Logging_0760/klagomål/A 28468-2023 FSC-klagomål.docx", "A 28468-2023")</f>
        <v/>
      </c>
      <c r="W76">
        <f>HYPERLINK("https://klasma.github.io/Logging_0760/klagomålsmail/A 28468-2023 FSC-klagomål mail.docx", "A 28468-2023")</f>
        <v/>
      </c>
      <c r="X76">
        <f>HYPERLINK("https://klasma.github.io/Logging_0760/tillsyn/A 28468-2023 tillsynsbegäran.docx", "A 28468-2023")</f>
        <v/>
      </c>
      <c r="Y76">
        <f>HYPERLINK("https://klasma.github.io/Logging_0760/tillsynsmail/A 28468-2023 tillsynsbegäran mail.docx", "A 28468-2023")</f>
        <v/>
      </c>
    </row>
    <row r="77" ht="15" customHeight="1">
      <c r="A77" t="inlineStr">
        <is>
          <t>A 24031-2023</t>
        </is>
      </c>
      <c r="B77" s="1" t="n">
        <v>45078</v>
      </c>
      <c r="C77" s="1" t="n">
        <v>46103</v>
      </c>
      <c r="D77" t="inlineStr">
        <is>
          <t>KRONOBERGS LÄN</t>
        </is>
      </c>
      <c r="E77" t="inlineStr">
        <is>
          <t>LJUNGBY</t>
        </is>
      </c>
      <c r="G77" t="n">
        <v>3.3</v>
      </c>
      <c r="H77" t="n">
        <v>0</v>
      </c>
      <c r="I77" t="n">
        <v>2</v>
      </c>
      <c r="J77" t="n">
        <v>0</v>
      </c>
      <c r="K77" t="n">
        <v>0</v>
      </c>
      <c r="L77" t="n">
        <v>0</v>
      </c>
      <c r="M77" t="n">
        <v>0</v>
      </c>
      <c r="N77" t="n">
        <v>0</v>
      </c>
      <c r="O77" t="n">
        <v>0</v>
      </c>
      <c r="P77" t="n">
        <v>0</v>
      </c>
      <c r="Q77" t="n">
        <v>2</v>
      </c>
      <c r="R77" s="2" t="inlineStr">
        <is>
          <t>Fällmossa
Klippfrullania</t>
        </is>
      </c>
      <c r="S77">
        <f>HYPERLINK("https://klasma.github.io/Logging_0781/artfynd/A 24031-2023 artfynd.xlsx", "A 24031-2023")</f>
        <v/>
      </c>
      <c r="T77">
        <f>HYPERLINK("https://klasma.github.io/Logging_0781/kartor/A 24031-2023 karta.png", "A 24031-2023")</f>
        <v/>
      </c>
      <c r="V77">
        <f>HYPERLINK("https://klasma.github.io/Logging_0781/klagomål/A 24031-2023 FSC-klagomål.docx", "A 24031-2023")</f>
        <v/>
      </c>
      <c r="W77">
        <f>HYPERLINK("https://klasma.github.io/Logging_0781/klagomålsmail/A 24031-2023 FSC-klagomål mail.docx", "A 24031-2023")</f>
        <v/>
      </c>
      <c r="X77">
        <f>HYPERLINK("https://klasma.github.io/Logging_0781/tillsyn/A 24031-2023 tillsynsbegäran.docx", "A 24031-2023")</f>
        <v/>
      </c>
      <c r="Y77">
        <f>HYPERLINK("https://klasma.github.io/Logging_0781/tillsynsmail/A 24031-2023 tillsynsbegäran mail.docx", "A 24031-2023")</f>
        <v/>
      </c>
    </row>
    <row r="78" ht="15" customHeight="1">
      <c r="A78" t="inlineStr">
        <is>
          <t>A 29988-2025</t>
        </is>
      </c>
      <c r="B78" s="1" t="n">
        <v>45826.4996875</v>
      </c>
      <c r="C78" s="1" t="n">
        <v>46103</v>
      </c>
      <c r="D78" t="inlineStr">
        <is>
          <t>KRONOBERGS LÄN</t>
        </is>
      </c>
      <c r="E78" t="inlineStr">
        <is>
          <t>UPPVIDINGE</t>
        </is>
      </c>
      <c r="G78" t="n">
        <v>1.1</v>
      </c>
      <c r="H78" t="n">
        <v>0</v>
      </c>
      <c r="I78" t="n">
        <v>0</v>
      </c>
      <c r="J78" t="n">
        <v>0</v>
      </c>
      <c r="K78" t="n">
        <v>2</v>
      </c>
      <c r="L78" t="n">
        <v>0</v>
      </c>
      <c r="M78" t="n">
        <v>0</v>
      </c>
      <c r="N78" t="n">
        <v>0</v>
      </c>
      <c r="O78" t="n">
        <v>2</v>
      </c>
      <c r="P78" t="n">
        <v>2</v>
      </c>
      <c r="Q78" t="n">
        <v>2</v>
      </c>
      <c r="R78" s="2" t="inlineStr">
        <is>
          <t>Slåttergubbe
Slåttergubbemal</t>
        </is>
      </c>
      <c r="S78">
        <f>HYPERLINK("https://klasma.github.io/Logging_0760/artfynd/A 29988-2025 artfynd.xlsx", "A 29988-2025")</f>
        <v/>
      </c>
      <c r="T78">
        <f>HYPERLINK("https://klasma.github.io/Logging_0760/kartor/A 29988-2025 karta.png", "A 29988-2025")</f>
        <v/>
      </c>
      <c r="V78">
        <f>HYPERLINK("https://klasma.github.io/Logging_0760/klagomål/A 29988-2025 FSC-klagomål.docx", "A 29988-2025")</f>
        <v/>
      </c>
      <c r="W78">
        <f>HYPERLINK("https://klasma.github.io/Logging_0760/klagomålsmail/A 29988-2025 FSC-klagomål mail.docx", "A 29988-2025")</f>
        <v/>
      </c>
      <c r="X78">
        <f>HYPERLINK("https://klasma.github.io/Logging_0760/tillsyn/A 29988-2025 tillsynsbegäran.docx", "A 29988-2025")</f>
        <v/>
      </c>
      <c r="Y78">
        <f>HYPERLINK("https://klasma.github.io/Logging_0760/tillsynsmail/A 29988-2025 tillsynsbegäran mail.docx", "A 29988-2025")</f>
        <v/>
      </c>
    </row>
    <row r="79" ht="15" customHeight="1">
      <c r="A79" t="inlineStr">
        <is>
          <t>A 8819-2024</t>
        </is>
      </c>
      <c r="B79" s="1" t="n">
        <v>45356.66606481482</v>
      </c>
      <c r="C79" s="1" t="n">
        <v>46103</v>
      </c>
      <c r="D79" t="inlineStr">
        <is>
          <t>KRONOBERGS LÄN</t>
        </is>
      </c>
      <c r="E79" t="inlineStr">
        <is>
          <t>VÄXJÖ</t>
        </is>
      </c>
      <c r="G79" t="n">
        <v>4</v>
      </c>
      <c r="H79" t="n">
        <v>2</v>
      </c>
      <c r="I79" t="n">
        <v>0</v>
      </c>
      <c r="J79" t="n">
        <v>0</v>
      </c>
      <c r="K79" t="n">
        <v>0</v>
      </c>
      <c r="L79" t="n">
        <v>0</v>
      </c>
      <c r="M79" t="n">
        <v>0</v>
      </c>
      <c r="N79" t="n">
        <v>0</v>
      </c>
      <c r="O79" t="n">
        <v>0</v>
      </c>
      <c r="P79" t="n">
        <v>0</v>
      </c>
      <c r="Q79" t="n">
        <v>2</v>
      </c>
      <c r="R79" s="2" t="inlineStr">
        <is>
          <t>Kungsfågel
Revlummer</t>
        </is>
      </c>
      <c r="S79">
        <f>HYPERLINK("https://klasma.github.io/Logging_0780/artfynd/A 8819-2024 artfynd.xlsx", "A 8819-2024")</f>
        <v/>
      </c>
      <c r="T79">
        <f>HYPERLINK("https://klasma.github.io/Logging_0780/kartor/A 8819-2024 karta.png", "A 8819-2024")</f>
        <v/>
      </c>
      <c r="V79">
        <f>HYPERLINK("https://klasma.github.io/Logging_0780/klagomål/A 8819-2024 FSC-klagomål.docx", "A 8819-2024")</f>
        <v/>
      </c>
      <c r="W79">
        <f>HYPERLINK("https://klasma.github.io/Logging_0780/klagomålsmail/A 8819-2024 FSC-klagomål mail.docx", "A 8819-2024")</f>
        <v/>
      </c>
      <c r="X79">
        <f>HYPERLINK("https://klasma.github.io/Logging_0780/tillsyn/A 8819-2024 tillsynsbegäran.docx", "A 8819-2024")</f>
        <v/>
      </c>
      <c r="Y79">
        <f>HYPERLINK("https://klasma.github.io/Logging_0780/tillsynsmail/A 8819-2024 tillsynsbegäran mail.docx", "A 8819-2024")</f>
        <v/>
      </c>
      <c r="Z79">
        <f>HYPERLINK("https://klasma.github.io/Logging_0780/fåglar/A 8819-2024 prioriterade fågelarter.docx", "A 8819-2024")</f>
        <v/>
      </c>
    </row>
    <row r="80" ht="15" customHeight="1">
      <c r="A80" t="inlineStr">
        <is>
          <t>A 51489-2024</t>
        </is>
      </c>
      <c r="B80" s="1" t="n">
        <v>45604.53089120371</v>
      </c>
      <c r="C80" s="1" t="n">
        <v>46103</v>
      </c>
      <c r="D80" t="inlineStr">
        <is>
          <t>KRONOBERGS LÄN</t>
        </is>
      </c>
      <c r="E80" t="inlineStr">
        <is>
          <t>UPPVIDINGE</t>
        </is>
      </c>
      <c r="G80" t="n">
        <v>1.3</v>
      </c>
      <c r="H80" t="n">
        <v>0</v>
      </c>
      <c r="I80" t="n">
        <v>1</v>
      </c>
      <c r="J80" t="n">
        <v>1</v>
      </c>
      <c r="K80" t="n">
        <v>0</v>
      </c>
      <c r="L80" t="n">
        <v>0</v>
      </c>
      <c r="M80" t="n">
        <v>0</v>
      </c>
      <c r="N80" t="n">
        <v>0</v>
      </c>
      <c r="O80" t="n">
        <v>1</v>
      </c>
      <c r="P80" t="n">
        <v>0</v>
      </c>
      <c r="Q80" t="n">
        <v>2</v>
      </c>
      <c r="R80" s="2" t="inlineStr">
        <is>
          <t>Slåtterfibbla
Tibast</t>
        </is>
      </c>
      <c r="S80">
        <f>HYPERLINK("https://klasma.github.io/Logging_0760/artfynd/A 51489-2024 artfynd.xlsx", "A 51489-2024")</f>
        <v/>
      </c>
      <c r="T80">
        <f>HYPERLINK("https://klasma.github.io/Logging_0760/kartor/A 51489-2024 karta.png", "A 51489-2024")</f>
        <v/>
      </c>
      <c r="V80">
        <f>HYPERLINK("https://klasma.github.io/Logging_0760/klagomål/A 51489-2024 FSC-klagomål.docx", "A 51489-2024")</f>
        <v/>
      </c>
      <c r="W80">
        <f>HYPERLINK("https://klasma.github.io/Logging_0760/klagomålsmail/A 51489-2024 FSC-klagomål mail.docx", "A 51489-2024")</f>
        <v/>
      </c>
      <c r="X80">
        <f>HYPERLINK("https://klasma.github.io/Logging_0760/tillsyn/A 51489-2024 tillsynsbegäran.docx", "A 51489-2024")</f>
        <v/>
      </c>
      <c r="Y80">
        <f>HYPERLINK("https://klasma.github.io/Logging_0760/tillsynsmail/A 51489-2024 tillsynsbegäran mail.docx", "A 51489-2024")</f>
        <v/>
      </c>
    </row>
    <row r="81" ht="15" customHeight="1">
      <c r="A81" t="inlineStr">
        <is>
          <t>A 51058-2023</t>
        </is>
      </c>
      <c r="B81" s="1" t="n">
        <v>45211</v>
      </c>
      <c r="C81" s="1" t="n">
        <v>46103</v>
      </c>
      <c r="D81" t="inlineStr">
        <is>
          <t>KRONOBERGS LÄN</t>
        </is>
      </c>
      <c r="E81" t="inlineStr">
        <is>
          <t>LJUNGBY</t>
        </is>
      </c>
      <c r="G81" t="n">
        <v>3.5</v>
      </c>
      <c r="H81" t="n">
        <v>1</v>
      </c>
      <c r="I81" t="n">
        <v>1</v>
      </c>
      <c r="J81" t="n">
        <v>0</v>
      </c>
      <c r="K81" t="n">
        <v>0</v>
      </c>
      <c r="L81" t="n">
        <v>0</v>
      </c>
      <c r="M81" t="n">
        <v>0</v>
      </c>
      <c r="N81" t="n">
        <v>0</v>
      </c>
      <c r="O81" t="n">
        <v>0</v>
      </c>
      <c r="P81" t="n">
        <v>0</v>
      </c>
      <c r="Q81" t="n">
        <v>2</v>
      </c>
      <c r="R81" s="2" t="inlineStr">
        <is>
          <t>Blomkålssvamp
Äkta lopplummer</t>
        </is>
      </c>
      <c r="S81">
        <f>HYPERLINK("https://klasma.github.io/Logging_0781/artfynd/A 51058-2023 artfynd.xlsx", "A 51058-2023")</f>
        <v/>
      </c>
      <c r="T81">
        <f>HYPERLINK("https://klasma.github.io/Logging_0781/kartor/A 51058-2023 karta.png", "A 51058-2023")</f>
        <v/>
      </c>
      <c r="V81">
        <f>HYPERLINK("https://klasma.github.io/Logging_0781/klagomål/A 51058-2023 FSC-klagomål.docx", "A 51058-2023")</f>
        <v/>
      </c>
      <c r="W81">
        <f>HYPERLINK("https://klasma.github.io/Logging_0781/klagomålsmail/A 51058-2023 FSC-klagomål mail.docx", "A 51058-2023")</f>
        <v/>
      </c>
      <c r="X81">
        <f>HYPERLINK("https://klasma.github.io/Logging_0781/tillsyn/A 51058-2023 tillsynsbegäran.docx", "A 51058-2023")</f>
        <v/>
      </c>
      <c r="Y81">
        <f>HYPERLINK("https://klasma.github.io/Logging_0781/tillsynsmail/A 51058-2023 tillsynsbegäran mail.docx", "A 51058-2023")</f>
        <v/>
      </c>
    </row>
    <row r="82" ht="15" customHeight="1">
      <c r="A82" t="inlineStr">
        <is>
          <t>A 7102-2025</t>
        </is>
      </c>
      <c r="B82" s="1" t="n">
        <v>45701.89549768518</v>
      </c>
      <c r="C82" s="1" t="n">
        <v>46103</v>
      </c>
      <c r="D82" t="inlineStr">
        <is>
          <t>KRONOBERGS LÄN</t>
        </is>
      </c>
      <c r="E82" t="inlineStr">
        <is>
          <t>LJUNGBY</t>
        </is>
      </c>
      <c r="G82" t="n">
        <v>6.8</v>
      </c>
      <c r="H82" t="n">
        <v>1</v>
      </c>
      <c r="I82" t="n">
        <v>1</v>
      </c>
      <c r="J82" t="n">
        <v>0</v>
      </c>
      <c r="K82" t="n">
        <v>0</v>
      </c>
      <c r="L82" t="n">
        <v>0</v>
      </c>
      <c r="M82" t="n">
        <v>0</v>
      </c>
      <c r="N82" t="n">
        <v>0</v>
      </c>
      <c r="O82" t="n">
        <v>0</v>
      </c>
      <c r="P82" t="n">
        <v>0</v>
      </c>
      <c r="Q82" t="n">
        <v>2</v>
      </c>
      <c r="R82" s="2" t="inlineStr">
        <is>
          <t>Grönpyrola
Mattlummer</t>
        </is>
      </c>
      <c r="S82">
        <f>HYPERLINK("https://klasma.github.io/Logging_0781/artfynd/A 7102-2025 artfynd.xlsx", "A 7102-2025")</f>
        <v/>
      </c>
      <c r="T82">
        <f>HYPERLINK("https://klasma.github.io/Logging_0781/kartor/A 7102-2025 karta.png", "A 7102-2025")</f>
        <v/>
      </c>
      <c r="V82">
        <f>HYPERLINK("https://klasma.github.io/Logging_0781/klagomål/A 7102-2025 FSC-klagomål.docx", "A 7102-2025")</f>
        <v/>
      </c>
      <c r="W82">
        <f>HYPERLINK("https://klasma.github.io/Logging_0781/klagomålsmail/A 7102-2025 FSC-klagomål mail.docx", "A 7102-2025")</f>
        <v/>
      </c>
      <c r="X82">
        <f>HYPERLINK("https://klasma.github.io/Logging_0781/tillsyn/A 7102-2025 tillsynsbegäran.docx", "A 7102-2025")</f>
        <v/>
      </c>
      <c r="Y82">
        <f>HYPERLINK("https://klasma.github.io/Logging_0781/tillsynsmail/A 7102-2025 tillsynsbegäran mail.docx", "A 7102-2025")</f>
        <v/>
      </c>
    </row>
    <row r="83" ht="15" customHeight="1">
      <c r="A83" t="inlineStr">
        <is>
          <t>A 28325-2025</t>
        </is>
      </c>
      <c r="B83" s="1" t="n">
        <v>45818.65486111111</v>
      </c>
      <c r="C83" s="1" t="n">
        <v>46103</v>
      </c>
      <c r="D83" t="inlineStr">
        <is>
          <t>KRONOBERGS LÄN</t>
        </is>
      </c>
      <c r="E83" t="inlineStr">
        <is>
          <t>ÄLMHULT</t>
        </is>
      </c>
      <c r="F83" t="inlineStr">
        <is>
          <t>Sveaskog</t>
        </is>
      </c>
      <c r="G83" t="n">
        <v>2.2</v>
      </c>
      <c r="H83" t="n">
        <v>2</v>
      </c>
      <c r="I83" t="n">
        <v>0</v>
      </c>
      <c r="J83" t="n">
        <v>0</v>
      </c>
      <c r="K83" t="n">
        <v>0</v>
      </c>
      <c r="L83" t="n">
        <v>0</v>
      </c>
      <c r="M83" t="n">
        <v>0</v>
      </c>
      <c r="N83" t="n">
        <v>0</v>
      </c>
      <c r="O83" t="n">
        <v>0</v>
      </c>
      <c r="P83" t="n">
        <v>0</v>
      </c>
      <c r="Q83" t="n">
        <v>2</v>
      </c>
      <c r="R83" s="2" t="inlineStr">
        <is>
          <t>Lopplummer (aggregat)
Mattlummer</t>
        </is>
      </c>
      <c r="S83">
        <f>HYPERLINK("https://klasma.github.io/Logging_0765/artfynd/A 28325-2025 artfynd.xlsx", "A 28325-2025")</f>
        <v/>
      </c>
      <c r="T83">
        <f>HYPERLINK("https://klasma.github.io/Logging_0765/kartor/A 28325-2025 karta.png", "A 28325-2025")</f>
        <v/>
      </c>
      <c r="V83">
        <f>HYPERLINK("https://klasma.github.io/Logging_0765/klagomål/A 28325-2025 FSC-klagomål.docx", "A 28325-2025")</f>
        <v/>
      </c>
      <c r="W83">
        <f>HYPERLINK("https://klasma.github.io/Logging_0765/klagomålsmail/A 28325-2025 FSC-klagomål mail.docx", "A 28325-2025")</f>
        <v/>
      </c>
      <c r="X83">
        <f>HYPERLINK("https://klasma.github.io/Logging_0765/tillsyn/A 28325-2025 tillsynsbegäran.docx", "A 28325-2025")</f>
        <v/>
      </c>
      <c r="Y83">
        <f>HYPERLINK("https://klasma.github.io/Logging_0765/tillsynsmail/A 28325-2025 tillsynsbegäran mail.docx", "A 28325-2025")</f>
        <v/>
      </c>
    </row>
    <row r="84" ht="15" customHeight="1">
      <c r="A84" t="inlineStr">
        <is>
          <t>A 12841-2025</t>
        </is>
      </c>
      <c r="B84" s="1" t="n">
        <v>45733.64422453703</v>
      </c>
      <c r="C84" s="1" t="n">
        <v>46103</v>
      </c>
      <c r="D84" t="inlineStr">
        <is>
          <t>KRONOBERGS LÄN</t>
        </is>
      </c>
      <c r="E84" t="inlineStr">
        <is>
          <t>LJUNGBY</t>
        </is>
      </c>
      <c r="G84" t="n">
        <v>5.2</v>
      </c>
      <c r="H84" t="n">
        <v>2</v>
      </c>
      <c r="I84" t="n">
        <v>0</v>
      </c>
      <c r="J84" t="n">
        <v>2</v>
      </c>
      <c r="K84" t="n">
        <v>0</v>
      </c>
      <c r="L84" t="n">
        <v>0</v>
      </c>
      <c r="M84" t="n">
        <v>0</v>
      </c>
      <c r="N84" t="n">
        <v>0</v>
      </c>
      <c r="O84" t="n">
        <v>2</v>
      </c>
      <c r="P84" t="n">
        <v>0</v>
      </c>
      <c r="Q84" t="n">
        <v>2</v>
      </c>
      <c r="R84" s="2" t="inlineStr">
        <is>
          <t>Brunlångöra
Nordfladdermus</t>
        </is>
      </c>
      <c r="S84">
        <f>HYPERLINK("https://klasma.github.io/Logging_0781/artfynd/A 12841-2025 artfynd.xlsx", "A 12841-2025")</f>
        <v/>
      </c>
      <c r="T84">
        <f>HYPERLINK("https://klasma.github.io/Logging_0781/kartor/A 12841-2025 karta.png", "A 12841-2025")</f>
        <v/>
      </c>
      <c r="V84">
        <f>HYPERLINK("https://klasma.github.io/Logging_0781/klagomål/A 12841-2025 FSC-klagomål.docx", "A 12841-2025")</f>
        <v/>
      </c>
      <c r="W84">
        <f>HYPERLINK("https://klasma.github.io/Logging_0781/klagomålsmail/A 12841-2025 FSC-klagomål mail.docx", "A 12841-2025")</f>
        <v/>
      </c>
      <c r="X84">
        <f>HYPERLINK("https://klasma.github.io/Logging_0781/tillsyn/A 12841-2025 tillsynsbegäran.docx", "A 12841-2025")</f>
        <v/>
      </c>
      <c r="Y84">
        <f>HYPERLINK("https://klasma.github.io/Logging_0781/tillsynsmail/A 12841-2025 tillsynsbegäran mail.docx", "A 12841-2025")</f>
        <v/>
      </c>
    </row>
    <row r="85" ht="15" customHeight="1">
      <c r="A85" t="inlineStr">
        <is>
          <t>A 13196-2024</t>
        </is>
      </c>
      <c r="B85" s="1" t="n">
        <v>45386</v>
      </c>
      <c r="C85" s="1" t="n">
        <v>46103</v>
      </c>
      <c r="D85" t="inlineStr">
        <is>
          <t>KRONOBERGS LÄN</t>
        </is>
      </c>
      <c r="E85" t="inlineStr">
        <is>
          <t>ÄLMHULT</t>
        </is>
      </c>
      <c r="G85" t="n">
        <v>1.5</v>
      </c>
      <c r="H85" t="n">
        <v>2</v>
      </c>
      <c r="I85" t="n">
        <v>0</v>
      </c>
      <c r="J85" t="n">
        <v>1</v>
      </c>
      <c r="K85" t="n">
        <v>1</v>
      </c>
      <c r="L85" t="n">
        <v>0</v>
      </c>
      <c r="M85" t="n">
        <v>0</v>
      </c>
      <c r="N85" t="n">
        <v>0</v>
      </c>
      <c r="O85" t="n">
        <v>2</v>
      </c>
      <c r="P85" t="n">
        <v>1</v>
      </c>
      <c r="Q85" t="n">
        <v>2</v>
      </c>
      <c r="R85" s="2" t="inlineStr">
        <is>
          <t>Tofsvipa
Smådopping</t>
        </is>
      </c>
      <c r="S85">
        <f>HYPERLINK("https://klasma.github.io/Logging_0765/artfynd/A 13196-2024 artfynd.xlsx", "A 13196-2024")</f>
        <v/>
      </c>
      <c r="T85">
        <f>HYPERLINK("https://klasma.github.io/Logging_0765/kartor/A 13196-2024 karta.png", "A 13196-2024")</f>
        <v/>
      </c>
      <c r="V85">
        <f>HYPERLINK("https://klasma.github.io/Logging_0765/klagomål/A 13196-2024 FSC-klagomål.docx", "A 13196-2024")</f>
        <v/>
      </c>
      <c r="W85">
        <f>HYPERLINK("https://klasma.github.io/Logging_0765/klagomålsmail/A 13196-2024 FSC-klagomål mail.docx", "A 13196-2024")</f>
        <v/>
      </c>
      <c r="X85">
        <f>HYPERLINK("https://klasma.github.io/Logging_0765/tillsyn/A 13196-2024 tillsynsbegäran.docx", "A 13196-2024")</f>
        <v/>
      </c>
      <c r="Y85">
        <f>HYPERLINK("https://klasma.github.io/Logging_0765/tillsynsmail/A 13196-2024 tillsynsbegäran mail.docx", "A 13196-2024")</f>
        <v/>
      </c>
    </row>
    <row r="86" ht="15" customHeight="1">
      <c r="A86" t="inlineStr">
        <is>
          <t>A 41957-2022</t>
        </is>
      </c>
      <c r="B86" s="1" t="n">
        <v>44830</v>
      </c>
      <c r="C86" s="1" t="n">
        <v>46103</v>
      </c>
      <c r="D86" t="inlineStr">
        <is>
          <t>KRONOBERGS LÄN</t>
        </is>
      </c>
      <c r="E86" t="inlineStr">
        <is>
          <t>ÄLMHULT</t>
        </is>
      </c>
      <c r="G86" t="n">
        <v>3.2</v>
      </c>
      <c r="H86" t="n">
        <v>1</v>
      </c>
      <c r="I86" t="n">
        <v>0</v>
      </c>
      <c r="J86" t="n">
        <v>1</v>
      </c>
      <c r="K86" t="n">
        <v>0</v>
      </c>
      <c r="L86" t="n">
        <v>0</v>
      </c>
      <c r="M86" t="n">
        <v>0</v>
      </c>
      <c r="N86" t="n">
        <v>0</v>
      </c>
      <c r="O86" t="n">
        <v>1</v>
      </c>
      <c r="P86" t="n">
        <v>0</v>
      </c>
      <c r="Q86" t="n">
        <v>2</v>
      </c>
      <c r="R86" s="2" t="inlineStr">
        <is>
          <t>Linmåra/småsnärjmåra
Fläcknycklar</t>
        </is>
      </c>
      <c r="S86">
        <f>HYPERLINK("https://klasma.github.io/Logging_0765/artfynd/A 41957-2022 artfynd.xlsx", "A 41957-2022")</f>
        <v/>
      </c>
      <c r="T86">
        <f>HYPERLINK("https://klasma.github.io/Logging_0765/kartor/A 41957-2022 karta.png", "A 41957-2022")</f>
        <v/>
      </c>
      <c r="V86">
        <f>HYPERLINK("https://klasma.github.io/Logging_0765/klagomål/A 41957-2022 FSC-klagomål.docx", "A 41957-2022")</f>
        <v/>
      </c>
      <c r="W86">
        <f>HYPERLINK("https://klasma.github.io/Logging_0765/klagomålsmail/A 41957-2022 FSC-klagomål mail.docx", "A 41957-2022")</f>
        <v/>
      </c>
      <c r="X86">
        <f>HYPERLINK("https://klasma.github.io/Logging_0765/tillsyn/A 41957-2022 tillsynsbegäran.docx", "A 41957-2022")</f>
        <v/>
      </c>
      <c r="Y86">
        <f>HYPERLINK("https://klasma.github.io/Logging_0765/tillsynsmail/A 41957-2022 tillsynsbegäran mail.docx", "A 41957-2022")</f>
        <v/>
      </c>
    </row>
    <row r="87" ht="15" customHeight="1">
      <c r="A87" t="inlineStr">
        <is>
          <t>A 30317-2024</t>
        </is>
      </c>
      <c r="B87" s="1" t="n">
        <v>45490.76049768519</v>
      </c>
      <c r="C87" s="1" t="n">
        <v>46103</v>
      </c>
      <c r="D87" t="inlineStr">
        <is>
          <t>KRONOBERGS LÄN</t>
        </is>
      </c>
      <c r="E87" t="inlineStr">
        <is>
          <t>VÄXJÖ</t>
        </is>
      </c>
      <c r="F87" t="inlineStr">
        <is>
          <t>Sveaskog</t>
        </is>
      </c>
      <c r="G87" t="n">
        <v>2.7</v>
      </c>
      <c r="H87" t="n">
        <v>1</v>
      </c>
      <c r="I87" t="n">
        <v>1</v>
      </c>
      <c r="J87" t="n">
        <v>0</v>
      </c>
      <c r="K87" t="n">
        <v>0</v>
      </c>
      <c r="L87" t="n">
        <v>0</v>
      </c>
      <c r="M87" t="n">
        <v>0</v>
      </c>
      <c r="N87" t="n">
        <v>0</v>
      </c>
      <c r="O87" t="n">
        <v>0</v>
      </c>
      <c r="P87" t="n">
        <v>0</v>
      </c>
      <c r="Q87" t="n">
        <v>2</v>
      </c>
      <c r="R87" s="2" t="inlineStr">
        <is>
          <t>Scharlakansskål
Lopplummer (aggregat)</t>
        </is>
      </c>
      <c r="S87">
        <f>HYPERLINK("https://klasma.github.io/Logging_0780/artfynd/A 30317-2024 artfynd.xlsx", "A 30317-2024")</f>
        <v/>
      </c>
      <c r="T87">
        <f>HYPERLINK("https://klasma.github.io/Logging_0780/kartor/A 30317-2024 karta.png", "A 30317-2024")</f>
        <v/>
      </c>
      <c r="V87">
        <f>HYPERLINK("https://klasma.github.io/Logging_0780/klagomål/A 30317-2024 FSC-klagomål.docx", "A 30317-2024")</f>
        <v/>
      </c>
      <c r="W87">
        <f>HYPERLINK("https://klasma.github.io/Logging_0780/klagomålsmail/A 30317-2024 FSC-klagomål mail.docx", "A 30317-2024")</f>
        <v/>
      </c>
      <c r="X87">
        <f>HYPERLINK("https://klasma.github.io/Logging_0780/tillsyn/A 30317-2024 tillsynsbegäran.docx", "A 30317-2024")</f>
        <v/>
      </c>
      <c r="Y87">
        <f>HYPERLINK("https://klasma.github.io/Logging_0780/tillsynsmail/A 30317-2024 tillsynsbegäran mail.docx", "A 30317-2024")</f>
        <v/>
      </c>
    </row>
    <row r="88" ht="15" customHeight="1">
      <c r="A88" t="inlineStr">
        <is>
          <t>A 2053-2023</t>
        </is>
      </c>
      <c r="B88" s="1" t="n">
        <v>44939</v>
      </c>
      <c r="C88" s="1" t="n">
        <v>46103</v>
      </c>
      <c r="D88" t="inlineStr">
        <is>
          <t>KRONOBERGS LÄN</t>
        </is>
      </c>
      <c r="E88" t="inlineStr">
        <is>
          <t>UPPVIDINGE</t>
        </is>
      </c>
      <c r="G88" t="n">
        <v>0.7</v>
      </c>
      <c r="H88" t="n">
        <v>2</v>
      </c>
      <c r="I88" t="n">
        <v>0</v>
      </c>
      <c r="J88" t="n">
        <v>1</v>
      </c>
      <c r="K88" t="n">
        <v>0</v>
      </c>
      <c r="L88" t="n">
        <v>0</v>
      </c>
      <c r="M88" t="n">
        <v>0</v>
      </c>
      <c r="N88" t="n">
        <v>0</v>
      </c>
      <c r="O88" t="n">
        <v>1</v>
      </c>
      <c r="P88" t="n">
        <v>0</v>
      </c>
      <c r="Q88" t="n">
        <v>2</v>
      </c>
      <c r="R88" s="2" t="inlineStr">
        <is>
          <t>Svartvit flugsnappare
Kungsfågel</t>
        </is>
      </c>
      <c r="S88">
        <f>HYPERLINK("https://klasma.github.io/Logging_0760/artfynd/A 2053-2023 artfynd.xlsx", "A 2053-2023")</f>
        <v/>
      </c>
      <c r="T88">
        <f>HYPERLINK("https://klasma.github.io/Logging_0760/kartor/A 2053-2023 karta.png", "A 2053-2023")</f>
        <v/>
      </c>
      <c r="V88">
        <f>HYPERLINK("https://klasma.github.io/Logging_0760/klagomål/A 2053-2023 FSC-klagomål.docx", "A 2053-2023")</f>
        <v/>
      </c>
      <c r="W88">
        <f>HYPERLINK("https://klasma.github.io/Logging_0760/klagomålsmail/A 2053-2023 FSC-klagomål mail.docx", "A 2053-2023")</f>
        <v/>
      </c>
      <c r="X88">
        <f>HYPERLINK("https://klasma.github.io/Logging_0760/tillsyn/A 2053-2023 tillsynsbegäran.docx", "A 2053-2023")</f>
        <v/>
      </c>
      <c r="Y88">
        <f>HYPERLINK("https://klasma.github.io/Logging_0760/tillsynsmail/A 2053-2023 tillsynsbegäran mail.docx", "A 2053-2023")</f>
        <v/>
      </c>
      <c r="Z88">
        <f>HYPERLINK("https://klasma.github.io/Logging_0760/fåglar/A 2053-2023 prioriterade fågelarter.docx", "A 2053-2023")</f>
        <v/>
      </c>
    </row>
    <row r="89" ht="15" customHeight="1">
      <c r="A89" t="inlineStr">
        <is>
          <t>A 26684-2023</t>
        </is>
      </c>
      <c r="B89" s="1" t="n">
        <v>45093.35027777778</v>
      </c>
      <c r="C89" s="1" t="n">
        <v>46103</v>
      </c>
      <c r="D89" t="inlineStr">
        <is>
          <t>KRONOBERGS LÄN</t>
        </is>
      </c>
      <c r="E89" t="inlineStr">
        <is>
          <t>VÄXJÖ</t>
        </is>
      </c>
      <c r="G89" t="n">
        <v>7</v>
      </c>
      <c r="H89" t="n">
        <v>1</v>
      </c>
      <c r="I89" t="n">
        <v>1</v>
      </c>
      <c r="J89" t="n">
        <v>0</v>
      </c>
      <c r="K89" t="n">
        <v>1</v>
      </c>
      <c r="L89" t="n">
        <v>0</v>
      </c>
      <c r="M89" t="n">
        <v>0</v>
      </c>
      <c r="N89" t="n">
        <v>0</v>
      </c>
      <c r="O89" t="n">
        <v>1</v>
      </c>
      <c r="P89" t="n">
        <v>1</v>
      </c>
      <c r="Q89" t="n">
        <v>2</v>
      </c>
      <c r="R89" s="2" t="inlineStr">
        <is>
          <t>Knärot
Dropptaggsvamp</t>
        </is>
      </c>
      <c r="S89">
        <f>HYPERLINK("https://klasma.github.io/Logging_0780/artfynd/A 26684-2023 artfynd.xlsx", "A 26684-2023")</f>
        <v/>
      </c>
      <c r="T89">
        <f>HYPERLINK("https://klasma.github.io/Logging_0780/kartor/A 26684-2023 karta.png", "A 26684-2023")</f>
        <v/>
      </c>
      <c r="U89">
        <f>HYPERLINK("https://klasma.github.io/Logging_0780/knärot/A 26684-2023 karta knärot.png", "A 26684-2023")</f>
        <v/>
      </c>
      <c r="V89">
        <f>HYPERLINK("https://klasma.github.io/Logging_0780/klagomål/A 26684-2023 FSC-klagomål.docx", "A 26684-2023")</f>
        <v/>
      </c>
      <c r="W89">
        <f>HYPERLINK("https://klasma.github.io/Logging_0780/klagomålsmail/A 26684-2023 FSC-klagomål mail.docx", "A 26684-2023")</f>
        <v/>
      </c>
      <c r="X89">
        <f>HYPERLINK("https://klasma.github.io/Logging_0780/tillsyn/A 26684-2023 tillsynsbegäran.docx", "A 26684-2023")</f>
        <v/>
      </c>
      <c r="Y89">
        <f>HYPERLINK("https://klasma.github.io/Logging_0780/tillsynsmail/A 26684-2023 tillsynsbegäran mail.docx", "A 26684-2023")</f>
        <v/>
      </c>
    </row>
    <row r="90" ht="15" customHeight="1">
      <c r="A90" t="inlineStr">
        <is>
          <t>A 51691-2022</t>
        </is>
      </c>
      <c r="B90" s="1" t="n">
        <v>44872</v>
      </c>
      <c r="C90" s="1" t="n">
        <v>46103</v>
      </c>
      <c r="D90" t="inlineStr">
        <is>
          <t>KRONOBERGS LÄN</t>
        </is>
      </c>
      <c r="E90" t="inlineStr">
        <is>
          <t>TINGSRYD</t>
        </is>
      </c>
      <c r="G90" t="n">
        <v>3.5</v>
      </c>
      <c r="H90" t="n">
        <v>1</v>
      </c>
      <c r="I90" t="n">
        <v>1</v>
      </c>
      <c r="J90" t="n">
        <v>0</v>
      </c>
      <c r="K90" t="n">
        <v>1</v>
      </c>
      <c r="L90" t="n">
        <v>0</v>
      </c>
      <c r="M90" t="n">
        <v>0</v>
      </c>
      <c r="N90" t="n">
        <v>0</v>
      </c>
      <c r="O90" t="n">
        <v>1</v>
      </c>
      <c r="P90" t="n">
        <v>1</v>
      </c>
      <c r="Q90" t="n">
        <v>2</v>
      </c>
      <c r="R90" s="2" t="inlineStr">
        <is>
          <t>Knärot
Blåmossa</t>
        </is>
      </c>
      <c r="S90">
        <f>HYPERLINK("https://klasma.github.io/Logging_0763/artfynd/A 51691-2022 artfynd.xlsx", "A 51691-2022")</f>
        <v/>
      </c>
      <c r="T90">
        <f>HYPERLINK("https://klasma.github.io/Logging_0763/kartor/A 51691-2022 karta.png", "A 51691-2022")</f>
        <v/>
      </c>
      <c r="U90">
        <f>HYPERLINK("https://klasma.github.io/Logging_0763/knärot/A 51691-2022 karta knärot.png", "A 51691-2022")</f>
        <v/>
      </c>
      <c r="V90">
        <f>HYPERLINK("https://klasma.github.io/Logging_0763/klagomål/A 51691-2022 FSC-klagomål.docx", "A 51691-2022")</f>
        <v/>
      </c>
      <c r="W90">
        <f>HYPERLINK("https://klasma.github.io/Logging_0763/klagomålsmail/A 51691-2022 FSC-klagomål mail.docx", "A 51691-2022")</f>
        <v/>
      </c>
      <c r="X90">
        <f>HYPERLINK("https://klasma.github.io/Logging_0763/tillsyn/A 51691-2022 tillsynsbegäran.docx", "A 51691-2022")</f>
        <v/>
      </c>
      <c r="Y90">
        <f>HYPERLINK("https://klasma.github.io/Logging_0763/tillsynsmail/A 51691-2022 tillsynsbegäran mail.docx", "A 51691-2022")</f>
        <v/>
      </c>
    </row>
    <row r="91" ht="15" customHeight="1">
      <c r="A91" t="inlineStr">
        <is>
          <t>A 8314-2022</t>
        </is>
      </c>
      <c r="B91" s="1" t="n">
        <v>44610</v>
      </c>
      <c r="C91" s="1" t="n">
        <v>46103</v>
      </c>
      <c r="D91" t="inlineStr">
        <is>
          <t>KRONOBERGS LÄN</t>
        </is>
      </c>
      <c r="E91" t="inlineStr">
        <is>
          <t>LJUNGBY</t>
        </is>
      </c>
      <c r="F91" t="inlineStr">
        <is>
          <t>Kommuner</t>
        </is>
      </c>
      <c r="G91" t="n">
        <v>5.5</v>
      </c>
      <c r="H91" t="n">
        <v>0</v>
      </c>
      <c r="I91" t="n">
        <v>2</v>
      </c>
      <c r="J91" t="n">
        <v>0</v>
      </c>
      <c r="K91" t="n">
        <v>0</v>
      </c>
      <c r="L91" t="n">
        <v>0</v>
      </c>
      <c r="M91" t="n">
        <v>0</v>
      </c>
      <c r="N91" t="n">
        <v>0</v>
      </c>
      <c r="O91" t="n">
        <v>0</v>
      </c>
      <c r="P91" t="n">
        <v>0</v>
      </c>
      <c r="Q91" t="n">
        <v>2</v>
      </c>
      <c r="R91" s="2" t="inlineStr">
        <is>
          <t>Fällmossa
Klippfrullania</t>
        </is>
      </c>
      <c r="S91">
        <f>HYPERLINK("https://klasma.github.io/Logging_0781/artfynd/A 8314-2022 artfynd.xlsx", "A 8314-2022")</f>
        <v/>
      </c>
      <c r="T91">
        <f>HYPERLINK("https://klasma.github.io/Logging_0781/kartor/A 8314-2022 karta.png", "A 8314-2022")</f>
        <v/>
      </c>
      <c r="V91">
        <f>HYPERLINK("https://klasma.github.io/Logging_0781/klagomål/A 8314-2022 FSC-klagomål.docx", "A 8314-2022")</f>
        <v/>
      </c>
      <c r="W91">
        <f>HYPERLINK("https://klasma.github.io/Logging_0781/klagomålsmail/A 8314-2022 FSC-klagomål mail.docx", "A 8314-2022")</f>
        <v/>
      </c>
      <c r="X91">
        <f>HYPERLINK("https://klasma.github.io/Logging_0781/tillsyn/A 8314-2022 tillsynsbegäran.docx", "A 8314-2022")</f>
        <v/>
      </c>
      <c r="Y91">
        <f>HYPERLINK("https://klasma.github.io/Logging_0781/tillsynsmail/A 8314-2022 tillsynsbegäran mail.docx", "A 8314-2022")</f>
        <v/>
      </c>
    </row>
    <row r="92" ht="15" customHeight="1">
      <c r="A92" t="inlineStr">
        <is>
          <t>A 23115-2024</t>
        </is>
      </c>
      <c r="B92" s="1" t="n">
        <v>45450.57783564815</v>
      </c>
      <c r="C92" s="1" t="n">
        <v>46103</v>
      </c>
      <c r="D92" t="inlineStr">
        <is>
          <t>KRONOBERGS LÄN</t>
        </is>
      </c>
      <c r="E92" t="inlineStr">
        <is>
          <t>UPPVIDINGE</t>
        </is>
      </c>
      <c r="G92" t="n">
        <v>4.8</v>
      </c>
      <c r="H92" t="n">
        <v>1</v>
      </c>
      <c r="I92" t="n">
        <v>0</v>
      </c>
      <c r="J92" t="n">
        <v>1</v>
      </c>
      <c r="K92" t="n">
        <v>1</v>
      </c>
      <c r="L92" t="n">
        <v>0</v>
      </c>
      <c r="M92" t="n">
        <v>0</v>
      </c>
      <c r="N92" t="n">
        <v>0</v>
      </c>
      <c r="O92" t="n">
        <v>2</v>
      </c>
      <c r="P92" t="n">
        <v>1</v>
      </c>
      <c r="Q92" t="n">
        <v>2</v>
      </c>
      <c r="R92" s="2" t="inlineStr">
        <is>
          <t>Knärot
Ullticka</t>
        </is>
      </c>
      <c r="S92">
        <f>HYPERLINK("https://klasma.github.io/Logging_0760/artfynd/A 23115-2024 artfynd.xlsx", "A 23115-2024")</f>
        <v/>
      </c>
      <c r="T92">
        <f>HYPERLINK("https://klasma.github.io/Logging_0760/kartor/A 23115-2024 karta.png", "A 23115-2024")</f>
        <v/>
      </c>
      <c r="U92">
        <f>HYPERLINK("https://klasma.github.io/Logging_0760/knärot/A 23115-2024 karta knärot.png", "A 23115-2024")</f>
        <v/>
      </c>
      <c r="V92">
        <f>HYPERLINK("https://klasma.github.io/Logging_0760/klagomål/A 23115-2024 FSC-klagomål.docx", "A 23115-2024")</f>
        <v/>
      </c>
      <c r="W92">
        <f>HYPERLINK("https://klasma.github.io/Logging_0760/klagomålsmail/A 23115-2024 FSC-klagomål mail.docx", "A 23115-2024")</f>
        <v/>
      </c>
      <c r="X92">
        <f>HYPERLINK("https://klasma.github.io/Logging_0760/tillsyn/A 23115-2024 tillsynsbegäran.docx", "A 23115-2024")</f>
        <v/>
      </c>
      <c r="Y92">
        <f>HYPERLINK("https://klasma.github.io/Logging_0760/tillsynsmail/A 23115-2024 tillsynsbegäran mail.docx", "A 23115-2024")</f>
        <v/>
      </c>
    </row>
    <row r="93" ht="15" customHeight="1">
      <c r="A93" t="inlineStr">
        <is>
          <t>A 16871-2021</t>
        </is>
      </c>
      <c r="B93" s="1" t="n">
        <v>44295</v>
      </c>
      <c r="C93" s="1" t="n">
        <v>46103</v>
      </c>
      <c r="D93" t="inlineStr">
        <is>
          <t>KRONOBERGS LÄN</t>
        </is>
      </c>
      <c r="E93" t="inlineStr">
        <is>
          <t>UPPVIDINGE</t>
        </is>
      </c>
      <c r="G93" t="n">
        <v>0.7</v>
      </c>
      <c r="H93" t="n">
        <v>0</v>
      </c>
      <c r="I93" t="n">
        <v>0</v>
      </c>
      <c r="J93" t="n">
        <v>1</v>
      </c>
      <c r="K93" t="n">
        <v>0</v>
      </c>
      <c r="L93" t="n">
        <v>0</v>
      </c>
      <c r="M93" t="n">
        <v>0</v>
      </c>
      <c r="N93" t="n">
        <v>0</v>
      </c>
      <c r="O93" t="n">
        <v>1</v>
      </c>
      <c r="P93" t="n">
        <v>0</v>
      </c>
      <c r="Q93" t="n">
        <v>1</v>
      </c>
      <c r="R93" s="2" t="inlineStr">
        <is>
          <t>Brunpudrad nållav</t>
        </is>
      </c>
      <c r="S93">
        <f>HYPERLINK("https://klasma.github.io/Logging_0760/artfynd/A 16871-2021 artfynd.xlsx", "A 16871-2021")</f>
        <v/>
      </c>
      <c r="T93">
        <f>HYPERLINK("https://klasma.github.io/Logging_0760/kartor/A 16871-2021 karta.png", "A 16871-2021")</f>
        <v/>
      </c>
      <c r="V93">
        <f>HYPERLINK("https://klasma.github.io/Logging_0760/klagomål/A 16871-2021 FSC-klagomål.docx", "A 16871-2021")</f>
        <v/>
      </c>
      <c r="W93">
        <f>HYPERLINK("https://klasma.github.io/Logging_0760/klagomålsmail/A 16871-2021 FSC-klagomål mail.docx", "A 16871-2021")</f>
        <v/>
      </c>
      <c r="X93">
        <f>HYPERLINK("https://klasma.github.io/Logging_0760/tillsyn/A 16871-2021 tillsynsbegäran.docx", "A 16871-2021")</f>
        <v/>
      </c>
      <c r="Y93">
        <f>HYPERLINK("https://klasma.github.io/Logging_0760/tillsynsmail/A 16871-2021 tillsynsbegäran mail.docx", "A 16871-2021")</f>
        <v/>
      </c>
    </row>
    <row r="94" ht="15" customHeight="1">
      <c r="A94" t="inlineStr">
        <is>
          <t>A 32873-2021</t>
        </is>
      </c>
      <c r="B94" s="1" t="n">
        <v>44375</v>
      </c>
      <c r="C94" s="1" t="n">
        <v>46103</v>
      </c>
      <c r="D94" t="inlineStr">
        <is>
          <t>KRONOBERGS LÄN</t>
        </is>
      </c>
      <c r="E94" t="inlineStr">
        <is>
          <t>UPPVIDINGE</t>
        </is>
      </c>
      <c r="G94" t="n">
        <v>1</v>
      </c>
      <c r="H94" t="n">
        <v>0</v>
      </c>
      <c r="I94" t="n">
        <v>1</v>
      </c>
      <c r="J94" t="n">
        <v>0</v>
      </c>
      <c r="K94" t="n">
        <v>0</v>
      </c>
      <c r="L94" t="n">
        <v>0</v>
      </c>
      <c r="M94" t="n">
        <v>0</v>
      </c>
      <c r="N94" t="n">
        <v>0</v>
      </c>
      <c r="O94" t="n">
        <v>0</v>
      </c>
      <c r="P94" t="n">
        <v>0</v>
      </c>
      <c r="Q94" t="n">
        <v>1</v>
      </c>
      <c r="R94" s="2" t="inlineStr">
        <is>
          <t>Fjällig taggsvamp s.str.</t>
        </is>
      </c>
      <c r="S94">
        <f>HYPERLINK("https://klasma.github.io/Logging_0760/artfynd/A 32873-2021 artfynd.xlsx", "A 32873-2021")</f>
        <v/>
      </c>
      <c r="T94">
        <f>HYPERLINK("https://klasma.github.io/Logging_0760/kartor/A 32873-2021 karta.png", "A 32873-2021")</f>
        <v/>
      </c>
      <c r="V94">
        <f>HYPERLINK("https://klasma.github.io/Logging_0760/klagomål/A 32873-2021 FSC-klagomål.docx", "A 32873-2021")</f>
        <v/>
      </c>
      <c r="W94">
        <f>HYPERLINK("https://klasma.github.io/Logging_0760/klagomålsmail/A 32873-2021 FSC-klagomål mail.docx", "A 32873-2021")</f>
        <v/>
      </c>
      <c r="X94">
        <f>HYPERLINK("https://klasma.github.io/Logging_0760/tillsyn/A 32873-2021 tillsynsbegäran.docx", "A 32873-2021")</f>
        <v/>
      </c>
      <c r="Y94">
        <f>HYPERLINK("https://klasma.github.io/Logging_0760/tillsynsmail/A 32873-2021 tillsynsbegäran mail.docx", "A 32873-2021")</f>
        <v/>
      </c>
    </row>
    <row r="95" ht="15" customHeight="1">
      <c r="A95" t="inlineStr">
        <is>
          <t>A 24090-2021</t>
        </is>
      </c>
      <c r="B95" s="1" t="n">
        <v>44336</v>
      </c>
      <c r="C95" s="1" t="n">
        <v>46103</v>
      </c>
      <c r="D95" t="inlineStr">
        <is>
          <t>KRONOBERGS LÄN</t>
        </is>
      </c>
      <c r="E95" t="inlineStr">
        <is>
          <t>ALVESTA</t>
        </is>
      </c>
      <c r="G95" t="n">
        <v>2.4</v>
      </c>
      <c r="H95" t="n">
        <v>0</v>
      </c>
      <c r="I95" t="n">
        <v>0</v>
      </c>
      <c r="J95" t="n">
        <v>0</v>
      </c>
      <c r="K95" t="n">
        <v>1</v>
      </c>
      <c r="L95" t="n">
        <v>0</v>
      </c>
      <c r="M95" t="n">
        <v>0</v>
      </c>
      <c r="N95" t="n">
        <v>0</v>
      </c>
      <c r="O95" t="n">
        <v>1</v>
      </c>
      <c r="P95" t="n">
        <v>1</v>
      </c>
      <c r="Q95" t="n">
        <v>1</v>
      </c>
      <c r="R95" s="2" t="inlineStr">
        <is>
          <t>Slåttergubbe</t>
        </is>
      </c>
      <c r="S95">
        <f>HYPERLINK("https://klasma.github.io/Logging_0764/artfynd/A 24090-2021 artfynd.xlsx", "A 24090-2021")</f>
        <v/>
      </c>
      <c r="T95">
        <f>HYPERLINK("https://klasma.github.io/Logging_0764/kartor/A 24090-2021 karta.png", "A 24090-2021")</f>
        <v/>
      </c>
      <c r="V95">
        <f>HYPERLINK("https://klasma.github.io/Logging_0764/klagomål/A 24090-2021 FSC-klagomål.docx", "A 24090-2021")</f>
        <v/>
      </c>
      <c r="W95">
        <f>HYPERLINK("https://klasma.github.io/Logging_0764/klagomålsmail/A 24090-2021 FSC-klagomål mail.docx", "A 24090-2021")</f>
        <v/>
      </c>
      <c r="X95">
        <f>HYPERLINK("https://klasma.github.io/Logging_0764/tillsyn/A 24090-2021 tillsynsbegäran.docx", "A 24090-2021")</f>
        <v/>
      </c>
      <c r="Y95">
        <f>HYPERLINK("https://klasma.github.io/Logging_0764/tillsynsmail/A 24090-2021 tillsynsbegäran mail.docx", "A 24090-2021")</f>
        <v/>
      </c>
    </row>
    <row r="96" ht="15" customHeight="1">
      <c r="A96" t="inlineStr">
        <is>
          <t>A 47909-2021</t>
        </is>
      </c>
      <c r="B96" s="1" t="n">
        <v>44448</v>
      </c>
      <c r="C96" s="1" t="n">
        <v>46103</v>
      </c>
      <c r="D96" t="inlineStr">
        <is>
          <t>KRONOBERGS LÄN</t>
        </is>
      </c>
      <c r="E96" t="inlineStr">
        <is>
          <t>LJUNGBY</t>
        </is>
      </c>
      <c r="G96" t="n">
        <v>2.9</v>
      </c>
      <c r="H96" t="n">
        <v>0</v>
      </c>
      <c r="I96" t="n">
        <v>1</v>
      </c>
      <c r="J96" t="n">
        <v>0</v>
      </c>
      <c r="K96" t="n">
        <v>0</v>
      </c>
      <c r="L96" t="n">
        <v>0</v>
      </c>
      <c r="M96" t="n">
        <v>0</v>
      </c>
      <c r="N96" t="n">
        <v>0</v>
      </c>
      <c r="O96" t="n">
        <v>0</v>
      </c>
      <c r="P96" t="n">
        <v>0</v>
      </c>
      <c r="Q96" t="n">
        <v>1</v>
      </c>
      <c r="R96" s="2" t="inlineStr">
        <is>
          <t>Klippfrullania</t>
        </is>
      </c>
      <c r="S96">
        <f>HYPERLINK("https://klasma.github.io/Logging_0781/artfynd/A 47909-2021 artfynd.xlsx", "A 47909-2021")</f>
        <v/>
      </c>
      <c r="T96">
        <f>HYPERLINK("https://klasma.github.io/Logging_0781/kartor/A 47909-2021 karta.png", "A 47909-2021")</f>
        <v/>
      </c>
      <c r="V96">
        <f>HYPERLINK("https://klasma.github.io/Logging_0781/klagomål/A 47909-2021 FSC-klagomål.docx", "A 47909-2021")</f>
        <v/>
      </c>
      <c r="W96">
        <f>HYPERLINK("https://klasma.github.io/Logging_0781/klagomålsmail/A 47909-2021 FSC-klagomål mail.docx", "A 47909-2021")</f>
        <v/>
      </c>
      <c r="X96">
        <f>HYPERLINK("https://klasma.github.io/Logging_0781/tillsyn/A 47909-2021 tillsynsbegäran.docx", "A 47909-2021")</f>
        <v/>
      </c>
      <c r="Y96">
        <f>HYPERLINK("https://klasma.github.io/Logging_0781/tillsynsmail/A 47909-2021 tillsynsbegäran mail.docx", "A 47909-2021")</f>
        <v/>
      </c>
    </row>
    <row r="97" ht="15" customHeight="1">
      <c r="A97" t="inlineStr">
        <is>
          <t>A 12378-2022</t>
        </is>
      </c>
      <c r="B97" s="1" t="n">
        <v>44637.90193287037</v>
      </c>
      <c r="C97" s="1" t="n">
        <v>46103</v>
      </c>
      <c r="D97" t="inlineStr">
        <is>
          <t>KRONOBERGS LÄN</t>
        </is>
      </c>
      <c r="E97" t="inlineStr">
        <is>
          <t>LESSEBO</t>
        </is>
      </c>
      <c r="G97" t="n">
        <v>1.2</v>
      </c>
      <c r="H97" t="n">
        <v>1</v>
      </c>
      <c r="I97" t="n">
        <v>0</v>
      </c>
      <c r="J97" t="n">
        <v>0</v>
      </c>
      <c r="K97" t="n">
        <v>0</v>
      </c>
      <c r="L97" t="n">
        <v>0</v>
      </c>
      <c r="M97" t="n">
        <v>0</v>
      </c>
      <c r="N97" t="n">
        <v>0</v>
      </c>
      <c r="O97" t="n">
        <v>0</v>
      </c>
      <c r="P97" t="n">
        <v>0</v>
      </c>
      <c r="Q97" t="n">
        <v>1</v>
      </c>
      <c r="R97" s="2" t="inlineStr">
        <is>
          <t>Lopplummer (aggregat)</t>
        </is>
      </c>
      <c r="S97">
        <f>HYPERLINK("https://klasma.github.io/Logging_0761/artfynd/A 12378-2022 artfynd.xlsx", "A 12378-2022")</f>
        <v/>
      </c>
      <c r="T97">
        <f>HYPERLINK("https://klasma.github.io/Logging_0761/kartor/A 12378-2022 karta.png", "A 12378-2022")</f>
        <v/>
      </c>
      <c r="V97">
        <f>HYPERLINK("https://klasma.github.io/Logging_0761/klagomål/A 12378-2022 FSC-klagomål.docx", "A 12378-2022")</f>
        <v/>
      </c>
      <c r="W97">
        <f>HYPERLINK("https://klasma.github.io/Logging_0761/klagomålsmail/A 12378-2022 FSC-klagomål mail.docx", "A 12378-2022")</f>
        <v/>
      </c>
      <c r="X97">
        <f>HYPERLINK("https://klasma.github.io/Logging_0761/tillsyn/A 12378-2022 tillsynsbegäran.docx", "A 12378-2022")</f>
        <v/>
      </c>
      <c r="Y97">
        <f>HYPERLINK("https://klasma.github.io/Logging_0761/tillsynsmail/A 12378-2022 tillsynsbegäran mail.docx", "A 12378-2022")</f>
        <v/>
      </c>
    </row>
    <row r="98" ht="15" customHeight="1">
      <c r="A98" t="inlineStr">
        <is>
          <t>A 17570-2022</t>
        </is>
      </c>
      <c r="B98" s="1" t="n">
        <v>44679</v>
      </c>
      <c r="C98" s="1" t="n">
        <v>46103</v>
      </c>
      <c r="D98" t="inlineStr">
        <is>
          <t>KRONOBERGS LÄN</t>
        </is>
      </c>
      <c r="E98" t="inlineStr">
        <is>
          <t>LJUNGBY</t>
        </is>
      </c>
      <c r="G98" t="n">
        <v>0.5</v>
      </c>
      <c r="H98" t="n">
        <v>0</v>
      </c>
      <c r="I98" t="n">
        <v>0</v>
      </c>
      <c r="J98" t="n">
        <v>1</v>
      </c>
      <c r="K98" t="n">
        <v>0</v>
      </c>
      <c r="L98" t="n">
        <v>0</v>
      </c>
      <c r="M98" t="n">
        <v>0</v>
      </c>
      <c r="N98" t="n">
        <v>0</v>
      </c>
      <c r="O98" t="n">
        <v>1</v>
      </c>
      <c r="P98" t="n">
        <v>0</v>
      </c>
      <c r="Q98" t="n">
        <v>1</v>
      </c>
      <c r="R98" s="2" t="inlineStr">
        <is>
          <t>Borsttåg</t>
        </is>
      </c>
      <c r="S98">
        <f>HYPERLINK("https://klasma.github.io/Logging_0781/artfynd/A 17570-2022 artfynd.xlsx", "A 17570-2022")</f>
        <v/>
      </c>
      <c r="T98">
        <f>HYPERLINK("https://klasma.github.io/Logging_0781/kartor/A 17570-2022 karta.png", "A 17570-2022")</f>
        <v/>
      </c>
      <c r="V98">
        <f>HYPERLINK("https://klasma.github.io/Logging_0781/klagomål/A 17570-2022 FSC-klagomål.docx", "A 17570-2022")</f>
        <v/>
      </c>
      <c r="W98">
        <f>HYPERLINK("https://klasma.github.io/Logging_0781/klagomålsmail/A 17570-2022 FSC-klagomål mail.docx", "A 17570-2022")</f>
        <v/>
      </c>
      <c r="X98">
        <f>HYPERLINK("https://klasma.github.io/Logging_0781/tillsyn/A 17570-2022 tillsynsbegäran.docx", "A 17570-2022")</f>
        <v/>
      </c>
      <c r="Y98">
        <f>HYPERLINK("https://klasma.github.io/Logging_0781/tillsynsmail/A 17570-2022 tillsynsbegäran mail.docx", "A 17570-2022")</f>
        <v/>
      </c>
    </row>
    <row r="99" ht="15" customHeight="1">
      <c r="A99" t="inlineStr">
        <is>
          <t>A 41124-2022</t>
        </is>
      </c>
      <c r="B99" s="1" t="n">
        <v>44825.70888888889</v>
      </c>
      <c r="C99" s="1" t="n">
        <v>46103</v>
      </c>
      <c r="D99" t="inlineStr">
        <is>
          <t>KRONOBERGS LÄN</t>
        </is>
      </c>
      <c r="E99" t="inlineStr">
        <is>
          <t>LJUNGBY</t>
        </is>
      </c>
      <c r="G99" t="n">
        <v>1.3</v>
      </c>
      <c r="H99" t="n">
        <v>1</v>
      </c>
      <c r="I99" t="n">
        <v>0</v>
      </c>
      <c r="J99" t="n">
        <v>0</v>
      </c>
      <c r="K99" t="n">
        <v>0</v>
      </c>
      <c r="L99" t="n">
        <v>0</v>
      </c>
      <c r="M99" t="n">
        <v>0</v>
      </c>
      <c r="N99" t="n">
        <v>0</v>
      </c>
      <c r="O99" t="n">
        <v>0</v>
      </c>
      <c r="P99" t="n">
        <v>0</v>
      </c>
      <c r="Q99" t="n">
        <v>1</v>
      </c>
      <c r="R99" s="2" t="inlineStr">
        <is>
          <t>Göktyta</t>
        </is>
      </c>
      <c r="S99">
        <f>HYPERLINK("https://klasma.github.io/Logging_0781/artfynd/A 41124-2022 artfynd.xlsx", "A 41124-2022")</f>
        <v/>
      </c>
      <c r="T99">
        <f>HYPERLINK("https://klasma.github.io/Logging_0781/kartor/A 41124-2022 karta.png", "A 41124-2022")</f>
        <v/>
      </c>
      <c r="V99">
        <f>HYPERLINK("https://klasma.github.io/Logging_0781/klagomål/A 41124-2022 FSC-klagomål.docx", "A 41124-2022")</f>
        <v/>
      </c>
      <c r="W99">
        <f>HYPERLINK("https://klasma.github.io/Logging_0781/klagomålsmail/A 41124-2022 FSC-klagomål mail.docx", "A 41124-2022")</f>
        <v/>
      </c>
      <c r="X99">
        <f>HYPERLINK("https://klasma.github.io/Logging_0781/tillsyn/A 41124-2022 tillsynsbegäran.docx", "A 41124-2022")</f>
        <v/>
      </c>
      <c r="Y99">
        <f>HYPERLINK("https://klasma.github.io/Logging_0781/tillsynsmail/A 41124-2022 tillsynsbegäran mail.docx", "A 41124-2022")</f>
        <v/>
      </c>
      <c r="Z99">
        <f>HYPERLINK("https://klasma.github.io/Logging_0781/fåglar/A 41124-2022 prioriterade fågelarter.docx", "A 41124-2022")</f>
        <v/>
      </c>
    </row>
    <row r="100" ht="15" customHeight="1">
      <c r="A100" t="inlineStr">
        <is>
          <t>A 67665-2021</t>
        </is>
      </c>
      <c r="B100" s="1" t="n">
        <v>44524</v>
      </c>
      <c r="C100" s="1" t="n">
        <v>46103</v>
      </c>
      <c r="D100" t="inlineStr">
        <is>
          <t>KRONOBERGS LÄN</t>
        </is>
      </c>
      <c r="E100" t="inlineStr">
        <is>
          <t>LJUNGBY</t>
        </is>
      </c>
      <c r="G100" t="n">
        <v>7.8</v>
      </c>
      <c r="H100" t="n">
        <v>0</v>
      </c>
      <c r="I100" t="n">
        <v>0</v>
      </c>
      <c r="J100" t="n">
        <v>0</v>
      </c>
      <c r="K100" t="n">
        <v>1</v>
      </c>
      <c r="L100" t="n">
        <v>0</v>
      </c>
      <c r="M100" t="n">
        <v>0</v>
      </c>
      <c r="N100" t="n">
        <v>0</v>
      </c>
      <c r="O100" t="n">
        <v>1</v>
      </c>
      <c r="P100" t="n">
        <v>1</v>
      </c>
      <c r="Q100" t="n">
        <v>1</v>
      </c>
      <c r="R100" s="2" t="inlineStr">
        <is>
          <t>Sjötåtel</t>
        </is>
      </c>
      <c r="S100">
        <f>HYPERLINK("https://klasma.github.io/Logging_0781/artfynd/A 67665-2021 artfynd.xlsx", "A 67665-2021")</f>
        <v/>
      </c>
      <c r="T100">
        <f>HYPERLINK("https://klasma.github.io/Logging_0781/kartor/A 67665-2021 karta.png", "A 67665-2021")</f>
        <v/>
      </c>
      <c r="V100">
        <f>HYPERLINK("https://klasma.github.io/Logging_0781/klagomål/A 67665-2021 FSC-klagomål.docx", "A 67665-2021")</f>
        <v/>
      </c>
      <c r="W100">
        <f>HYPERLINK("https://klasma.github.io/Logging_0781/klagomålsmail/A 67665-2021 FSC-klagomål mail.docx", "A 67665-2021")</f>
        <v/>
      </c>
      <c r="X100">
        <f>HYPERLINK("https://klasma.github.io/Logging_0781/tillsyn/A 67665-2021 tillsynsbegäran.docx", "A 67665-2021")</f>
        <v/>
      </c>
      <c r="Y100">
        <f>HYPERLINK("https://klasma.github.io/Logging_0781/tillsynsmail/A 67665-2021 tillsynsbegäran mail.docx", "A 67665-2021")</f>
        <v/>
      </c>
    </row>
    <row r="101" ht="15" customHeight="1">
      <c r="A101" t="inlineStr">
        <is>
          <t>A 60235-2021</t>
        </is>
      </c>
      <c r="B101" s="1" t="n">
        <v>44495</v>
      </c>
      <c r="C101" s="1" t="n">
        <v>46103</v>
      </c>
      <c r="D101" t="inlineStr">
        <is>
          <t>KRONOBERGS LÄN</t>
        </is>
      </c>
      <c r="E101" t="inlineStr">
        <is>
          <t>LJUNGBY</t>
        </is>
      </c>
      <c r="G101" t="n">
        <v>9.4</v>
      </c>
      <c r="H101" t="n">
        <v>1</v>
      </c>
      <c r="I101" t="n">
        <v>0</v>
      </c>
      <c r="J101" t="n">
        <v>0</v>
      </c>
      <c r="K101" t="n">
        <v>1</v>
      </c>
      <c r="L101" t="n">
        <v>0</v>
      </c>
      <c r="M101" t="n">
        <v>0</v>
      </c>
      <c r="N101" t="n">
        <v>0</v>
      </c>
      <c r="O101" t="n">
        <v>1</v>
      </c>
      <c r="P101" t="n">
        <v>1</v>
      </c>
      <c r="Q101" t="n">
        <v>1</v>
      </c>
      <c r="R101" s="2" t="inlineStr">
        <is>
          <t>Knärot</t>
        </is>
      </c>
      <c r="S101">
        <f>HYPERLINK("https://klasma.github.io/Logging_0781/artfynd/A 60235-2021 artfynd.xlsx", "A 60235-2021")</f>
        <v/>
      </c>
      <c r="T101">
        <f>HYPERLINK("https://klasma.github.io/Logging_0781/kartor/A 60235-2021 karta.png", "A 60235-2021")</f>
        <v/>
      </c>
      <c r="U101">
        <f>HYPERLINK("https://klasma.github.io/Logging_0781/knärot/A 60235-2021 karta knärot.png", "A 60235-2021")</f>
        <v/>
      </c>
      <c r="V101">
        <f>HYPERLINK("https://klasma.github.io/Logging_0781/klagomål/A 60235-2021 FSC-klagomål.docx", "A 60235-2021")</f>
        <v/>
      </c>
      <c r="W101">
        <f>HYPERLINK("https://klasma.github.io/Logging_0781/klagomålsmail/A 60235-2021 FSC-klagomål mail.docx", "A 60235-2021")</f>
        <v/>
      </c>
      <c r="X101">
        <f>HYPERLINK("https://klasma.github.io/Logging_0781/tillsyn/A 60235-2021 tillsynsbegäran.docx", "A 60235-2021")</f>
        <v/>
      </c>
      <c r="Y101">
        <f>HYPERLINK("https://klasma.github.io/Logging_0781/tillsynsmail/A 60235-2021 tillsynsbegäran mail.docx", "A 60235-2021")</f>
        <v/>
      </c>
    </row>
    <row r="102" ht="15" customHeight="1">
      <c r="A102" t="inlineStr">
        <is>
          <t>A 29922-2022</t>
        </is>
      </c>
      <c r="B102" s="1" t="n">
        <v>44756</v>
      </c>
      <c r="C102" s="1" t="n">
        <v>46103</v>
      </c>
      <c r="D102" t="inlineStr">
        <is>
          <t>KRONOBERGS LÄN</t>
        </is>
      </c>
      <c r="E102" t="inlineStr">
        <is>
          <t>TINGSRYD</t>
        </is>
      </c>
      <c r="G102" t="n">
        <v>3.2</v>
      </c>
      <c r="H102" t="n">
        <v>0</v>
      </c>
      <c r="I102" t="n">
        <v>0</v>
      </c>
      <c r="J102" t="n">
        <v>1</v>
      </c>
      <c r="K102" t="n">
        <v>0</v>
      </c>
      <c r="L102" t="n">
        <v>0</v>
      </c>
      <c r="M102" t="n">
        <v>0</v>
      </c>
      <c r="N102" t="n">
        <v>0</v>
      </c>
      <c r="O102" t="n">
        <v>1</v>
      </c>
      <c r="P102" t="n">
        <v>0</v>
      </c>
      <c r="Q102" t="n">
        <v>1</v>
      </c>
      <c r="R102" s="2" t="inlineStr">
        <is>
          <t>Kandelabersvamp</t>
        </is>
      </c>
      <c r="S102">
        <f>HYPERLINK("https://klasma.github.io/Logging_0763/artfynd/A 29922-2022 artfynd.xlsx", "A 29922-2022")</f>
        <v/>
      </c>
      <c r="T102">
        <f>HYPERLINK("https://klasma.github.io/Logging_0763/kartor/A 29922-2022 karta.png", "A 29922-2022")</f>
        <v/>
      </c>
      <c r="V102">
        <f>HYPERLINK("https://klasma.github.io/Logging_0763/klagomål/A 29922-2022 FSC-klagomål.docx", "A 29922-2022")</f>
        <v/>
      </c>
      <c r="W102">
        <f>HYPERLINK("https://klasma.github.io/Logging_0763/klagomålsmail/A 29922-2022 FSC-klagomål mail.docx", "A 29922-2022")</f>
        <v/>
      </c>
      <c r="X102">
        <f>HYPERLINK("https://klasma.github.io/Logging_0763/tillsyn/A 29922-2022 tillsynsbegäran.docx", "A 29922-2022")</f>
        <v/>
      </c>
      <c r="Y102">
        <f>HYPERLINK("https://klasma.github.io/Logging_0763/tillsynsmail/A 29922-2022 tillsynsbegäran mail.docx", "A 29922-2022")</f>
        <v/>
      </c>
    </row>
    <row r="103" ht="15" customHeight="1">
      <c r="A103" t="inlineStr">
        <is>
          <t>A 37378-2022</t>
        </is>
      </c>
      <c r="B103" s="1" t="n">
        <v>44809.40431712963</v>
      </c>
      <c r="C103" s="1" t="n">
        <v>46103</v>
      </c>
      <c r="D103" t="inlineStr">
        <is>
          <t>KRONOBERGS LÄN</t>
        </is>
      </c>
      <c r="E103" t="inlineStr">
        <is>
          <t>LJUNGBY</t>
        </is>
      </c>
      <c r="G103" t="n">
        <v>2</v>
      </c>
      <c r="H103" t="n">
        <v>1</v>
      </c>
      <c r="I103" t="n">
        <v>0</v>
      </c>
      <c r="J103" t="n">
        <v>1</v>
      </c>
      <c r="K103" t="n">
        <v>0</v>
      </c>
      <c r="L103" t="n">
        <v>0</v>
      </c>
      <c r="M103" t="n">
        <v>0</v>
      </c>
      <c r="N103" t="n">
        <v>0</v>
      </c>
      <c r="O103" t="n">
        <v>1</v>
      </c>
      <c r="P103" t="n">
        <v>0</v>
      </c>
      <c r="Q103" t="n">
        <v>1</v>
      </c>
      <c r="R103" s="2" t="inlineStr">
        <is>
          <t>Talltita</t>
        </is>
      </c>
      <c r="S103">
        <f>HYPERLINK("https://klasma.github.io/Logging_0781/artfynd/A 37378-2022 artfynd.xlsx", "A 37378-2022")</f>
        <v/>
      </c>
      <c r="T103">
        <f>HYPERLINK("https://klasma.github.io/Logging_0781/kartor/A 37378-2022 karta.png", "A 37378-2022")</f>
        <v/>
      </c>
      <c r="V103">
        <f>HYPERLINK("https://klasma.github.io/Logging_0781/klagomål/A 37378-2022 FSC-klagomål.docx", "A 37378-2022")</f>
        <v/>
      </c>
      <c r="W103">
        <f>HYPERLINK("https://klasma.github.io/Logging_0781/klagomålsmail/A 37378-2022 FSC-klagomål mail.docx", "A 37378-2022")</f>
        <v/>
      </c>
      <c r="X103">
        <f>HYPERLINK("https://klasma.github.io/Logging_0781/tillsyn/A 37378-2022 tillsynsbegäran.docx", "A 37378-2022")</f>
        <v/>
      </c>
      <c r="Y103">
        <f>HYPERLINK("https://klasma.github.io/Logging_0781/tillsynsmail/A 37378-2022 tillsynsbegäran mail.docx", "A 37378-2022")</f>
        <v/>
      </c>
      <c r="Z103">
        <f>HYPERLINK("https://klasma.github.io/Logging_0781/fåglar/A 37378-2022 prioriterade fågelarter.docx", "A 37378-2022")</f>
        <v/>
      </c>
    </row>
    <row r="104" ht="15" customHeight="1">
      <c r="A104" t="inlineStr">
        <is>
          <t>A 41419-2021</t>
        </is>
      </c>
      <c r="B104" s="1" t="n">
        <v>44424.69891203703</v>
      </c>
      <c r="C104" s="1" t="n">
        <v>46103</v>
      </c>
      <c r="D104" t="inlineStr">
        <is>
          <t>KRONOBERGS LÄN</t>
        </is>
      </c>
      <c r="E104" t="inlineStr">
        <is>
          <t>ÄLMHULT</t>
        </is>
      </c>
      <c r="G104" t="n">
        <v>1.1</v>
      </c>
      <c r="H104" t="n">
        <v>0</v>
      </c>
      <c r="I104" t="n">
        <v>0</v>
      </c>
      <c r="J104" t="n">
        <v>1</v>
      </c>
      <c r="K104" t="n">
        <v>0</v>
      </c>
      <c r="L104" t="n">
        <v>0</v>
      </c>
      <c r="M104" t="n">
        <v>0</v>
      </c>
      <c r="N104" t="n">
        <v>0</v>
      </c>
      <c r="O104" t="n">
        <v>1</v>
      </c>
      <c r="P104" t="n">
        <v>0</v>
      </c>
      <c r="Q104" t="n">
        <v>1</v>
      </c>
      <c r="R104" s="2" t="inlineStr">
        <is>
          <t>Sommarfibbla</t>
        </is>
      </c>
      <c r="S104">
        <f>HYPERLINK("https://klasma.github.io/Logging_0765/artfynd/A 41419-2021 artfynd.xlsx", "A 41419-2021")</f>
        <v/>
      </c>
      <c r="T104">
        <f>HYPERLINK("https://klasma.github.io/Logging_0765/kartor/A 41419-2021 karta.png", "A 41419-2021")</f>
        <v/>
      </c>
      <c r="V104">
        <f>HYPERLINK("https://klasma.github.io/Logging_0765/klagomål/A 41419-2021 FSC-klagomål.docx", "A 41419-2021")</f>
        <v/>
      </c>
      <c r="W104">
        <f>HYPERLINK("https://klasma.github.io/Logging_0765/klagomålsmail/A 41419-2021 FSC-klagomål mail.docx", "A 41419-2021")</f>
        <v/>
      </c>
      <c r="X104">
        <f>HYPERLINK("https://klasma.github.io/Logging_0765/tillsyn/A 41419-2021 tillsynsbegäran.docx", "A 41419-2021")</f>
        <v/>
      </c>
      <c r="Y104">
        <f>HYPERLINK("https://klasma.github.io/Logging_0765/tillsynsmail/A 41419-2021 tillsynsbegäran mail.docx", "A 41419-2021")</f>
        <v/>
      </c>
    </row>
    <row r="105" ht="15" customHeight="1">
      <c r="A105" t="inlineStr">
        <is>
          <t>A 6134-2022</t>
        </is>
      </c>
      <c r="B105" s="1" t="n">
        <v>44599.69256944444</v>
      </c>
      <c r="C105" s="1" t="n">
        <v>46103</v>
      </c>
      <c r="D105" t="inlineStr">
        <is>
          <t>KRONOBERGS LÄN</t>
        </is>
      </c>
      <c r="E105" t="inlineStr">
        <is>
          <t>TINGSRYD</t>
        </is>
      </c>
      <c r="G105" t="n">
        <v>0.7</v>
      </c>
      <c r="H105" t="n">
        <v>1</v>
      </c>
      <c r="I105" t="n">
        <v>0</v>
      </c>
      <c r="J105" t="n">
        <v>0</v>
      </c>
      <c r="K105" t="n">
        <v>1</v>
      </c>
      <c r="L105" t="n">
        <v>0</v>
      </c>
      <c r="M105" t="n">
        <v>0</v>
      </c>
      <c r="N105" t="n">
        <v>0</v>
      </c>
      <c r="O105" t="n">
        <v>1</v>
      </c>
      <c r="P105" t="n">
        <v>1</v>
      </c>
      <c r="Q105" t="n">
        <v>1</v>
      </c>
      <c r="R105" s="2" t="inlineStr">
        <is>
          <t>Knärot</t>
        </is>
      </c>
      <c r="S105">
        <f>HYPERLINK("https://klasma.github.io/Logging_0763/artfynd/A 6134-2022 artfynd.xlsx", "A 6134-2022")</f>
        <v/>
      </c>
      <c r="T105">
        <f>HYPERLINK("https://klasma.github.io/Logging_0763/kartor/A 6134-2022 karta.png", "A 6134-2022")</f>
        <v/>
      </c>
      <c r="U105">
        <f>HYPERLINK("https://klasma.github.io/Logging_0763/knärot/A 6134-2022 karta knärot.png", "A 6134-2022")</f>
        <v/>
      </c>
      <c r="V105">
        <f>HYPERLINK("https://klasma.github.io/Logging_0763/klagomål/A 6134-2022 FSC-klagomål.docx", "A 6134-2022")</f>
        <v/>
      </c>
      <c r="W105">
        <f>HYPERLINK("https://klasma.github.io/Logging_0763/klagomålsmail/A 6134-2022 FSC-klagomål mail.docx", "A 6134-2022")</f>
        <v/>
      </c>
      <c r="X105">
        <f>HYPERLINK("https://klasma.github.io/Logging_0763/tillsyn/A 6134-2022 tillsynsbegäran.docx", "A 6134-2022")</f>
        <v/>
      </c>
      <c r="Y105">
        <f>HYPERLINK("https://klasma.github.io/Logging_0763/tillsynsmail/A 6134-2022 tillsynsbegäran mail.docx", "A 6134-2022")</f>
        <v/>
      </c>
    </row>
    <row r="106" ht="15" customHeight="1">
      <c r="A106" t="inlineStr">
        <is>
          <t>A 39766-2022</t>
        </is>
      </c>
      <c r="B106" s="1" t="n">
        <v>44819</v>
      </c>
      <c r="C106" s="1" t="n">
        <v>46103</v>
      </c>
      <c r="D106" t="inlineStr">
        <is>
          <t>KRONOBERGS LÄN</t>
        </is>
      </c>
      <c r="E106" t="inlineStr">
        <is>
          <t>ALVESTA</t>
        </is>
      </c>
      <c r="G106" t="n">
        <v>0.8</v>
      </c>
      <c r="H106" t="n">
        <v>0</v>
      </c>
      <c r="I106" t="n">
        <v>1</v>
      </c>
      <c r="J106" t="n">
        <v>0</v>
      </c>
      <c r="K106" t="n">
        <v>0</v>
      </c>
      <c r="L106" t="n">
        <v>0</v>
      </c>
      <c r="M106" t="n">
        <v>0</v>
      </c>
      <c r="N106" t="n">
        <v>0</v>
      </c>
      <c r="O106" t="n">
        <v>0</v>
      </c>
      <c r="P106" t="n">
        <v>0</v>
      </c>
      <c r="Q106" t="n">
        <v>1</v>
      </c>
      <c r="R106" s="2" t="inlineStr">
        <is>
          <t>Brandticka</t>
        </is>
      </c>
      <c r="S106">
        <f>HYPERLINK("https://klasma.github.io/Logging_0764/artfynd/A 39766-2022 artfynd.xlsx", "A 39766-2022")</f>
        <v/>
      </c>
      <c r="T106">
        <f>HYPERLINK("https://klasma.github.io/Logging_0764/kartor/A 39766-2022 karta.png", "A 39766-2022")</f>
        <v/>
      </c>
      <c r="V106">
        <f>HYPERLINK("https://klasma.github.io/Logging_0764/klagomål/A 39766-2022 FSC-klagomål.docx", "A 39766-2022")</f>
        <v/>
      </c>
      <c r="W106">
        <f>HYPERLINK("https://klasma.github.io/Logging_0764/klagomålsmail/A 39766-2022 FSC-klagomål mail.docx", "A 39766-2022")</f>
        <v/>
      </c>
      <c r="X106">
        <f>HYPERLINK("https://klasma.github.io/Logging_0764/tillsyn/A 39766-2022 tillsynsbegäran.docx", "A 39766-2022")</f>
        <v/>
      </c>
      <c r="Y106">
        <f>HYPERLINK("https://klasma.github.io/Logging_0764/tillsynsmail/A 39766-2022 tillsynsbegäran mail.docx", "A 39766-2022")</f>
        <v/>
      </c>
    </row>
    <row r="107" ht="15" customHeight="1">
      <c r="A107" t="inlineStr">
        <is>
          <t>A 41652-2022</t>
        </is>
      </c>
      <c r="B107" s="1" t="n">
        <v>44827</v>
      </c>
      <c r="C107" s="1" t="n">
        <v>46103</v>
      </c>
      <c r="D107" t="inlineStr">
        <is>
          <t>KRONOBERGS LÄN</t>
        </is>
      </c>
      <c r="E107" t="inlineStr">
        <is>
          <t>UPPVIDINGE</t>
        </is>
      </c>
      <c r="G107" t="n">
        <v>1.1</v>
      </c>
      <c r="H107" t="n">
        <v>1</v>
      </c>
      <c r="I107" t="n">
        <v>0</v>
      </c>
      <c r="J107" t="n">
        <v>0</v>
      </c>
      <c r="K107" t="n">
        <v>0</v>
      </c>
      <c r="L107" t="n">
        <v>0</v>
      </c>
      <c r="M107" t="n">
        <v>0</v>
      </c>
      <c r="N107" t="n">
        <v>0</v>
      </c>
      <c r="O107" t="n">
        <v>0</v>
      </c>
      <c r="P107" t="n">
        <v>0</v>
      </c>
      <c r="Q107" t="n">
        <v>1</v>
      </c>
      <c r="R107" s="2" t="inlineStr">
        <is>
          <t>Sankt pers nycklar</t>
        </is>
      </c>
      <c r="S107">
        <f>HYPERLINK("https://klasma.github.io/Logging_0760/artfynd/A 41652-2022 artfynd.xlsx", "A 41652-2022")</f>
        <v/>
      </c>
      <c r="T107">
        <f>HYPERLINK("https://klasma.github.io/Logging_0760/kartor/A 41652-2022 karta.png", "A 41652-2022")</f>
        <v/>
      </c>
      <c r="V107">
        <f>HYPERLINK("https://klasma.github.io/Logging_0760/klagomål/A 41652-2022 FSC-klagomål.docx", "A 41652-2022")</f>
        <v/>
      </c>
      <c r="W107">
        <f>HYPERLINK("https://klasma.github.io/Logging_0760/klagomålsmail/A 41652-2022 FSC-klagomål mail.docx", "A 41652-2022")</f>
        <v/>
      </c>
      <c r="X107">
        <f>HYPERLINK("https://klasma.github.io/Logging_0760/tillsyn/A 41652-2022 tillsynsbegäran.docx", "A 41652-2022")</f>
        <v/>
      </c>
      <c r="Y107">
        <f>HYPERLINK("https://klasma.github.io/Logging_0760/tillsynsmail/A 41652-2022 tillsynsbegäran mail.docx", "A 41652-2022")</f>
        <v/>
      </c>
    </row>
    <row r="108" ht="15" customHeight="1">
      <c r="A108" t="inlineStr">
        <is>
          <t>A 29918-2022</t>
        </is>
      </c>
      <c r="B108" s="1" t="n">
        <v>44756</v>
      </c>
      <c r="C108" s="1" t="n">
        <v>46103</v>
      </c>
      <c r="D108" t="inlineStr">
        <is>
          <t>KRONOBERGS LÄN</t>
        </is>
      </c>
      <c r="E108" t="inlineStr">
        <is>
          <t>TINGSRYD</t>
        </is>
      </c>
      <c r="G108" t="n">
        <v>1.7</v>
      </c>
      <c r="H108" t="n">
        <v>1</v>
      </c>
      <c r="I108" t="n">
        <v>0</v>
      </c>
      <c r="J108" t="n">
        <v>1</v>
      </c>
      <c r="K108" t="n">
        <v>0</v>
      </c>
      <c r="L108" t="n">
        <v>0</v>
      </c>
      <c r="M108" t="n">
        <v>0</v>
      </c>
      <c r="N108" t="n">
        <v>0</v>
      </c>
      <c r="O108" t="n">
        <v>1</v>
      </c>
      <c r="P108" t="n">
        <v>0</v>
      </c>
      <c r="Q108" t="n">
        <v>1</v>
      </c>
      <c r="R108" s="2" t="inlineStr">
        <is>
          <t>Talltita</t>
        </is>
      </c>
      <c r="S108">
        <f>HYPERLINK("https://klasma.github.io/Logging_0763/artfynd/A 29918-2022 artfynd.xlsx", "A 29918-2022")</f>
        <v/>
      </c>
      <c r="T108">
        <f>HYPERLINK("https://klasma.github.io/Logging_0763/kartor/A 29918-2022 karta.png", "A 29918-2022")</f>
        <v/>
      </c>
      <c r="V108">
        <f>HYPERLINK("https://klasma.github.io/Logging_0763/klagomål/A 29918-2022 FSC-klagomål.docx", "A 29918-2022")</f>
        <v/>
      </c>
      <c r="W108">
        <f>HYPERLINK("https://klasma.github.io/Logging_0763/klagomålsmail/A 29918-2022 FSC-klagomål mail.docx", "A 29918-2022")</f>
        <v/>
      </c>
      <c r="X108">
        <f>HYPERLINK("https://klasma.github.io/Logging_0763/tillsyn/A 29918-2022 tillsynsbegäran.docx", "A 29918-2022")</f>
        <v/>
      </c>
      <c r="Y108">
        <f>HYPERLINK("https://klasma.github.io/Logging_0763/tillsynsmail/A 29918-2022 tillsynsbegäran mail.docx", "A 29918-2022")</f>
        <v/>
      </c>
      <c r="Z108">
        <f>HYPERLINK("https://klasma.github.io/Logging_0763/fåglar/A 29918-2022 prioriterade fågelarter.docx", "A 29918-2022")</f>
        <v/>
      </c>
    </row>
    <row r="109" ht="15" customHeight="1">
      <c r="A109" t="inlineStr">
        <is>
          <t>A 40568-2022</t>
        </is>
      </c>
      <c r="B109" s="1" t="n">
        <v>44823</v>
      </c>
      <c r="C109" s="1" t="n">
        <v>46103</v>
      </c>
      <c r="D109" t="inlineStr">
        <is>
          <t>KRONOBERGS LÄN</t>
        </is>
      </c>
      <c r="E109" t="inlineStr">
        <is>
          <t>ALVESTA</t>
        </is>
      </c>
      <c r="G109" t="n">
        <v>1.7</v>
      </c>
      <c r="H109" t="n">
        <v>1</v>
      </c>
      <c r="I109" t="n">
        <v>0</v>
      </c>
      <c r="J109" t="n">
        <v>0</v>
      </c>
      <c r="K109" t="n">
        <v>0</v>
      </c>
      <c r="L109" t="n">
        <v>0</v>
      </c>
      <c r="M109" t="n">
        <v>0</v>
      </c>
      <c r="N109" t="n">
        <v>0</v>
      </c>
      <c r="O109" t="n">
        <v>0</v>
      </c>
      <c r="P109" t="n">
        <v>0</v>
      </c>
      <c r="Q109" t="n">
        <v>1</v>
      </c>
      <c r="R109" s="2" t="inlineStr">
        <is>
          <t>Göktyta</t>
        </is>
      </c>
      <c r="S109">
        <f>HYPERLINK("https://klasma.github.io/Logging_0764/artfynd/A 40568-2022 artfynd.xlsx", "A 40568-2022")</f>
        <v/>
      </c>
      <c r="T109">
        <f>HYPERLINK("https://klasma.github.io/Logging_0764/kartor/A 40568-2022 karta.png", "A 40568-2022")</f>
        <v/>
      </c>
      <c r="V109">
        <f>HYPERLINK("https://klasma.github.io/Logging_0764/klagomål/A 40568-2022 FSC-klagomål.docx", "A 40568-2022")</f>
        <v/>
      </c>
      <c r="W109">
        <f>HYPERLINK("https://klasma.github.io/Logging_0764/klagomålsmail/A 40568-2022 FSC-klagomål mail.docx", "A 40568-2022")</f>
        <v/>
      </c>
      <c r="X109">
        <f>HYPERLINK("https://klasma.github.io/Logging_0764/tillsyn/A 40568-2022 tillsynsbegäran.docx", "A 40568-2022")</f>
        <v/>
      </c>
      <c r="Y109">
        <f>HYPERLINK("https://klasma.github.io/Logging_0764/tillsynsmail/A 40568-2022 tillsynsbegäran mail.docx", "A 40568-2022")</f>
        <v/>
      </c>
      <c r="Z109">
        <f>HYPERLINK("https://klasma.github.io/Logging_0764/fåglar/A 40568-2022 prioriterade fågelarter.docx", "A 40568-2022")</f>
        <v/>
      </c>
    </row>
    <row r="110" ht="15" customHeight="1">
      <c r="A110" t="inlineStr">
        <is>
          <t>A 3220-2022</t>
        </is>
      </c>
      <c r="B110" s="1" t="n">
        <v>44582</v>
      </c>
      <c r="C110" s="1" t="n">
        <v>46103</v>
      </c>
      <c r="D110" t="inlineStr">
        <is>
          <t>KRONOBERGS LÄN</t>
        </is>
      </c>
      <c r="E110" t="inlineStr">
        <is>
          <t>LJUNGBY</t>
        </is>
      </c>
      <c r="G110" t="n">
        <v>0.6</v>
      </c>
      <c r="H110" t="n">
        <v>1</v>
      </c>
      <c r="I110" t="n">
        <v>0</v>
      </c>
      <c r="J110" t="n">
        <v>1</v>
      </c>
      <c r="K110" t="n">
        <v>0</v>
      </c>
      <c r="L110" t="n">
        <v>0</v>
      </c>
      <c r="M110" t="n">
        <v>0</v>
      </c>
      <c r="N110" t="n">
        <v>0</v>
      </c>
      <c r="O110" t="n">
        <v>1</v>
      </c>
      <c r="P110" t="n">
        <v>0</v>
      </c>
      <c r="Q110" t="n">
        <v>1</v>
      </c>
      <c r="R110" s="2" t="inlineStr">
        <is>
          <t>Talltita</t>
        </is>
      </c>
      <c r="S110">
        <f>HYPERLINK("https://klasma.github.io/Logging_0781/artfynd/A 3220-2022 artfynd.xlsx", "A 3220-2022")</f>
        <v/>
      </c>
      <c r="T110">
        <f>HYPERLINK("https://klasma.github.io/Logging_0781/kartor/A 3220-2022 karta.png", "A 3220-2022")</f>
        <v/>
      </c>
      <c r="V110">
        <f>HYPERLINK("https://klasma.github.io/Logging_0781/klagomål/A 3220-2022 FSC-klagomål.docx", "A 3220-2022")</f>
        <v/>
      </c>
      <c r="W110">
        <f>HYPERLINK("https://klasma.github.io/Logging_0781/klagomålsmail/A 3220-2022 FSC-klagomål mail.docx", "A 3220-2022")</f>
        <v/>
      </c>
      <c r="X110">
        <f>HYPERLINK("https://klasma.github.io/Logging_0781/tillsyn/A 3220-2022 tillsynsbegäran.docx", "A 3220-2022")</f>
        <v/>
      </c>
      <c r="Y110">
        <f>HYPERLINK("https://klasma.github.io/Logging_0781/tillsynsmail/A 3220-2022 tillsynsbegäran mail.docx", "A 3220-2022")</f>
        <v/>
      </c>
      <c r="Z110">
        <f>HYPERLINK("https://klasma.github.io/Logging_0781/fåglar/A 3220-2022 prioriterade fågelarter.docx", "A 3220-2022")</f>
        <v/>
      </c>
    </row>
    <row r="111" ht="15" customHeight="1">
      <c r="A111" t="inlineStr">
        <is>
          <t>A 18486-2025</t>
        </is>
      </c>
      <c r="B111" s="1" t="n">
        <v>45763.28596064815</v>
      </c>
      <c r="C111" s="1" t="n">
        <v>46103</v>
      </c>
      <c r="D111" t="inlineStr">
        <is>
          <t>KRONOBERGS LÄN</t>
        </is>
      </c>
      <c r="E111" t="inlineStr">
        <is>
          <t>ALVESTA</t>
        </is>
      </c>
      <c r="G111" t="n">
        <v>1.5</v>
      </c>
      <c r="H111" t="n">
        <v>1</v>
      </c>
      <c r="I111" t="n">
        <v>0</v>
      </c>
      <c r="J111" t="n">
        <v>1</v>
      </c>
      <c r="K111" t="n">
        <v>0</v>
      </c>
      <c r="L111" t="n">
        <v>0</v>
      </c>
      <c r="M111" t="n">
        <v>0</v>
      </c>
      <c r="N111" t="n">
        <v>0</v>
      </c>
      <c r="O111" t="n">
        <v>1</v>
      </c>
      <c r="P111" t="n">
        <v>0</v>
      </c>
      <c r="Q111" t="n">
        <v>1</v>
      </c>
      <c r="R111" s="2" t="inlineStr">
        <is>
          <t>Spillkråka</t>
        </is>
      </c>
      <c r="S111">
        <f>HYPERLINK("https://klasma.github.io/Logging_0764/artfynd/A 18486-2025 artfynd.xlsx", "A 18486-2025")</f>
        <v/>
      </c>
      <c r="T111">
        <f>HYPERLINK("https://klasma.github.io/Logging_0764/kartor/A 18486-2025 karta.png", "A 18486-2025")</f>
        <v/>
      </c>
      <c r="V111">
        <f>HYPERLINK("https://klasma.github.io/Logging_0764/klagomål/A 18486-2025 FSC-klagomål.docx", "A 18486-2025")</f>
        <v/>
      </c>
      <c r="W111">
        <f>HYPERLINK("https://klasma.github.io/Logging_0764/klagomålsmail/A 18486-2025 FSC-klagomål mail.docx", "A 18486-2025")</f>
        <v/>
      </c>
      <c r="X111">
        <f>HYPERLINK("https://klasma.github.io/Logging_0764/tillsyn/A 18486-2025 tillsynsbegäran.docx", "A 18486-2025")</f>
        <v/>
      </c>
      <c r="Y111">
        <f>HYPERLINK("https://klasma.github.io/Logging_0764/tillsynsmail/A 18486-2025 tillsynsbegäran mail.docx", "A 18486-2025")</f>
        <v/>
      </c>
      <c r="Z111">
        <f>HYPERLINK("https://klasma.github.io/Logging_0764/fåglar/A 18486-2025 prioriterade fågelarter.docx", "A 18486-2025")</f>
        <v/>
      </c>
    </row>
    <row r="112" ht="15" customHeight="1">
      <c r="A112" t="inlineStr">
        <is>
          <t>A 14022-2024</t>
        </is>
      </c>
      <c r="B112" s="1" t="n">
        <v>45392</v>
      </c>
      <c r="C112" s="1" t="n">
        <v>46103</v>
      </c>
      <c r="D112" t="inlineStr">
        <is>
          <t>KRONOBERGS LÄN</t>
        </is>
      </c>
      <c r="E112" t="inlineStr">
        <is>
          <t>VÄXJÖ</t>
        </is>
      </c>
      <c r="F112" t="inlineStr">
        <is>
          <t>Sveaskog</t>
        </is>
      </c>
      <c r="G112" t="n">
        <v>1.4</v>
      </c>
      <c r="H112" t="n">
        <v>0</v>
      </c>
      <c r="I112" t="n">
        <v>0</v>
      </c>
      <c r="J112" t="n">
        <v>1</v>
      </c>
      <c r="K112" t="n">
        <v>0</v>
      </c>
      <c r="L112" t="n">
        <v>0</v>
      </c>
      <c r="M112" t="n">
        <v>0</v>
      </c>
      <c r="N112" t="n">
        <v>0</v>
      </c>
      <c r="O112" t="n">
        <v>1</v>
      </c>
      <c r="P112" t="n">
        <v>0</v>
      </c>
      <c r="Q112" t="n">
        <v>1</v>
      </c>
      <c r="R112" s="2" t="inlineStr">
        <is>
          <t>Borsttåg</t>
        </is>
      </c>
      <c r="S112">
        <f>HYPERLINK("https://klasma.github.io/Logging_0780/artfynd/A 14022-2024 artfynd.xlsx", "A 14022-2024")</f>
        <v/>
      </c>
      <c r="T112">
        <f>HYPERLINK("https://klasma.github.io/Logging_0780/kartor/A 14022-2024 karta.png", "A 14022-2024")</f>
        <v/>
      </c>
      <c r="V112">
        <f>HYPERLINK("https://klasma.github.io/Logging_0780/klagomål/A 14022-2024 FSC-klagomål.docx", "A 14022-2024")</f>
        <v/>
      </c>
      <c r="W112">
        <f>HYPERLINK("https://klasma.github.io/Logging_0780/klagomålsmail/A 14022-2024 FSC-klagomål mail.docx", "A 14022-2024")</f>
        <v/>
      </c>
      <c r="X112">
        <f>HYPERLINK("https://klasma.github.io/Logging_0780/tillsyn/A 14022-2024 tillsynsbegäran.docx", "A 14022-2024")</f>
        <v/>
      </c>
      <c r="Y112">
        <f>HYPERLINK("https://klasma.github.io/Logging_0780/tillsynsmail/A 14022-2024 tillsynsbegäran mail.docx", "A 14022-2024")</f>
        <v/>
      </c>
    </row>
    <row r="113" ht="15" customHeight="1">
      <c r="A113" t="inlineStr">
        <is>
          <t>A 9825-2023</t>
        </is>
      </c>
      <c r="B113" s="1" t="n">
        <v>44984</v>
      </c>
      <c r="C113" s="1" t="n">
        <v>46103</v>
      </c>
      <c r="D113" t="inlineStr">
        <is>
          <t>KRONOBERGS LÄN</t>
        </is>
      </c>
      <c r="E113" t="inlineStr">
        <is>
          <t>TINGSRYD</t>
        </is>
      </c>
      <c r="G113" t="n">
        <v>3.5</v>
      </c>
      <c r="H113" t="n">
        <v>1</v>
      </c>
      <c r="I113" t="n">
        <v>0</v>
      </c>
      <c r="J113" t="n">
        <v>0</v>
      </c>
      <c r="K113" t="n">
        <v>0</v>
      </c>
      <c r="L113" t="n">
        <v>0</v>
      </c>
      <c r="M113" t="n">
        <v>0</v>
      </c>
      <c r="N113" t="n">
        <v>0</v>
      </c>
      <c r="O113" t="n">
        <v>0</v>
      </c>
      <c r="P113" t="n">
        <v>0</v>
      </c>
      <c r="Q113" t="n">
        <v>1</v>
      </c>
      <c r="R113" s="2" t="inlineStr">
        <is>
          <t>Huggorm</t>
        </is>
      </c>
      <c r="S113">
        <f>HYPERLINK("https://klasma.github.io/Logging_0763/artfynd/A 9825-2023 artfynd.xlsx", "A 9825-2023")</f>
        <v/>
      </c>
      <c r="T113">
        <f>HYPERLINK("https://klasma.github.io/Logging_0763/kartor/A 9825-2023 karta.png", "A 9825-2023")</f>
        <v/>
      </c>
      <c r="V113">
        <f>HYPERLINK("https://klasma.github.io/Logging_0763/klagomål/A 9825-2023 FSC-klagomål.docx", "A 9825-2023")</f>
        <v/>
      </c>
      <c r="W113">
        <f>HYPERLINK("https://klasma.github.io/Logging_0763/klagomålsmail/A 9825-2023 FSC-klagomål mail.docx", "A 9825-2023")</f>
        <v/>
      </c>
      <c r="X113">
        <f>HYPERLINK("https://klasma.github.io/Logging_0763/tillsyn/A 9825-2023 tillsynsbegäran.docx", "A 9825-2023")</f>
        <v/>
      </c>
      <c r="Y113">
        <f>HYPERLINK("https://klasma.github.io/Logging_0763/tillsynsmail/A 9825-2023 tillsynsbegäran mail.docx", "A 9825-2023")</f>
        <v/>
      </c>
    </row>
    <row r="114" ht="15" customHeight="1">
      <c r="A114" t="inlineStr">
        <is>
          <t>A 28041-2024</t>
        </is>
      </c>
      <c r="B114" s="1" t="n">
        <v>45476.50744212963</v>
      </c>
      <c r="C114" s="1" t="n">
        <v>46103</v>
      </c>
      <c r="D114" t="inlineStr">
        <is>
          <t>KRONOBERGS LÄN</t>
        </is>
      </c>
      <c r="E114" t="inlineStr">
        <is>
          <t>LJUNGBY</t>
        </is>
      </c>
      <c r="G114" t="n">
        <v>0.8</v>
      </c>
      <c r="H114" t="n">
        <v>1</v>
      </c>
      <c r="I114" t="n">
        <v>0</v>
      </c>
      <c r="J114" t="n">
        <v>0</v>
      </c>
      <c r="K114" t="n">
        <v>0</v>
      </c>
      <c r="L114" t="n">
        <v>0</v>
      </c>
      <c r="M114" t="n">
        <v>0</v>
      </c>
      <c r="N114" t="n">
        <v>0</v>
      </c>
      <c r="O114" t="n">
        <v>0</v>
      </c>
      <c r="P114" t="n">
        <v>0</v>
      </c>
      <c r="Q114" t="n">
        <v>1</v>
      </c>
      <c r="R114" s="2" t="inlineStr">
        <is>
          <t>Mattlummer</t>
        </is>
      </c>
      <c r="S114">
        <f>HYPERLINK("https://klasma.github.io/Logging_0781/artfynd/A 28041-2024 artfynd.xlsx", "A 28041-2024")</f>
        <v/>
      </c>
      <c r="T114">
        <f>HYPERLINK("https://klasma.github.io/Logging_0781/kartor/A 28041-2024 karta.png", "A 28041-2024")</f>
        <v/>
      </c>
      <c r="V114">
        <f>HYPERLINK("https://klasma.github.io/Logging_0781/klagomål/A 28041-2024 FSC-klagomål.docx", "A 28041-2024")</f>
        <v/>
      </c>
      <c r="W114">
        <f>HYPERLINK("https://klasma.github.io/Logging_0781/klagomålsmail/A 28041-2024 FSC-klagomål mail.docx", "A 28041-2024")</f>
        <v/>
      </c>
      <c r="X114">
        <f>HYPERLINK("https://klasma.github.io/Logging_0781/tillsyn/A 28041-2024 tillsynsbegäran.docx", "A 28041-2024")</f>
        <v/>
      </c>
      <c r="Y114">
        <f>HYPERLINK("https://klasma.github.io/Logging_0781/tillsynsmail/A 28041-2024 tillsynsbegäran mail.docx", "A 28041-2024")</f>
        <v/>
      </c>
    </row>
    <row r="115" ht="15" customHeight="1">
      <c r="A115" t="inlineStr">
        <is>
          <t>A 22758-2025</t>
        </is>
      </c>
      <c r="B115" s="1" t="n">
        <v>45789.61961805556</v>
      </c>
      <c r="C115" s="1" t="n">
        <v>46103</v>
      </c>
      <c r="D115" t="inlineStr">
        <is>
          <t>KRONOBERGS LÄN</t>
        </is>
      </c>
      <c r="E115" t="inlineStr">
        <is>
          <t>UPPVIDINGE</t>
        </is>
      </c>
      <c r="G115" t="n">
        <v>2.9</v>
      </c>
      <c r="H115" t="n">
        <v>1</v>
      </c>
      <c r="I115" t="n">
        <v>0</v>
      </c>
      <c r="J115" t="n">
        <v>0</v>
      </c>
      <c r="K115" t="n">
        <v>1</v>
      </c>
      <c r="L115" t="n">
        <v>0</v>
      </c>
      <c r="M115" t="n">
        <v>0</v>
      </c>
      <c r="N115" t="n">
        <v>0</v>
      </c>
      <c r="O115" t="n">
        <v>1</v>
      </c>
      <c r="P115" t="n">
        <v>1</v>
      </c>
      <c r="Q115" t="n">
        <v>1</v>
      </c>
      <c r="R115" s="2" t="inlineStr">
        <is>
          <t>Knärot</t>
        </is>
      </c>
      <c r="S115">
        <f>HYPERLINK("https://klasma.github.io/Logging_0760/artfynd/A 22758-2025 artfynd.xlsx", "A 22758-2025")</f>
        <v/>
      </c>
      <c r="T115">
        <f>HYPERLINK("https://klasma.github.io/Logging_0760/kartor/A 22758-2025 karta.png", "A 22758-2025")</f>
        <v/>
      </c>
      <c r="U115">
        <f>HYPERLINK("https://klasma.github.io/Logging_0760/knärot/A 22758-2025 karta knärot.png", "A 22758-2025")</f>
        <v/>
      </c>
      <c r="V115">
        <f>HYPERLINK("https://klasma.github.io/Logging_0760/klagomål/A 22758-2025 FSC-klagomål.docx", "A 22758-2025")</f>
        <v/>
      </c>
      <c r="W115">
        <f>HYPERLINK("https://klasma.github.io/Logging_0760/klagomålsmail/A 22758-2025 FSC-klagomål mail.docx", "A 22758-2025")</f>
        <v/>
      </c>
      <c r="X115">
        <f>HYPERLINK("https://klasma.github.io/Logging_0760/tillsyn/A 22758-2025 tillsynsbegäran.docx", "A 22758-2025")</f>
        <v/>
      </c>
      <c r="Y115">
        <f>HYPERLINK("https://klasma.github.io/Logging_0760/tillsynsmail/A 22758-2025 tillsynsbegäran mail.docx", "A 22758-2025")</f>
        <v/>
      </c>
    </row>
    <row r="116" ht="15" customHeight="1">
      <c r="A116" t="inlineStr">
        <is>
          <t>A 13497-2024</t>
        </is>
      </c>
      <c r="B116" s="1" t="n">
        <v>45387</v>
      </c>
      <c r="C116" s="1" t="n">
        <v>46103</v>
      </c>
      <c r="D116" t="inlineStr">
        <is>
          <t>KRONOBERGS LÄN</t>
        </is>
      </c>
      <c r="E116" t="inlineStr">
        <is>
          <t>TINGSRYD</t>
        </is>
      </c>
      <c r="G116" t="n">
        <v>3.2</v>
      </c>
      <c r="H116" t="n">
        <v>1</v>
      </c>
      <c r="I116" t="n">
        <v>0</v>
      </c>
      <c r="J116" t="n">
        <v>0</v>
      </c>
      <c r="K116" t="n">
        <v>1</v>
      </c>
      <c r="L116" t="n">
        <v>0</v>
      </c>
      <c r="M116" t="n">
        <v>0</v>
      </c>
      <c r="N116" t="n">
        <v>0</v>
      </c>
      <c r="O116" t="n">
        <v>1</v>
      </c>
      <c r="P116" t="n">
        <v>1</v>
      </c>
      <c r="Q116" t="n">
        <v>1</v>
      </c>
      <c r="R116" s="2" t="inlineStr">
        <is>
          <t>Knärot</t>
        </is>
      </c>
      <c r="S116">
        <f>HYPERLINK("https://klasma.github.io/Logging_0763/artfynd/A 13497-2024 artfynd.xlsx", "A 13497-2024")</f>
        <v/>
      </c>
      <c r="T116">
        <f>HYPERLINK("https://klasma.github.io/Logging_0763/kartor/A 13497-2024 karta.png", "A 13497-2024")</f>
        <v/>
      </c>
      <c r="U116">
        <f>HYPERLINK("https://klasma.github.io/Logging_0763/knärot/A 13497-2024 karta knärot.png", "A 13497-2024")</f>
        <v/>
      </c>
      <c r="V116">
        <f>HYPERLINK("https://klasma.github.io/Logging_0763/klagomål/A 13497-2024 FSC-klagomål.docx", "A 13497-2024")</f>
        <v/>
      </c>
      <c r="W116">
        <f>HYPERLINK("https://klasma.github.io/Logging_0763/klagomålsmail/A 13497-2024 FSC-klagomål mail.docx", "A 13497-2024")</f>
        <v/>
      </c>
      <c r="X116">
        <f>HYPERLINK("https://klasma.github.io/Logging_0763/tillsyn/A 13497-2024 tillsynsbegäran.docx", "A 13497-2024")</f>
        <v/>
      </c>
      <c r="Y116">
        <f>HYPERLINK("https://klasma.github.io/Logging_0763/tillsynsmail/A 13497-2024 tillsynsbegäran mail.docx", "A 13497-2024")</f>
        <v/>
      </c>
    </row>
    <row r="117" ht="15" customHeight="1">
      <c r="A117" t="inlineStr">
        <is>
          <t>A 55235-2025</t>
        </is>
      </c>
      <c r="B117" s="1" t="n">
        <v>45968</v>
      </c>
      <c r="C117" s="1" t="n">
        <v>46103</v>
      </c>
      <c r="D117" t="inlineStr">
        <is>
          <t>KRONOBERGS LÄN</t>
        </is>
      </c>
      <c r="E117" t="inlineStr">
        <is>
          <t>VÄXJÖ</t>
        </is>
      </c>
      <c r="G117" t="n">
        <v>9.800000000000001</v>
      </c>
      <c r="H117" t="n">
        <v>0</v>
      </c>
      <c r="I117" t="n">
        <v>0</v>
      </c>
      <c r="J117" t="n">
        <v>1</v>
      </c>
      <c r="K117" t="n">
        <v>0</v>
      </c>
      <c r="L117" t="n">
        <v>0</v>
      </c>
      <c r="M117" t="n">
        <v>0</v>
      </c>
      <c r="N117" t="n">
        <v>0</v>
      </c>
      <c r="O117" t="n">
        <v>1</v>
      </c>
      <c r="P117" t="n">
        <v>0</v>
      </c>
      <c r="Q117" t="n">
        <v>1</v>
      </c>
      <c r="R117" s="2" t="inlineStr">
        <is>
          <t>Torvbägarlav</t>
        </is>
      </c>
      <c r="S117">
        <f>HYPERLINK("https://klasma.github.io/Logging_0780/artfynd/A 55235-2025 artfynd.xlsx", "A 55235-2025")</f>
        <v/>
      </c>
      <c r="T117">
        <f>HYPERLINK("https://klasma.github.io/Logging_0780/kartor/A 55235-2025 karta.png", "A 55235-2025")</f>
        <v/>
      </c>
      <c r="V117">
        <f>HYPERLINK("https://klasma.github.io/Logging_0780/klagomål/A 55235-2025 FSC-klagomål.docx", "A 55235-2025")</f>
        <v/>
      </c>
      <c r="W117">
        <f>HYPERLINK("https://klasma.github.io/Logging_0780/klagomålsmail/A 55235-2025 FSC-klagomål mail.docx", "A 55235-2025")</f>
        <v/>
      </c>
      <c r="X117">
        <f>HYPERLINK("https://klasma.github.io/Logging_0780/tillsyn/A 55235-2025 tillsynsbegäran.docx", "A 55235-2025")</f>
        <v/>
      </c>
      <c r="Y117">
        <f>HYPERLINK("https://klasma.github.io/Logging_0780/tillsynsmail/A 55235-2025 tillsynsbegäran mail.docx", "A 55235-2025")</f>
        <v/>
      </c>
    </row>
    <row r="118" ht="15" customHeight="1">
      <c r="A118" t="inlineStr">
        <is>
          <t>A 40911-2024</t>
        </is>
      </c>
      <c r="B118" s="1" t="n">
        <v>45558.62674768519</v>
      </c>
      <c r="C118" s="1" t="n">
        <v>46103</v>
      </c>
      <c r="D118" t="inlineStr">
        <is>
          <t>KRONOBERGS LÄN</t>
        </is>
      </c>
      <c r="E118" t="inlineStr">
        <is>
          <t>LJUNGBY</t>
        </is>
      </c>
      <c r="F118" t="inlineStr">
        <is>
          <t>Sveaskog</t>
        </is>
      </c>
      <c r="G118" t="n">
        <v>9.1</v>
      </c>
      <c r="H118" t="n">
        <v>1</v>
      </c>
      <c r="I118" t="n">
        <v>0</v>
      </c>
      <c r="J118" t="n">
        <v>0</v>
      </c>
      <c r="K118" t="n">
        <v>0</v>
      </c>
      <c r="L118" t="n">
        <v>0</v>
      </c>
      <c r="M118" t="n">
        <v>0</v>
      </c>
      <c r="N118" t="n">
        <v>0</v>
      </c>
      <c r="O118" t="n">
        <v>0</v>
      </c>
      <c r="P118" t="n">
        <v>0</v>
      </c>
      <c r="Q118" t="n">
        <v>1</v>
      </c>
      <c r="R118" s="2" t="inlineStr">
        <is>
          <t>Revlummer</t>
        </is>
      </c>
      <c r="S118">
        <f>HYPERLINK("https://klasma.github.io/Logging_0781/artfynd/A 40911-2024 artfynd.xlsx", "A 40911-2024")</f>
        <v/>
      </c>
      <c r="T118">
        <f>HYPERLINK("https://klasma.github.io/Logging_0781/kartor/A 40911-2024 karta.png", "A 40911-2024")</f>
        <v/>
      </c>
      <c r="V118">
        <f>HYPERLINK("https://klasma.github.io/Logging_0781/klagomål/A 40911-2024 FSC-klagomål.docx", "A 40911-2024")</f>
        <v/>
      </c>
      <c r="W118">
        <f>HYPERLINK("https://klasma.github.io/Logging_0781/klagomålsmail/A 40911-2024 FSC-klagomål mail.docx", "A 40911-2024")</f>
        <v/>
      </c>
      <c r="X118">
        <f>HYPERLINK("https://klasma.github.io/Logging_0781/tillsyn/A 40911-2024 tillsynsbegäran.docx", "A 40911-2024")</f>
        <v/>
      </c>
      <c r="Y118">
        <f>HYPERLINK("https://klasma.github.io/Logging_0781/tillsynsmail/A 40911-2024 tillsynsbegäran mail.docx", "A 40911-2024")</f>
        <v/>
      </c>
    </row>
    <row r="119" ht="15" customHeight="1">
      <c r="A119" t="inlineStr">
        <is>
          <t>A 5856-2024</t>
        </is>
      </c>
      <c r="B119" s="1" t="n">
        <v>45335</v>
      </c>
      <c r="C119" s="1" t="n">
        <v>46103</v>
      </c>
      <c r="D119" t="inlineStr">
        <is>
          <t>KRONOBERGS LÄN</t>
        </is>
      </c>
      <c r="E119" t="inlineStr">
        <is>
          <t>UPPVIDINGE</t>
        </is>
      </c>
      <c r="F119" t="inlineStr">
        <is>
          <t>Sveaskog</t>
        </is>
      </c>
      <c r="G119" t="n">
        <v>1.7</v>
      </c>
      <c r="H119" t="n">
        <v>0</v>
      </c>
      <c r="I119" t="n">
        <v>1</v>
      </c>
      <c r="J119" t="n">
        <v>0</v>
      </c>
      <c r="K119" t="n">
        <v>0</v>
      </c>
      <c r="L119" t="n">
        <v>0</v>
      </c>
      <c r="M119" t="n">
        <v>0</v>
      </c>
      <c r="N119" t="n">
        <v>0</v>
      </c>
      <c r="O119" t="n">
        <v>0</v>
      </c>
      <c r="P119" t="n">
        <v>0</v>
      </c>
      <c r="Q119" t="n">
        <v>1</v>
      </c>
      <c r="R119" s="2" t="inlineStr">
        <is>
          <t>Vågbandad barkbock</t>
        </is>
      </c>
      <c r="S119">
        <f>HYPERLINK("https://klasma.github.io/Logging_0760/artfynd/A 5856-2024 artfynd.xlsx", "A 5856-2024")</f>
        <v/>
      </c>
      <c r="T119">
        <f>HYPERLINK("https://klasma.github.io/Logging_0760/kartor/A 5856-2024 karta.png", "A 5856-2024")</f>
        <v/>
      </c>
      <c r="V119">
        <f>HYPERLINK("https://klasma.github.io/Logging_0760/klagomål/A 5856-2024 FSC-klagomål.docx", "A 5856-2024")</f>
        <v/>
      </c>
      <c r="W119">
        <f>HYPERLINK("https://klasma.github.io/Logging_0760/klagomålsmail/A 5856-2024 FSC-klagomål mail.docx", "A 5856-2024")</f>
        <v/>
      </c>
      <c r="X119">
        <f>HYPERLINK("https://klasma.github.io/Logging_0760/tillsyn/A 5856-2024 tillsynsbegäran.docx", "A 5856-2024")</f>
        <v/>
      </c>
      <c r="Y119">
        <f>HYPERLINK("https://klasma.github.io/Logging_0760/tillsynsmail/A 5856-2024 tillsynsbegäran mail.docx", "A 5856-2024")</f>
        <v/>
      </c>
    </row>
    <row r="120" ht="15" customHeight="1">
      <c r="A120" t="inlineStr">
        <is>
          <t>A 56760-2025</t>
        </is>
      </c>
      <c r="B120" s="1" t="n">
        <v>45978.37395833333</v>
      </c>
      <c r="C120" s="1" t="n">
        <v>46103</v>
      </c>
      <c r="D120" t="inlineStr">
        <is>
          <t>KRONOBERGS LÄN</t>
        </is>
      </c>
      <c r="E120" t="inlineStr">
        <is>
          <t>LJUNGBY</t>
        </is>
      </c>
      <c r="G120" t="n">
        <v>1</v>
      </c>
      <c r="H120" t="n">
        <v>0</v>
      </c>
      <c r="I120" t="n">
        <v>0</v>
      </c>
      <c r="J120" t="n">
        <v>1</v>
      </c>
      <c r="K120" t="n">
        <v>0</v>
      </c>
      <c r="L120" t="n">
        <v>0</v>
      </c>
      <c r="M120" t="n">
        <v>0</v>
      </c>
      <c r="N120" t="n">
        <v>0</v>
      </c>
      <c r="O120" t="n">
        <v>1</v>
      </c>
      <c r="P120" t="n">
        <v>0</v>
      </c>
      <c r="Q120" t="n">
        <v>1</v>
      </c>
      <c r="R120" s="2" t="inlineStr">
        <is>
          <t>Månlåsbräken</t>
        </is>
      </c>
      <c r="S120">
        <f>HYPERLINK("https://klasma.github.io/Logging_0781/artfynd/A 56760-2025 artfynd.xlsx", "A 56760-2025")</f>
        <v/>
      </c>
      <c r="T120">
        <f>HYPERLINK("https://klasma.github.io/Logging_0781/kartor/A 56760-2025 karta.png", "A 56760-2025")</f>
        <v/>
      </c>
      <c r="V120">
        <f>HYPERLINK("https://klasma.github.io/Logging_0781/klagomål/A 56760-2025 FSC-klagomål.docx", "A 56760-2025")</f>
        <v/>
      </c>
      <c r="W120">
        <f>HYPERLINK("https://klasma.github.io/Logging_0781/klagomålsmail/A 56760-2025 FSC-klagomål mail.docx", "A 56760-2025")</f>
        <v/>
      </c>
      <c r="X120">
        <f>HYPERLINK("https://klasma.github.io/Logging_0781/tillsyn/A 56760-2025 tillsynsbegäran.docx", "A 56760-2025")</f>
        <v/>
      </c>
      <c r="Y120">
        <f>HYPERLINK("https://klasma.github.io/Logging_0781/tillsynsmail/A 56760-2025 tillsynsbegäran mail.docx", "A 56760-2025")</f>
        <v/>
      </c>
    </row>
    <row r="121" ht="15" customHeight="1">
      <c r="A121" t="inlineStr">
        <is>
          <t>A 56802-2025</t>
        </is>
      </c>
      <c r="B121" s="1" t="n">
        <v>45978.4428587963</v>
      </c>
      <c r="C121" s="1" t="n">
        <v>46103</v>
      </c>
      <c r="D121" t="inlineStr">
        <is>
          <t>KRONOBERGS LÄN</t>
        </is>
      </c>
      <c r="E121" t="inlineStr">
        <is>
          <t>VÄXJÖ</t>
        </is>
      </c>
      <c r="G121" t="n">
        <v>0.9</v>
      </c>
      <c r="H121" t="n">
        <v>1</v>
      </c>
      <c r="I121" t="n">
        <v>0</v>
      </c>
      <c r="J121" t="n">
        <v>0</v>
      </c>
      <c r="K121" t="n">
        <v>1</v>
      </c>
      <c r="L121" t="n">
        <v>0</v>
      </c>
      <c r="M121" t="n">
        <v>0</v>
      </c>
      <c r="N121" t="n">
        <v>0</v>
      </c>
      <c r="O121" t="n">
        <v>1</v>
      </c>
      <c r="P121" t="n">
        <v>1</v>
      </c>
      <c r="Q121" t="n">
        <v>1</v>
      </c>
      <c r="R121" s="2" t="inlineStr">
        <is>
          <t>Knärot</t>
        </is>
      </c>
      <c r="S121">
        <f>HYPERLINK("https://klasma.github.io/Logging_0780/artfynd/A 56802-2025 artfynd.xlsx", "A 56802-2025")</f>
        <v/>
      </c>
      <c r="T121">
        <f>HYPERLINK("https://klasma.github.io/Logging_0780/kartor/A 56802-2025 karta.png", "A 56802-2025")</f>
        <v/>
      </c>
      <c r="U121">
        <f>HYPERLINK("https://klasma.github.io/Logging_0780/knärot/A 56802-2025 karta knärot.png", "A 56802-2025")</f>
        <v/>
      </c>
      <c r="V121">
        <f>HYPERLINK("https://klasma.github.io/Logging_0780/klagomål/A 56802-2025 FSC-klagomål.docx", "A 56802-2025")</f>
        <v/>
      </c>
      <c r="W121">
        <f>HYPERLINK("https://klasma.github.io/Logging_0780/klagomålsmail/A 56802-2025 FSC-klagomål mail.docx", "A 56802-2025")</f>
        <v/>
      </c>
      <c r="X121">
        <f>HYPERLINK("https://klasma.github.io/Logging_0780/tillsyn/A 56802-2025 tillsynsbegäran.docx", "A 56802-2025")</f>
        <v/>
      </c>
      <c r="Y121">
        <f>HYPERLINK("https://klasma.github.io/Logging_0780/tillsynsmail/A 56802-2025 tillsynsbegäran mail.docx", "A 56802-2025")</f>
        <v/>
      </c>
    </row>
    <row r="122" ht="15" customHeight="1">
      <c r="A122" t="inlineStr">
        <is>
          <t>A 1811-2025</t>
        </is>
      </c>
      <c r="B122" s="1" t="n">
        <v>45670</v>
      </c>
      <c r="C122" s="1" t="n">
        <v>46103</v>
      </c>
      <c r="D122" t="inlineStr">
        <is>
          <t>KRONOBERGS LÄN</t>
        </is>
      </c>
      <c r="E122" t="inlineStr">
        <is>
          <t>ALVESTA</t>
        </is>
      </c>
      <c r="F122" t="inlineStr">
        <is>
          <t>Kyrkan</t>
        </is>
      </c>
      <c r="G122" t="n">
        <v>2.3</v>
      </c>
      <c r="H122" t="n">
        <v>1</v>
      </c>
      <c r="I122" t="n">
        <v>0</v>
      </c>
      <c r="J122" t="n">
        <v>1</v>
      </c>
      <c r="K122" t="n">
        <v>0</v>
      </c>
      <c r="L122" t="n">
        <v>0</v>
      </c>
      <c r="M122" t="n">
        <v>0</v>
      </c>
      <c r="N122" t="n">
        <v>0</v>
      </c>
      <c r="O122" t="n">
        <v>1</v>
      </c>
      <c r="P122" t="n">
        <v>0</v>
      </c>
      <c r="Q122" t="n">
        <v>1</v>
      </c>
      <c r="R122" s="2" t="inlineStr">
        <is>
          <t>Spillkråka</t>
        </is>
      </c>
      <c r="S122">
        <f>HYPERLINK("https://klasma.github.io/Logging_0764/artfynd/A 1811-2025 artfynd.xlsx", "A 1811-2025")</f>
        <v/>
      </c>
      <c r="T122">
        <f>HYPERLINK("https://klasma.github.io/Logging_0764/kartor/A 1811-2025 karta.png", "A 1811-2025")</f>
        <v/>
      </c>
      <c r="V122">
        <f>HYPERLINK("https://klasma.github.io/Logging_0764/klagomål/A 1811-2025 FSC-klagomål.docx", "A 1811-2025")</f>
        <v/>
      </c>
      <c r="W122">
        <f>HYPERLINK("https://klasma.github.io/Logging_0764/klagomålsmail/A 1811-2025 FSC-klagomål mail.docx", "A 1811-2025")</f>
        <v/>
      </c>
      <c r="X122">
        <f>HYPERLINK("https://klasma.github.io/Logging_0764/tillsyn/A 1811-2025 tillsynsbegäran.docx", "A 1811-2025")</f>
        <v/>
      </c>
      <c r="Y122">
        <f>HYPERLINK("https://klasma.github.io/Logging_0764/tillsynsmail/A 1811-2025 tillsynsbegäran mail.docx", "A 1811-2025")</f>
        <v/>
      </c>
      <c r="Z122">
        <f>HYPERLINK("https://klasma.github.io/Logging_0764/fåglar/A 1811-2025 prioriterade fågelarter.docx", "A 1811-2025")</f>
        <v/>
      </c>
    </row>
    <row r="123" ht="15" customHeight="1">
      <c r="A123" t="inlineStr">
        <is>
          <t>A 4720-2025</t>
        </is>
      </c>
      <c r="B123" s="1" t="n">
        <v>45688.41431712963</v>
      </c>
      <c r="C123" s="1" t="n">
        <v>46103</v>
      </c>
      <c r="D123" t="inlineStr">
        <is>
          <t>KRONOBERGS LÄN</t>
        </is>
      </c>
      <c r="E123" t="inlineStr">
        <is>
          <t>UPPVIDINGE</t>
        </is>
      </c>
      <c r="G123" t="n">
        <v>1</v>
      </c>
      <c r="H123" t="n">
        <v>1</v>
      </c>
      <c r="I123" t="n">
        <v>0</v>
      </c>
      <c r="J123" t="n">
        <v>0</v>
      </c>
      <c r="K123" t="n">
        <v>0</v>
      </c>
      <c r="L123" t="n">
        <v>0</v>
      </c>
      <c r="M123" t="n">
        <v>0</v>
      </c>
      <c r="N123" t="n">
        <v>0</v>
      </c>
      <c r="O123" t="n">
        <v>0</v>
      </c>
      <c r="P123" t="n">
        <v>0</v>
      </c>
      <c r="Q123" t="n">
        <v>1</v>
      </c>
      <c r="R123" s="2" t="inlineStr">
        <is>
          <t>Blåsippa</t>
        </is>
      </c>
      <c r="S123">
        <f>HYPERLINK("https://klasma.github.io/Logging_0760/artfynd/A 4720-2025 artfynd.xlsx", "A 4720-2025")</f>
        <v/>
      </c>
      <c r="T123">
        <f>HYPERLINK("https://klasma.github.io/Logging_0760/kartor/A 4720-2025 karta.png", "A 4720-2025")</f>
        <v/>
      </c>
      <c r="V123">
        <f>HYPERLINK("https://klasma.github.io/Logging_0760/klagomål/A 4720-2025 FSC-klagomål.docx", "A 4720-2025")</f>
        <v/>
      </c>
      <c r="W123">
        <f>HYPERLINK("https://klasma.github.io/Logging_0760/klagomålsmail/A 4720-2025 FSC-klagomål mail.docx", "A 4720-2025")</f>
        <v/>
      </c>
      <c r="X123">
        <f>HYPERLINK("https://klasma.github.io/Logging_0760/tillsyn/A 4720-2025 tillsynsbegäran.docx", "A 4720-2025")</f>
        <v/>
      </c>
      <c r="Y123">
        <f>HYPERLINK("https://klasma.github.io/Logging_0760/tillsynsmail/A 4720-2025 tillsynsbegäran mail.docx", "A 4720-2025")</f>
        <v/>
      </c>
    </row>
    <row r="124" ht="15" customHeight="1">
      <c r="A124" t="inlineStr">
        <is>
          <t>A 16796-2022</t>
        </is>
      </c>
      <c r="B124" s="1" t="n">
        <v>44673</v>
      </c>
      <c r="C124" s="1" t="n">
        <v>46103</v>
      </c>
      <c r="D124" t="inlineStr">
        <is>
          <t>KRONOBERGS LÄN</t>
        </is>
      </c>
      <c r="E124" t="inlineStr">
        <is>
          <t>VÄXJÖ</t>
        </is>
      </c>
      <c r="G124" t="n">
        <v>2</v>
      </c>
      <c r="H124" t="n">
        <v>0</v>
      </c>
      <c r="I124" t="n">
        <v>0</v>
      </c>
      <c r="J124" t="n">
        <v>0</v>
      </c>
      <c r="K124" t="n">
        <v>0</v>
      </c>
      <c r="L124" t="n">
        <v>1</v>
      </c>
      <c r="M124" t="n">
        <v>0</v>
      </c>
      <c r="N124" t="n">
        <v>0</v>
      </c>
      <c r="O124" t="n">
        <v>1</v>
      </c>
      <c r="P124" t="n">
        <v>1</v>
      </c>
      <c r="Q124" t="n">
        <v>1</v>
      </c>
      <c r="R124" s="2" t="inlineStr">
        <is>
          <t>Ask</t>
        </is>
      </c>
      <c r="S124">
        <f>HYPERLINK("https://klasma.github.io/Logging_0780/artfynd/A 16796-2022 artfynd.xlsx", "A 16796-2022")</f>
        <v/>
      </c>
      <c r="T124">
        <f>HYPERLINK("https://klasma.github.io/Logging_0780/kartor/A 16796-2022 karta.png", "A 16796-2022")</f>
        <v/>
      </c>
      <c r="V124">
        <f>HYPERLINK("https://klasma.github.io/Logging_0780/klagomål/A 16796-2022 FSC-klagomål.docx", "A 16796-2022")</f>
        <v/>
      </c>
      <c r="W124">
        <f>HYPERLINK("https://klasma.github.io/Logging_0780/klagomålsmail/A 16796-2022 FSC-klagomål mail.docx", "A 16796-2022")</f>
        <v/>
      </c>
      <c r="X124">
        <f>HYPERLINK("https://klasma.github.io/Logging_0780/tillsyn/A 16796-2022 tillsynsbegäran.docx", "A 16796-2022")</f>
        <v/>
      </c>
      <c r="Y124">
        <f>HYPERLINK("https://klasma.github.io/Logging_0780/tillsynsmail/A 16796-2022 tillsynsbegäran mail.docx", "A 16796-2022")</f>
        <v/>
      </c>
    </row>
    <row r="125" ht="15" customHeight="1">
      <c r="A125" t="inlineStr">
        <is>
          <t>A 58029-2025</t>
        </is>
      </c>
      <c r="B125" s="1" t="n">
        <v>45982</v>
      </c>
      <c r="C125" s="1" t="n">
        <v>46103</v>
      </c>
      <c r="D125" t="inlineStr">
        <is>
          <t>KRONOBERGS LÄN</t>
        </is>
      </c>
      <c r="E125" t="inlineStr">
        <is>
          <t>UPPVIDINGE</t>
        </is>
      </c>
      <c r="G125" t="n">
        <v>4</v>
      </c>
      <c r="H125" t="n">
        <v>1</v>
      </c>
      <c r="I125" t="n">
        <v>0</v>
      </c>
      <c r="J125" t="n">
        <v>0</v>
      </c>
      <c r="K125" t="n">
        <v>1</v>
      </c>
      <c r="L125" t="n">
        <v>0</v>
      </c>
      <c r="M125" t="n">
        <v>0</v>
      </c>
      <c r="N125" t="n">
        <v>0</v>
      </c>
      <c r="O125" t="n">
        <v>1</v>
      </c>
      <c r="P125" t="n">
        <v>1</v>
      </c>
      <c r="Q125" t="n">
        <v>1</v>
      </c>
      <c r="R125" s="2" t="inlineStr">
        <is>
          <t>Knärot</t>
        </is>
      </c>
      <c r="S125">
        <f>HYPERLINK("https://klasma.github.io/Logging_0760/artfynd/A 58029-2025 artfynd.xlsx", "A 58029-2025")</f>
        <v/>
      </c>
      <c r="T125">
        <f>HYPERLINK("https://klasma.github.io/Logging_0760/kartor/A 58029-2025 karta.png", "A 58029-2025")</f>
        <v/>
      </c>
      <c r="U125">
        <f>HYPERLINK("https://klasma.github.io/Logging_0760/knärot/A 58029-2025 karta knärot.png", "A 58029-2025")</f>
        <v/>
      </c>
      <c r="V125">
        <f>HYPERLINK("https://klasma.github.io/Logging_0760/klagomål/A 58029-2025 FSC-klagomål.docx", "A 58029-2025")</f>
        <v/>
      </c>
      <c r="W125">
        <f>HYPERLINK("https://klasma.github.io/Logging_0760/klagomålsmail/A 58029-2025 FSC-klagomål mail.docx", "A 58029-2025")</f>
        <v/>
      </c>
      <c r="X125">
        <f>HYPERLINK("https://klasma.github.io/Logging_0760/tillsyn/A 58029-2025 tillsynsbegäran.docx", "A 58029-2025")</f>
        <v/>
      </c>
      <c r="Y125">
        <f>HYPERLINK("https://klasma.github.io/Logging_0760/tillsynsmail/A 58029-2025 tillsynsbegäran mail.docx", "A 58029-2025")</f>
        <v/>
      </c>
    </row>
    <row r="126" ht="15" customHeight="1">
      <c r="A126" t="inlineStr">
        <is>
          <t>A 40368-2025</t>
        </is>
      </c>
      <c r="B126" s="1" t="n">
        <v>45895.5059375</v>
      </c>
      <c r="C126" s="1" t="n">
        <v>46103</v>
      </c>
      <c r="D126" t="inlineStr">
        <is>
          <t>KRONOBERGS LÄN</t>
        </is>
      </c>
      <c r="E126" t="inlineStr">
        <is>
          <t>TINGSRYD</t>
        </is>
      </c>
      <c r="G126" t="n">
        <v>1.7</v>
      </c>
      <c r="H126" t="n">
        <v>1</v>
      </c>
      <c r="I126" t="n">
        <v>0</v>
      </c>
      <c r="J126" t="n">
        <v>1</v>
      </c>
      <c r="K126" t="n">
        <v>0</v>
      </c>
      <c r="L126" t="n">
        <v>0</v>
      </c>
      <c r="M126" t="n">
        <v>0</v>
      </c>
      <c r="N126" t="n">
        <v>0</v>
      </c>
      <c r="O126" t="n">
        <v>1</v>
      </c>
      <c r="P126" t="n">
        <v>0</v>
      </c>
      <c r="Q126" t="n">
        <v>1</v>
      </c>
      <c r="R126" s="2" t="inlineStr">
        <is>
          <t>Havsörn</t>
        </is>
      </c>
      <c r="S126">
        <f>HYPERLINK("https://klasma.github.io/Logging_0763/artfynd/A 40368-2025 artfynd.xlsx", "A 40368-2025")</f>
        <v/>
      </c>
      <c r="T126">
        <f>HYPERLINK("https://klasma.github.io/Logging_0763/kartor/A 40368-2025 karta.png", "A 40368-2025")</f>
        <v/>
      </c>
      <c r="V126">
        <f>HYPERLINK("https://klasma.github.io/Logging_0763/klagomål/A 40368-2025 FSC-klagomål.docx", "A 40368-2025")</f>
        <v/>
      </c>
      <c r="W126">
        <f>HYPERLINK("https://klasma.github.io/Logging_0763/klagomålsmail/A 40368-2025 FSC-klagomål mail.docx", "A 40368-2025")</f>
        <v/>
      </c>
      <c r="X126">
        <f>HYPERLINK("https://klasma.github.io/Logging_0763/tillsyn/A 40368-2025 tillsynsbegäran.docx", "A 40368-2025")</f>
        <v/>
      </c>
      <c r="Y126">
        <f>HYPERLINK("https://klasma.github.io/Logging_0763/tillsynsmail/A 40368-2025 tillsynsbegäran mail.docx", "A 40368-2025")</f>
        <v/>
      </c>
      <c r="Z126">
        <f>HYPERLINK("https://klasma.github.io/Logging_0763/fåglar/A 40368-2025 prioriterade fågelarter.docx", "A 40368-2025")</f>
        <v/>
      </c>
    </row>
    <row r="127" ht="15" customHeight="1">
      <c r="A127" t="inlineStr">
        <is>
          <t>A 59221-2025</t>
        </is>
      </c>
      <c r="B127" s="1" t="n">
        <v>45988.61780092592</v>
      </c>
      <c r="C127" s="1" t="n">
        <v>46103</v>
      </c>
      <c r="D127" t="inlineStr">
        <is>
          <t>KRONOBERGS LÄN</t>
        </is>
      </c>
      <c r="E127" t="inlineStr">
        <is>
          <t>ALVESTA</t>
        </is>
      </c>
      <c r="G127" t="n">
        <v>0.5</v>
      </c>
      <c r="H127" t="n">
        <v>0</v>
      </c>
      <c r="I127" t="n">
        <v>0</v>
      </c>
      <c r="J127" t="n">
        <v>1</v>
      </c>
      <c r="K127" t="n">
        <v>0</v>
      </c>
      <c r="L127" t="n">
        <v>0</v>
      </c>
      <c r="M127" t="n">
        <v>0</v>
      </c>
      <c r="N127" t="n">
        <v>0</v>
      </c>
      <c r="O127" t="n">
        <v>1</v>
      </c>
      <c r="P127" t="n">
        <v>0</v>
      </c>
      <c r="Q127" t="n">
        <v>1</v>
      </c>
      <c r="R127" s="2" t="inlineStr">
        <is>
          <t>Borsttåg</t>
        </is>
      </c>
      <c r="S127">
        <f>HYPERLINK("https://klasma.github.io/Logging_0764/artfynd/A 59221-2025 artfynd.xlsx", "A 59221-2025")</f>
        <v/>
      </c>
      <c r="T127">
        <f>HYPERLINK("https://klasma.github.io/Logging_0764/kartor/A 59221-2025 karta.png", "A 59221-2025")</f>
        <v/>
      </c>
      <c r="V127">
        <f>HYPERLINK("https://klasma.github.io/Logging_0764/klagomål/A 59221-2025 FSC-klagomål.docx", "A 59221-2025")</f>
        <v/>
      </c>
      <c r="W127">
        <f>HYPERLINK("https://klasma.github.io/Logging_0764/klagomålsmail/A 59221-2025 FSC-klagomål mail.docx", "A 59221-2025")</f>
        <v/>
      </c>
      <c r="X127">
        <f>HYPERLINK("https://klasma.github.io/Logging_0764/tillsyn/A 59221-2025 tillsynsbegäran.docx", "A 59221-2025")</f>
        <v/>
      </c>
      <c r="Y127">
        <f>HYPERLINK("https://klasma.github.io/Logging_0764/tillsynsmail/A 59221-2025 tillsynsbegäran mail.docx", "A 59221-2025")</f>
        <v/>
      </c>
    </row>
    <row r="128" ht="15" customHeight="1">
      <c r="A128" t="inlineStr">
        <is>
          <t>A 40690-2025</t>
        </is>
      </c>
      <c r="B128" s="1" t="n">
        <v>45896.9408912037</v>
      </c>
      <c r="C128" s="1" t="n">
        <v>46103</v>
      </c>
      <c r="D128" t="inlineStr">
        <is>
          <t>KRONOBERGS LÄN</t>
        </is>
      </c>
      <c r="E128" t="inlineStr">
        <is>
          <t>LJUNGBY</t>
        </is>
      </c>
      <c r="G128" t="n">
        <v>3.7</v>
      </c>
      <c r="H128" t="n">
        <v>1</v>
      </c>
      <c r="I128" t="n">
        <v>0</v>
      </c>
      <c r="J128" t="n">
        <v>0</v>
      </c>
      <c r="K128" t="n">
        <v>0</v>
      </c>
      <c r="L128" t="n">
        <v>0</v>
      </c>
      <c r="M128" t="n">
        <v>0</v>
      </c>
      <c r="N128" t="n">
        <v>0</v>
      </c>
      <c r="O128" t="n">
        <v>0</v>
      </c>
      <c r="P128" t="n">
        <v>0</v>
      </c>
      <c r="Q128" t="n">
        <v>1</v>
      </c>
      <c r="R128" s="2" t="inlineStr">
        <is>
          <t>Mattlummer</t>
        </is>
      </c>
      <c r="S128">
        <f>HYPERLINK("https://klasma.github.io/Logging_0781/artfynd/A 40690-2025 artfynd.xlsx", "A 40690-2025")</f>
        <v/>
      </c>
      <c r="T128">
        <f>HYPERLINK("https://klasma.github.io/Logging_0781/kartor/A 40690-2025 karta.png", "A 40690-2025")</f>
        <v/>
      </c>
      <c r="V128">
        <f>HYPERLINK("https://klasma.github.io/Logging_0781/klagomål/A 40690-2025 FSC-klagomål.docx", "A 40690-2025")</f>
        <v/>
      </c>
      <c r="W128">
        <f>HYPERLINK("https://klasma.github.io/Logging_0781/klagomålsmail/A 40690-2025 FSC-klagomål mail.docx", "A 40690-2025")</f>
        <v/>
      </c>
      <c r="X128">
        <f>HYPERLINK("https://klasma.github.io/Logging_0781/tillsyn/A 40690-2025 tillsynsbegäran.docx", "A 40690-2025")</f>
        <v/>
      </c>
      <c r="Y128">
        <f>HYPERLINK("https://klasma.github.io/Logging_0781/tillsynsmail/A 40690-2025 tillsynsbegäran mail.docx", "A 40690-2025")</f>
        <v/>
      </c>
    </row>
    <row r="129" ht="15" customHeight="1">
      <c r="A129" t="inlineStr">
        <is>
          <t>A 41107-2025</t>
        </is>
      </c>
      <c r="B129" s="1" t="n">
        <v>45898.45767361111</v>
      </c>
      <c r="C129" s="1" t="n">
        <v>46103</v>
      </c>
      <c r="D129" t="inlineStr">
        <is>
          <t>KRONOBERGS LÄN</t>
        </is>
      </c>
      <c r="E129" t="inlineStr">
        <is>
          <t>TINGSRYD</t>
        </is>
      </c>
      <c r="F129" t="inlineStr">
        <is>
          <t>Kommuner</t>
        </is>
      </c>
      <c r="G129" t="n">
        <v>1.3</v>
      </c>
      <c r="H129" t="n">
        <v>0</v>
      </c>
      <c r="I129" t="n">
        <v>1</v>
      </c>
      <c r="J129" t="n">
        <v>0</v>
      </c>
      <c r="K129" t="n">
        <v>0</v>
      </c>
      <c r="L129" t="n">
        <v>0</v>
      </c>
      <c r="M129" t="n">
        <v>0</v>
      </c>
      <c r="N129" t="n">
        <v>0</v>
      </c>
      <c r="O129" t="n">
        <v>0</v>
      </c>
      <c r="P129" t="n">
        <v>0</v>
      </c>
      <c r="Q129" t="n">
        <v>1</v>
      </c>
      <c r="R129" s="2" t="inlineStr">
        <is>
          <t>Västlig hakmossa</t>
        </is>
      </c>
      <c r="S129">
        <f>HYPERLINK("https://klasma.github.io/Logging_0763/artfynd/A 41107-2025 artfynd.xlsx", "A 41107-2025")</f>
        <v/>
      </c>
      <c r="T129">
        <f>HYPERLINK("https://klasma.github.io/Logging_0763/kartor/A 41107-2025 karta.png", "A 41107-2025")</f>
        <v/>
      </c>
      <c r="V129">
        <f>HYPERLINK("https://klasma.github.io/Logging_0763/klagomål/A 41107-2025 FSC-klagomål.docx", "A 41107-2025")</f>
        <v/>
      </c>
      <c r="W129">
        <f>HYPERLINK("https://klasma.github.io/Logging_0763/klagomålsmail/A 41107-2025 FSC-klagomål mail.docx", "A 41107-2025")</f>
        <v/>
      </c>
      <c r="X129">
        <f>HYPERLINK("https://klasma.github.io/Logging_0763/tillsyn/A 41107-2025 tillsynsbegäran.docx", "A 41107-2025")</f>
        <v/>
      </c>
      <c r="Y129">
        <f>HYPERLINK("https://klasma.github.io/Logging_0763/tillsynsmail/A 41107-2025 tillsynsbegäran mail.docx", "A 41107-2025")</f>
        <v/>
      </c>
    </row>
    <row r="130" ht="15" customHeight="1">
      <c r="A130" t="inlineStr">
        <is>
          <t>A 60471-2025</t>
        </is>
      </c>
      <c r="B130" s="1" t="n">
        <v>45995</v>
      </c>
      <c r="C130" s="1" t="n">
        <v>46103</v>
      </c>
      <c r="D130" t="inlineStr">
        <is>
          <t>KRONOBERGS LÄN</t>
        </is>
      </c>
      <c r="E130" t="inlineStr">
        <is>
          <t>VÄXJÖ</t>
        </is>
      </c>
      <c r="G130" t="n">
        <v>5</v>
      </c>
      <c r="H130" t="n">
        <v>0</v>
      </c>
      <c r="I130" t="n">
        <v>1</v>
      </c>
      <c r="J130" t="n">
        <v>0</v>
      </c>
      <c r="K130" t="n">
        <v>0</v>
      </c>
      <c r="L130" t="n">
        <v>0</v>
      </c>
      <c r="M130" t="n">
        <v>0</v>
      </c>
      <c r="N130" t="n">
        <v>0</v>
      </c>
      <c r="O130" t="n">
        <v>0</v>
      </c>
      <c r="P130" t="n">
        <v>0</v>
      </c>
      <c r="Q130" t="n">
        <v>1</v>
      </c>
      <c r="R130" s="2" t="inlineStr">
        <is>
          <t>Scharlakansskål</t>
        </is>
      </c>
      <c r="S130">
        <f>HYPERLINK("https://klasma.github.io/Logging_0780/artfynd/A 60471-2025 artfynd.xlsx", "A 60471-2025")</f>
        <v/>
      </c>
      <c r="T130">
        <f>HYPERLINK("https://klasma.github.io/Logging_0780/kartor/A 60471-2025 karta.png", "A 60471-2025")</f>
        <v/>
      </c>
      <c r="V130">
        <f>HYPERLINK("https://klasma.github.io/Logging_0780/klagomål/A 60471-2025 FSC-klagomål.docx", "A 60471-2025")</f>
        <v/>
      </c>
      <c r="W130">
        <f>HYPERLINK("https://klasma.github.io/Logging_0780/klagomålsmail/A 60471-2025 FSC-klagomål mail.docx", "A 60471-2025")</f>
        <v/>
      </c>
      <c r="X130">
        <f>HYPERLINK("https://klasma.github.io/Logging_0780/tillsyn/A 60471-2025 tillsynsbegäran.docx", "A 60471-2025")</f>
        <v/>
      </c>
      <c r="Y130">
        <f>HYPERLINK("https://klasma.github.io/Logging_0780/tillsynsmail/A 60471-2025 tillsynsbegäran mail.docx", "A 60471-2025")</f>
        <v/>
      </c>
    </row>
    <row r="131" ht="15" customHeight="1">
      <c r="A131" t="inlineStr">
        <is>
          <t>A 60498-2025</t>
        </is>
      </c>
      <c r="B131" s="1" t="n">
        <v>45995</v>
      </c>
      <c r="C131" s="1" t="n">
        <v>46103</v>
      </c>
      <c r="D131" t="inlineStr">
        <is>
          <t>KRONOBERGS LÄN</t>
        </is>
      </c>
      <c r="E131" t="inlineStr">
        <is>
          <t>UPPVIDINGE</t>
        </is>
      </c>
      <c r="G131" t="n">
        <v>0.9</v>
      </c>
      <c r="H131" t="n">
        <v>0</v>
      </c>
      <c r="I131" t="n">
        <v>0</v>
      </c>
      <c r="J131" t="n">
        <v>1</v>
      </c>
      <c r="K131" t="n">
        <v>0</v>
      </c>
      <c r="L131" t="n">
        <v>0</v>
      </c>
      <c r="M131" t="n">
        <v>0</v>
      </c>
      <c r="N131" t="n">
        <v>0</v>
      </c>
      <c r="O131" t="n">
        <v>1</v>
      </c>
      <c r="P131" t="n">
        <v>0</v>
      </c>
      <c r="Q131" t="n">
        <v>1</v>
      </c>
      <c r="R131" s="2" t="inlineStr">
        <is>
          <t>Granticka</t>
        </is>
      </c>
      <c r="S131">
        <f>HYPERLINK("https://klasma.github.io/Logging_0760/artfynd/A 60498-2025 artfynd.xlsx", "A 60498-2025")</f>
        <v/>
      </c>
      <c r="T131">
        <f>HYPERLINK("https://klasma.github.io/Logging_0760/kartor/A 60498-2025 karta.png", "A 60498-2025")</f>
        <v/>
      </c>
      <c r="V131">
        <f>HYPERLINK("https://klasma.github.io/Logging_0760/klagomål/A 60498-2025 FSC-klagomål.docx", "A 60498-2025")</f>
        <v/>
      </c>
      <c r="W131">
        <f>HYPERLINK("https://klasma.github.io/Logging_0760/klagomålsmail/A 60498-2025 FSC-klagomål mail.docx", "A 60498-2025")</f>
        <v/>
      </c>
      <c r="X131">
        <f>HYPERLINK("https://klasma.github.io/Logging_0760/tillsyn/A 60498-2025 tillsynsbegäran.docx", "A 60498-2025")</f>
        <v/>
      </c>
      <c r="Y131">
        <f>HYPERLINK("https://klasma.github.io/Logging_0760/tillsynsmail/A 60498-2025 tillsynsbegäran mail.docx", "A 60498-2025")</f>
        <v/>
      </c>
    </row>
    <row r="132" ht="15" customHeight="1">
      <c r="A132" t="inlineStr">
        <is>
          <t>A 31438-2025</t>
        </is>
      </c>
      <c r="B132" s="1" t="n">
        <v>45833</v>
      </c>
      <c r="C132" s="1" t="n">
        <v>46103</v>
      </c>
      <c r="D132" t="inlineStr">
        <is>
          <t>KRONOBERGS LÄN</t>
        </is>
      </c>
      <c r="E132" t="inlineStr">
        <is>
          <t>TINGSRYD</t>
        </is>
      </c>
      <c r="G132" t="n">
        <v>4.1</v>
      </c>
      <c r="H132" t="n">
        <v>0</v>
      </c>
      <c r="I132" t="n">
        <v>1</v>
      </c>
      <c r="J132" t="n">
        <v>0</v>
      </c>
      <c r="K132" t="n">
        <v>0</v>
      </c>
      <c r="L132" t="n">
        <v>0</v>
      </c>
      <c r="M132" t="n">
        <v>0</v>
      </c>
      <c r="N132" t="n">
        <v>0</v>
      </c>
      <c r="O132" t="n">
        <v>0</v>
      </c>
      <c r="P132" t="n">
        <v>0</v>
      </c>
      <c r="Q132" t="n">
        <v>1</v>
      </c>
      <c r="R132" s="2" t="inlineStr">
        <is>
          <t>Barkkornlav</t>
        </is>
      </c>
      <c r="S132">
        <f>HYPERLINK("https://klasma.github.io/Logging_0763/artfynd/A 31438-2025 artfynd.xlsx", "A 31438-2025")</f>
        <v/>
      </c>
      <c r="T132">
        <f>HYPERLINK("https://klasma.github.io/Logging_0763/kartor/A 31438-2025 karta.png", "A 31438-2025")</f>
        <v/>
      </c>
      <c r="V132">
        <f>HYPERLINK("https://klasma.github.io/Logging_0763/klagomål/A 31438-2025 FSC-klagomål.docx", "A 31438-2025")</f>
        <v/>
      </c>
      <c r="W132">
        <f>HYPERLINK("https://klasma.github.io/Logging_0763/klagomålsmail/A 31438-2025 FSC-klagomål mail.docx", "A 31438-2025")</f>
        <v/>
      </c>
      <c r="X132">
        <f>HYPERLINK("https://klasma.github.io/Logging_0763/tillsyn/A 31438-2025 tillsynsbegäran.docx", "A 31438-2025")</f>
        <v/>
      </c>
      <c r="Y132">
        <f>HYPERLINK("https://klasma.github.io/Logging_0763/tillsynsmail/A 31438-2025 tillsynsbegäran mail.docx", "A 31438-2025")</f>
        <v/>
      </c>
    </row>
    <row r="133" ht="15" customHeight="1">
      <c r="A133" t="inlineStr">
        <is>
          <t>A 60681-2025</t>
        </is>
      </c>
      <c r="B133" s="1" t="n">
        <v>45996.57440972222</v>
      </c>
      <c r="C133" s="1" t="n">
        <v>46103</v>
      </c>
      <c r="D133" t="inlineStr">
        <is>
          <t>KRONOBERGS LÄN</t>
        </is>
      </c>
      <c r="E133" t="inlineStr">
        <is>
          <t>LJUNGBY</t>
        </is>
      </c>
      <c r="G133" t="n">
        <v>5.6</v>
      </c>
      <c r="H133" t="n">
        <v>1</v>
      </c>
      <c r="I133" t="n">
        <v>0</v>
      </c>
      <c r="J133" t="n">
        <v>1</v>
      </c>
      <c r="K133" t="n">
        <v>0</v>
      </c>
      <c r="L133" t="n">
        <v>0</v>
      </c>
      <c r="M133" t="n">
        <v>0</v>
      </c>
      <c r="N133" t="n">
        <v>0</v>
      </c>
      <c r="O133" t="n">
        <v>1</v>
      </c>
      <c r="P133" t="n">
        <v>0</v>
      </c>
      <c r="Q133" t="n">
        <v>1</v>
      </c>
      <c r="R133" s="2" t="inlineStr">
        <is>
          <t>Gulsparv</t>
        </is>
      </c>
      <c r="S133">
        <f>HYPERLINK("https://klasma.github.io/Logging_0781/artfynd/A 60681-2025 artfynd.xlsx", "A 60681-2025")</f>
        <v/>
      </c>
      <c r="T133">
        <f>HYPERLINK("https://klasma.github.io/Logging_0781/kartor/A 60681-2025 karta.png", "A 60681-2025")</f>
        <v/>
      </c>
      <c r="V133">
        <f>HYPERLINK("https://klasma.github.io/Logging_0781/klagomål/A 60681-2025 FSC-klagomål.docx", "A 60681-2025")</f>
        <v/>
      </c>
      <c r="W133">
        <f>HYPERLINK("https://klasma.github.io/Logging_0781/klagomålsmail/A 60681-2025 FSC-klagomål mail.docx", "A 60681-2025")</f>
        <v/>
      </c>
      <c r="X133">
        <f>HYPERLINK("https://klasma.github.io/Logging_0781/tillsyn/A 60681-2025 tillsynsbegäran.docx", "A 60681-2025")</f>
        <v/>
      </c>
      <c r="Y133">
        <f>HYPERLINK("https://klasma.github.io/Logging_0781/tillsynsmail/A 60681-2025 tillsynsbegäran mail.docx", "A 60681-2025")</f>
        <v/>
      </c>
      <c r="Z133">
        <f>HYPERLINK("https://klasma.github.io/Logging_0781/fåglar/A 60681-2025 prioriterade fågelarter.docx", "A 60681-2025")</f>
        <v/>
      </c>
    </row>
    <row r="134" ht="15" customHeight="1">
      <c r="A134" t="inlineStr">
        <is>
          <t>A 37608-2022</t>
        </is>
      </c>
      <c r="B134" s="1" t="n">
        <v>44810</v>
      </c>
      <c r="C134" s="1" t="n">
        <v>46103</v>
      </c>
      <c r="D134" t="inlineStr">
        <is>
          <t>KRONOBERGS LÄN</t>
        </is>
      </c>
      <c r="E134" t="inlineStr">
        <is>
          <t>ALVESTA</t>
        </is>
      </c>
      <c r="G134" t="n">
        <v>5.3</v>
      </c>
      <c r="H134" t="n">
        <v>0</v>
      </c>
      <c r="I134" t="n">
        <v>0</v>
      </c>
      <c r="J134" t="n">
        <v>1</v>
      </c>
      <c r="K134" t="n">
        <v>0</v>
      </c>
      <c r="L134" t="n">
        <v>0</v>
      </c>
      <c r="M134" t="n">
        <v>0</v>
      </c>
      <c r="N134" t="n">
        <v>0</v>
      </c>
      <c r="O134" t="n">
        <v>1</v>
      </c>
      <c r="P134" t="n">
        <v>0</v>
      </c>
      <c r="Q134" t="n">
        <v>1</v>
      </c>
      <c r="R134" s="2" t="inlineStr">
        <is>
          <t>Gropticka</t>
        </is>
      </c>
      <c r="S134">
        <f>HYPERLINK("https://klasma.github.io/Logging_0764/artfynd/A 37608-2022 artfynd.xlsx", "A 37608-2022")</f>
        <v/>
      </c>
      <c r="T134">
        <f>HYPERLINK("https://klasma.github.io/Logging_0764/kartor/A 37608-2022 karta.png", "A 37608-2022")</f>
        <v/>
      </c>
      <c r="V134">
        <f>HYPERLINK("https://klasma.github.io/Logging_0764/klagomål/A 37608-2022 FSC-klagomål.docx", "A 37608-2022")</f>
        <v/>
      </c>
      <c r="W134">
        <f>HYPERLINK("https://klasma.github.io/Logging_0764/klagomålsmail/A 37608-2022 FSC-klagomål mail.docx", "A 37608-2022")</f>
        <v/>
      </c>
      <c r="X134">
        <f>HYPERLINK("https://klasma.github.io/Logging_0764/tillsyn/A 37608-2022 tillsynsbegäran.docx", "A 37608-2022")</f>
        <v/>
      </c>
      <c r="Y134">
        <f>HYPERLINK("https://klasma.github.io/Logging_0764/tillsynsmail/A 37608-2022 tillsynsbegäran mail.docx", "A 37608-2022")</f>
        <v/>
      </c>
    </row>
    <row r="135" ht="15" customHeight="1">
      <c r="A135" t="inlineStr">
        <is>
          <t>A 51195-2023</t>
        </is>
      </c>
      <c r="B135" s="1" t="n">
        <v>45219</v>
      </c>
      <c r="C135" s="1" t="n">
        <v>46103</v>
      </c>
      <c r="D135" t="inlineStr">
        <is>
          <t>KRONOBERGS LÄN</t>
        </is>
      </c>
      <c r="E135" t="inlineStr">
        <is>
          <t>MARKARYD</t>
        </is>
      </c>
      <c r="G135" t="n">
        <v>1.6</v>
      </c>
      <c r="H135" t="n">
        <v>1</v>
      </c>
      <c r="I135" t="n">
        <v>1</v>
      </c>
      <c r="J135" t="n">
        <v>0</v>
      </c>
      <c r="K135" t="n">
        <v>0</v>
      </c>
      <c r="L135" t="n">
        <v>0</v>
      </c>
      <c r="M135" t="n">
        <v>0</v>
      </c>
      <c r="N135" t="n">
        <v>0</v>
      </c>
      <c r="O135" t="n">
        <v>0</v>
      </c>
      <c r="P135" t="n">
        <v>0</v>
      </c>
      <c r="Q135" t="n">
        <v>1</v>
      </c>
      <c r="R135" s="2" t="inlineStr">
        <is>
          <t>Spindelblomster</t>
        </is>
      </c>
      <c r="S135">
        <f>HYPERLINK("https://klasma.github.io/Logging_0767/artfynd/A 51195-2023 artfynd.xlsx", "A 51195-2023")</f>
        <v/>
      </c>
      <c r="T135">
        <f>HYPERLINK("https://klasma.github.io/Logging_0767/kartor/A 51195-2023 karta.png", "A 51195-2023")</f>
        <v/>
      </c>
      <c r="V135">
        <f>HYPERLINK("https://klasma.github.io/Logging_0767/klagomål/A 51195-2023 FSC-klagomål.docx", "A 51195-2023")</f>
        <v/>
      </c>
      <c r="W135">
        <f>HYPERLINK("https://klasma.github.io/Logging_0767/klagomålsmail/A 51195-2023 FSC-klagomål mail.docx", "A 51195-2023")</f>
        <v/>
      </c>
      <c r="X135">
        <f>HYPERLINK("https://klasma.github.io/Logging_0767/tillsyn/A 51195-2023 tillsynsbegäran.docx", "A 51195-2023")</f>
        <v/>
      </c>
      <c r="Y135">
        <f>HYPERLINK("https://klasma.github.io/Logging_0767/tillsynsmail/A 51195-2023 tillsynsbegäran mail.docx", "A 51195-2023")</f>
        <v/>
      </c>
    </row>
    <row r="136" ht="15" customHeight="1">
      <c r="A136" t="inlineStr">
        <is>
          <t>A 42414-2025</t>
        </is>
      </c>
      <c r="B136" s="1" t="n">
        <v>45905.39171296296</v>
      </c>
      <c r="C136" s="1" t="n">
        <v>46103</v>
      </c>
      <c r="D136" t="inlineStr">
        <is>
          <t>KRONOBERGS LÄN</t>
        </is>
      </c>
      <c r="E136" t="inlineStr">
        <is>
          <t>LJUNGBY</t>
        </is>
      </c>
      <c r="F136" t="inlineStr">
        <is>
          <t>Kommuner</t>
        </is>
      </c>
      <c r="G136" t="n">
        <v>2.4</v>
      </c>
      <c r="H136" t="n">
        <v>0</v>
      </c>
      <c r="I136" t="n">
        <v>0</v>
      </c>
      <c r="J136" t="n">
        <v>1</v>
      </c>
      <c r="K136" t="n">
        <v>0</v>
      </c>
      <c r="L136" t="n">
        <v>0</v>
      </c>
      <c r="M136" t="n">
        <v>0</v>
      </c>
      <c r="N136" t="n">
        <v>0</v>
      </c>
      <c r="O136" t="n">
        <v>1</v>
      </c>
      <c r="P136" t="n">
        <v>0</v>
      </c>
      <c r="Q136" t="n">
        <v>1</v>
      </c>
      <c r="R136" s="2" t="inlineStr">
        <is>
          <t>Igelkott</t>
        </is>
      </c>
      <c r="S136">
        <f>HYPERLINK("https://klasma.github.io/Logging_0781/artfynd/A 42414-2025 artfynd.xlsx", "A 42414-2025")</f>
        <v/>
      </c>
      <c r="T136">
        <f>HYPERLINK("https://klasma.github.io/Logging_0781/kartor/A 42414-2025 karta.png", "A 42414-2025")</f>
        <v/>
      </c>
      <c r="V136">
        <f>HYPERLINK("https://klasma.github.io/Logging_0781/klagomål/A 42414-2025 FSC-klagomål.docx", "A 42414-2025")</f>
        <v/>
      </c>
      <c r="W136">
        <f>HYPERLINK("https://klasma.github.io/Logging_0781/klagomålsmail/A 42414-2025 FSC-klagomål mail.docx", "A 42414-2025")</f>
        <v/>
      </c>
      <c r="X136">
        <f>HYPERLINK("https://klasma.github.io/Logging_0781/tillsyn/A 42414-2025 tillsynsbegäran.docx", "A 42414-2025")</f>
        <v/>
      </c>
      <c r="Y136">
        <f>HYPERLINK("https://klasma.github.io/Logging_0781/tillsynsmail/A 42414-2025 tillsynsbegäran mail.docx", "A 42414-2025")</f>
        <v/>
      </c>
    </row>
    <row r="137" ht="15" customHeight="1">
      <c r="A137" t="inlineStr">
        <is>
          <t>A 35815-2021</t>
        </is>
      </c>
      <c r="B137" s="1" t="n">
        <v>44386</v>
      </c>
      <c r="C137" s="1" t="n">
        <v>46103</v>
      </c>
      <c r="D137" t="inlineStr">
        <is>
          <t>KRONOBERGS LÄN</t>
        </is>
      </c>
      <c r="E137" t="inlineStr">
        <is>
          <t>VÄXJÖ</t>
        </is>
      </c>
      <c r="G137" t="n">
        <v>2.7</v>
      </c>
      <c r="H137" t="n">
        <v>0</v>
      </c>
      <c r="I137" t="n">
        <v>0</v>
      </c>
      <c r="J137" t="n">
        <v>1</v>
      </c>
      <c r="K137" t="n">
        <v>0</v>
      </c>
      <c r="L137" t="n">
        <v>0</v>
      </c>
      <c r="M137" t="n">
        <v>0</v>
      </c>
      <c r="N137" t="n">
        <v>0</v>
      </c>
      <c r="O137" t="n">
        <v>1</v>
      </c>
      <c r="P137" t="n">
        <v>0</v>
      </c>
      <c r="Q137" t="n">
        <v>1</v>
      </c>
      <c r="R137" s="2" t="inlineStr">
        <is>
          <t>Svinrot</t>
        </is>
      </c>
      <c r="S137">
        <f>HYPERLINK("https://klasma.github.io/Logging_0780/artfynd/A 35815-2021 artfynd.xlsx", "A 35815-2021")</f>
        <v/>
      </c>
      <c r="T137">
        <f>HYPERLINK("https://klasma.github.io/Logging_0780/kartor/A 35815-2021 karta.png", "A 35815-2021")</f>
        <v/>
      </c>
      <c r="V137">
        <f>HYPERLINK("https://klasma.github.io/Logging_0780/klagomål/A 35815-2021 FSC-klagomål.docx", "A 35815-2021")</f>
        <v/>
      </c>
      <c r="W137">
        <f>HYPERLINK("https://klasma.github.io/Logging_0780/klagomålsmail/A 35815-2021 FSC-klagomål mail.docx", "A 35815-2021")</f>
        <v/>
      </c>
      <c r="X137">
        <f>HYPERLINK("https://klasma.github.io/Logging_0780/tillsyn/A 35815-2021 tillsynsbegäran.docx", "A 35815-2021")</f>
        <v/>
      </c>
      <c r="Y137">
        <f>HYPERLINK("https://klasma.github.io/Logging_0780/tillsynsmail/A 35815-2021 tillsynsbegäran mail.docx", "A 35815-2021")</f>
        <v/>
      </c>
    </row>
    <row r="138" ht="15" customHeight="1">
      <c r="A138" t="inlineStr">
        <is>
          <t>A 43899-2025</t>
        </is>
      </c>
      <c r="B138" s="1" t="n">
        <v>45912.94699074074</v>
      </c>
      <c r="C138" s="1" t="n">
        <v>46103</v>
      </c>
      <c r="D138" t="inlineStr">
        <is>
          <t>KRONOBERGS LÄN</t>
        </is>
      </c>
      <c r="E138" t="inlineStr">
        <is>
          <t>VÄXJÖ</t>
        </is>
      </c>
      <c r="G138" t="n">
        <v>0.7</v>
      </c>
      <c r="H138" t="n">
        <v>1</v>
      </c>
      <c r="I138" t="n">
        <v>0</v>
      </c>
      <c r="J138" t="n">
        <v>1</v>
      </c>
      <c r="K138" t="n">
        <v>0</v>
      </c>
      <c r="L138" t="n">
        <v>0</v>
      </c>
      <c r="M138" t="n">
        <v>0</v>
      </c>
      <c r="N138" t="n">
        <v>0</v>
      </c>
      <c r="O138" t="n">
        <v>1</v>
      </c>
      <c r="P138" t="n">
        <v>0</v>
      </c>
      <c r="Q138" t="n">
        <v>1</v>
      </c>
      <c r="R138" s="2" t="inlineStr">
        <is>
          <t>Grönsångare</t>
        </is>
      </c>
      <c r="S138">
        <f>HYPERLINK("https://klasma.github.io/Logging_0780/artfynd/A 43899-2025 artfynd.xlsx", "A 43899-2025")</f>
        <v/>
      </c>
      <c r="T138">
        <f>HYPERLINK("https://klasma.github.io/Logging_0780/kartor/A 43899-2025 karta.png", "A 43899-2025")</f>
        <v/>
      </c>
      <c r="V138">
        <f>HYPERLINK("https://klasma.github.io/Logging_0780/klagomål/A 43899-2025 FSC-klagomål.docx", "A 43899-2025")</f>
        <v/>
      </c>
      <c r="W138">
        <f>HYPERLINK("https://klasma.github.io/Logging_0780/klagomålsmail/A 43899-2025 FSC-klagomål mail.docx", "A 43899-2025")</f>
        <v/>
      </c>
      <c r="X138">
        <f>HYPERLINK("https://klasma.github.io/Logging_0780/tillsyn/A 43899-2025 tillsynsbegäran.docx", "A 43899-2025")</f>
        <v/>
      </c>
      <c r="Y138">
        <f>HYPERLINK("https://klasma.github.io/Logging_0780/tillsynsmail/A 43899-2025 tillsynsbegäran mail.docx", "A 43899-2025")</f>
        <v/>
      </c>
      <c r="Z138">
        <f>HYPERLINK("https://klasma.github.io/Logging_0780/fåglar/A 43899-2025 prioriterade fågelarter.docx", "A 43899-2025")</f>
        <v/>
      </c>
    </row>
    <row r="139" ht="15" customHeight="1">
      <c r="A139" t="inlineStr">
        <is>
          <t>A 60865-2025</t>
        </is>
      </c>
      <c r="B139" s="1" t="n">
        <v>45999</v>
      </c>
      <c r="C139" s="1" t="n">
        <v>46103</v>
      </c>
      <c r="D139" t="inlineStr">
        <is>
          <t>KRONOBERGS LÄN</t>
        </is>
      </c>
      <c r="E139" t="inlineStr">
        <is>
          <t>LJUNGBY</t>
        </is>
      </c>
      <c r="F139" t="inlineStr">
        <is>
          <t>Kommuner</t>
        </is>
      </c>
      <c r="G139" t="n">
        <v>6.6</v>
      </c>
      <c r="H139" t="n">
        <v>1</v>
      </c>
      <c r="I139" t="n">
        <v>0</v>
      </c>
      <c r="J139" t="n">
        <v>1</v>
      </c>
      <c r="K139" t="n">
        <v>0</v>
      </c>
      <c r="L139" t="n">
        <v>0</v>
      </c>
      <c r="M139" t="n">
        <v>0</v>
      </c>
      <c r="N139" t="n">
        <v>0</v>
      </c>
      <c r="O139" t="n">
        <v>1</v>
      </c>
      <c r="P139" t="n">
        <v>0</v>
      </c>
      <c r="Q139" t="n">
        <v>1</v>
      </c>
      <c r="R139" s="2" t="inlineStr">
        <is>
          <t>Gulsparv</t>
        </is>
      </c>
      <c r="S139">
        <f>HYPERLINK("https://klasma.github.io/Logging_0781/artfynd/A 60865-2025 artfynd.xlsx", "A 60865-2025")</f>
        <v/>
      </c>
      <c r="T139">
        <f>HYPERLINK("https://klasma.github.io/Logging_0781/kartor/A 60865-2025 karta.png", "A 60865-2025")</f>
        <v/>
      </c>
      <c r="V139">
        <f>HYPERLINK("https://klasma.github.io/Logging_0781/klagomål/A 60865-2025 FSC-klagomål.docx", "A 60865-2025")</f>
        <v/>
      </c>
      <c r="W139">
        <f>HYPERLINK("https://klasma.github.io/Logging_0781/klagomålsmail/A 60865-2025 FSC-klagomål mail.docx", "A 60865-2025")</f>
        <v/>
      </c>
      <c r="X139">
        <f>HYPERLINK("https://klasma.github.io/Logging_0781/tillsyn/A 60865-2025 tillsynsbegäran.docx", "A 60865-2025")</f>
        <v/>
      </c>
      <c r="Y139">
        <f>HYPERLINK("https://klasma.github.io/Logging_0781/tillsynsmail/A 60865-2025 tillsynsbegäran mail.docx", "A 60865-2025")</f>
        <v/>
      </c>
      <c r="Z139">
        <f>HYPERLINK("https://klasma.github.io/Logging_0781/fåglar/A 60865-2025 prioriterade fågelarter.docx", "A 60865-2025")</f>
        <v/>
      </c>
    </row>
    <row r="140" ht="15" customHeight="1">
      <c r="A140" t="inlineStr">
        <is>
          <t>A 40839-2025</t>
        </is>
      </c>
      <c r="B140" s="1" t="n">
        <v>45897</v>
      </c>
      <c r="C140" s="1" t="n">
        <v>46103</v>
      </c>
      <c r="D140" t="inlineStr">
        <is>
          <t>KRONOBERGS LÄN</t>
        </is>
      </c>
      <c r="E140" t="inlineStr">
        <is>
          <t>UPPVIDINGE</t>
        </is>
      </c>
      <c r="G140" t="n">
        <v>1.5</v>
      </c>
      <c r="H140" t="n">
        <v>0</v>
      </c>
      <c r="I140" t="n">
        <v>1</v>
      </c>
      <c r="J140" t="n">
        <v>0</v>
      </c>
      <c r="K140" t="n">
        <v>0</v>
      </c>
      <c r="L140" t="n">
        <v>0</v>
      </c>
      <c r="M140" t="n">
        <v>0</v>
      </c>
      <c r="N140" t="n">
        <v>0</v>
      </c>
      <c r="O140" t="n">
        <v>0</v>
      </c>
      <c r="P140" t="n">
        <v>0</v>
      </c>
      <c r="Q140" t="n">
        <v>1</v>
      </c>
      <c r="R140" s="2" t="inlineStr">
        <is>
          <t>Fjällig taggsvamp s.str.</t>
        </is>
      </c>
      <c r="S140">
        <f>HYPERLINK("https://klasma.github.io/Logging_0760/artfynd/A 40839-2025 artfynd.xlsx", "A 40839-2025")</f>
        <v/>
      </c>
      <c r="T140">
        <f>HYPERLINK("https://klasma.github.io/Logging_0760/kartor/A 40839-2025 karta.png", "A 40839-2025")</f>
        <v/>
      </c>
      <c r="V140">
        <f>HYPERLINK("https://klasma.github.io/Logging_0760/klagomål/A 40839-2025 FSC-klagomål.docx", "A 40839-2025")</f>
        <v/>
      </c>
      <c r="W140">
        <f>HYPERLINK("https://klasma.github.io/Logging_0760/klagomålsmail/A 40839-2025 FSC-klagomål mail.docx", "A 40839-2025")</f>
        <v/>
      </c>
      <c r="X140">
        <f>HYPERLINK("https://klasma.github.io/Logging_0760/tillsyn/A 40839-2025 tillsynsbegäran.docx", "A 40839-2025")</f>
        <v/>
      </c>
      <c r="Y140">
        <f>HYPERLINK("https://klasma.github.io/Logging_0760/tillsynsmail/A 40839-2025 tillsynsbegäran mail.docx", "A 40839-2025")</f>
        <v/>
      </c>
    </row>
    <row r="141" ht="15" customHeight="1">
      <c r="A141" t="inlineStr">
        <is>
          <t>A 60370-2024</t>
        </is>
      </c>
      <c r="B141" s="1" t="n">
        <v>45643</v>
      </c>
      <c r="C141" s="1" t="n">
        <v>46103</v>
      </c>
      <c r="D141" t="inlineStr">
        <is>
          <t>KRONOBERGS LÄN</t>
        </is>
      </c>
      <c r="E141" t="inlineStr">
        <is>
          <t>VÄXJÖ</t>
        </is>
      </c>
      <c r="G141" t="n">
        <v>0.6</v>
      </c>
      <c r="H141" t="n">
        <v>0</v>
      </c>
      <c r="I141" t="n">
        <v>0</v>
      </c>
      <c r="J141" t="n">
        <v>1</v>
      </c>
      <c r="K141" t="n">
        <v>0</v>
      </c>
      <c r="L141" t="n">
        <v>0</v>
      </c>
      <c r="M141" t="n">
        <v>0</v>
      </c>
      <c r="N141" t="n">
        <v>0</v>
      </c>
      <c r="O141" t="n">
        <v>1</v>
      </c>
      <c r="P141" t="n">
        <v>0</v>
      </c>
      <c r="Q141" t="n">
        <v>1</v>
      </c>
      <c r="R141" s="2" t="inlineStr">
        <is>
          <t>Borsttåg</t>
        </is>
      </c>
      <c r="S141">
        <f>HYPERLINK("https://klasma.github.io/Logging_0780/artfynd/A 60370-2024 artfynd.xlsx", "A 60370-2024")</f>
        <v/>
      </c>
      <c r="T141">
        <f>HYPERLINK("https://klasma.github.io/Logging_0780/kartor/A 60370-2024 karta.png", "A 60370-2024")</f>
        <v/>
      </c>
      <c r="V141">
        <f>HYPERLINK("https://klasma.github.io/Logging_0780/klagomål/A 60370-2024 FSC-klagomål.docx", "A 60370-2024")</f>
        <v/>
      </c>
      <c r="W141">
        <f>HYPERLINK("https://klasma.github.io/Logging_0780/klagomålsmail/A 60370-2024 FSC-klagomål mail.docx", "A 60370-2024")</f>
        <v/>
      </c>
      <c r="X141">
        <f>HYPERLINK("https://klasma.github.io/Logging_0780/tillsyn/A 60370-2024 tillsynsbegäran.docx", "A 60370-2024")</f>
        <v/>
      </c>
      <c r="Y141">
        <f>HYPERLINK("https://klasma.github.io/Logging_0780/tillsynsmail/A 60370-2024 tillsynsbegäran mail.docx", "A 60370-2024")</f>
        <v/>
      </c>
    </row>
    <row r="142" ht="15" customHeight="1">
      <c r="A142" t="inlineStr">
        <is>
          <t>A 46220-2025</t>
        </is>
      </c>
      <c r="B142" s="1" t="n">
        <v>45924.86820601852</v>
      </c>
      <c r="C142" s="1" t="n">
        <v>46103</v>
      </c>
      <c r="D142" t="inlineStr">
        <is>
          <t>KRONOBERGS LÄN</t>
        </is>
      </c>
      <c r="E142" t="inlineStr">
        <is>
          <t>LJUNGBY</t>
        </is>
      </c>
      <c r="G142" t="n">
        <v>1.8</v>
      </c>
      <c r="H142" t="n">
        <v>0</v>
      </c>
      <c r="I142" t="n">
        <v>0</v>
      </c>
      <c r="J142" t="n">
        <v>0</v>
      </c>
      <c r="K142" t="n">
        <v>1</v>
      </c>
      <c r="L142" t="n">
        <v>0</v>
      </c>
      <c r="M142" t="n">
        <v>0</v>
      </c>
      <c r="N142" t="n">
        <v>0</v>
      </c>
      <c r="O142" t="n">
        <v>1</v>
      </c>
      <c r="P142" t="n">
        <v>1</v>
      </c>
      <c r="Q142" t="n">
        <v>1</v>
      </c>
      <c r="R142" s="2" t="inlineStr">
        <is>
          <t>Slåttergubbe</t>
        </is>
      </c>
      <c r="S142">
        <f>HYPERLINK("https://klasma.github.io/Logging_0781/artfynd/A 46220-2025 artfynd.xlsx", "A 46220-2025")</f>
        <v/>
      </c>
      <c r="T142">
        <f>HYPERLINK("https://klasma.github.io/Logging_0781/kartor/A 46220-2025 karta.png", "A 46220-2025")</f>
        <v/>
      </c>
      <c r="V142">
        <f>HYPERLINK("https://klasma.github.io/Logging_0781/klagomål/A 46220-2025 FSC-klagomål.docx", "A 46220-2025")</f>
        <v/>
      </c>
      <c r="W142">
        <f>HYPERLINK("https://klasma.github.io/Logging_0781/klagomålsmail/A 46220-2025 FSC-klagomål mail.docx", "A 46220-2025")</f>
        <v/>
      </c>
      <c r="X142">
        <f>HYPERLINK("https://klasma.github.io/Logging_0781/tillsyn/A 46220-2025 tillsynsbegäran.docx", "A 46220-2025")</f>
        <v/>
      </c>
      <c r="Y142">
        <f>HYPERLINK("https://klasma.github.io/Logging_0781/tillsynsmail/A 46220-2025 tillsynsbegäran mail.docx", "A 46220-2025")</f>
        <v/>
      </c>
    </row>
    <row r="143" ht="15" customHeight="1">
      <c r="A143" t="inlineStr">
        <is>
          <t>A 16882-2022</t>
        </is>
      </c>
      <c r="B143" s="1" t="n">
        <v>44676</v>
      </c>
      <c r="C143" s="1" t="n">
        <v>46103</v>
      </c>
      <c r="D143" t="inlineStr">
        <is>
          <t>KRONOBERGS LÄN</t>
        </is>
      </c>
      <c r="E143" t="inlineStr">
        <is>
          <t>UPPVIDINGE</t>
        </is>
      </c>
      <c r="G143" t="n">
        <v>13.5</v>
      </c>
      <c r="H143" t="n">
        <v>0</v>
      </c>
      <c r="I143" t="n">
        <v>0</v>
      </c>
      <c r="J143" t="n">
        <v>1</v>
      </c>
      <c r="K143" t="n">
        <v>0</v>
      </c>
      <c r="L143" t="n">
        <v>0</v>
      </c>
      <c r="M143" t="n">
        <v>0</v>
      </c>
      <c r="N143" t="n">
        <v>0</v>
      </c>
      <c r="O143" t="n">
        <v>1</v>
      </c>
      <c r="P143" t="n">
        <v>0</v>
      </c>
      <c r="Q143" t="n">
        <v>1</v>
      </c>
      <c r="R143" s="2" t="inlineStr">
        <is>
          <t>Sommarfibbla</t>
        </is>
      </c>
      <c r="S143">
        <f>HYPERLINK("https://klasma.github.io/Logging_0760/artfynd/A 16882-2022 artfynd.xlsx", "A 16882-2022")</f>
        <v/>
      </c>
      <c r="T143">
        <f>HYPERLINK("https://klasma.github.io/Logging_0760/kartor/A 16882-2022 karta.png", "A 16882-2022")</f>
        <v/>
      </c>
      <c r="V143">
        <f>HYPERLINK("https://klasma.github.io/Logging_0760/klagomål/A 16882-2022 FSC-klagomål.docx", "A 16882-2022")</f>
        <v/>
      </c>
      <c r="W143">
        <f>HYPERLINK("https://klasma.github.io/Logging_0760/klagomålsmail/A 16882-2022 FSC-klagomål mail.docx", "A 16882-2022")</f>
        <v/>
      </c>
      <c r="X143">
        <f>HYPERLINK("https://klasma.github.io/Logging_0760/tillsyn/A 16882-2022 tillsynsbegäran.docx", "A 16882-2022")</f>
        <v/>
      </c>
      <c r="Y143">
        <f>HYPERLINK("https://klasma.github.io/Logging_0760/tillsynsmail/A 16882-2022 tillsynsbegäran mail.docx", "A 16882-2022")</f>
        <v/>
      </c>
    </row>
    <row r="144" ht="15" customHeight="1">
      <c r="A144" t="inlineStr">
        <is>
          <t>A 55799-2024</t>
        </is>
      </c>
      <c r="B144" s="1" t="n">
        <v>45623</v>
      </c>
      <c r="C144" s="1" t="n">
        <v>46103</v>
      </c>
      <c r="D144" t="inlineStr">
        <is>
          <t>KRONOBERGS LÄN</t>
        </is>
      </c>
      <c r="E144" t="inlineStr">
        <is>
          <t>UPPVIDINGE</t>
        </is>
      </c>
      <c r="G144" t="n">
        <v>0.7</v>
      </c>
      <c r="H144" t="n">
        <v>0</v>
      </c>
      <c r="I144" t="n">
        <v>0</v>
      </c>
      <c r="J144" t="n">
        <v>0</v>
      </c>
      <c r="K144" t="n">
        <v>1</v>
      </c>
      <c r="L144" t="n">
        <v>0</v>
      </c>
      <c r="M144" t="n">
        <v>0</v>
      </c>
      <c r="N144" t="n">
        <v>0</v>
      </c>
      <c r="O144" t="n">
        <v>1</v>
      </c>
      <c r="P144" t="n">
        <v>1</v>
      </c>
      <c r="Q144" t="n">
        <v>1</v>
      </c>
      <c r="R144" s="2" t="inlineStr">
        <is>
          <t>Slåttergubbe</t>
        </is>
      </c>
      <c r="S144">
        <f>HYPERLINK("https://klasma.github.io/Logging_0760/artfynd/A 55799-2024 artfynd.xlsx", "A 55799-2024")</f>
        <v/>
      </c>
      <c r="T144">
        <f>HYPERLINK("https://klasma.github.io/Logging_0760/kartor/A 55799-2024 karta.png", "A 55799-2024")</f>
        <v/>
      </c>
      <c r="V144">
        <f>HYPERLINK("https://klasma.github.io/Logging_0760/klagomål/A 55799-2024 FSC-klagomål.docx", "A 55799-2024")</f>
        <v/>
      </c>
      <c r="W144">
        <f>HYPERLINK("https://klasma.github.io/Logging_0760/klagomålsmail/A 55799-2024 FSC-klagomål mail.docx", "A 55799-2024")</f>
        <v/>
      </c>
      <c r="X144">
        <f>HYPERLINK("https://klasma.github.io/Logging_0760/tillsyn/A 55799-2024 tillsynsbegäran.docx", "A 55799-2024")</f>
        <v/>
      </c>
      <c r="Y144">
        <f>HYPERLINK("https://klasma.github.io/Logging_0760/tillsynsmail/A 55799-2024 tillsynsbegäran mail.docx", "A 55799-2024")</f>
        <v/>
      </c>
    </row>
    <row r="145" ht="15" customHeight="1">
      <c r="A145" t="inlineStr">
        <is>
          <t>A 46706-2025</t>
        </is>
      </c>
      <c r="B145" s="1" t="n">
        <v>45926.56731481481</v>
      </c>
      <c r="C145" s="1" t="n">
        <v>46103</v>
      </c>
      <c r="D145" t="inlineStr">
        <is>
          <t>KRONOBERGS LÄN</t>
        </is>
      </c>
      <c r="E145" t="inlineStr">
        <is>
          <t>UPPVIDINGE</t>
        </is>
      </c>
      <c r="G145" t="n">
        <v>1.6</v>
      </c>
      <c r="H145" t="n">
        <v>0</v>
      </c>
      <c r="I145" t="n">
        <v>1</v>
      </c>
      <c r="J145" t="n">
        <v>0</v>
      </c>
      <c r="K145" t="n">
        <v>0</v>
      </c>
      <c r="L145" t="n">
        <v>0</v>
      </c>
      <c r="M145" t="n">
        <v>0</v>
      </c>
      <c r="N145" t="n">
        <v>0</v>
      </c>
      <c r="O145" t="n">
        <v>0</v>
      </c>
      <c r="P145" t="n">
        <v>0</v>
      </c>
      <c r="Q145" t="n">
        <v>1</v>
      </c>
      <c r="R145" s="2" t="inlineStr">
        <is>
          <t>Grönpyrola</t>
        </is>
      </c>
      <c r="S145">
        <f>HYPERLINK("https://klasma.github.io/Logging_0760/artfynd/A 46706-2025 artfynd.xlsx", "A 46706-2025")</f>
        <v/>
      </c>
      <c r="T145">
        <f>HYPERLINK("https://klasma.github.io/Logging_0760/kartor/A 46706-2025 karta.png", "A 46706-2025")</f>
        <v/>
      </c>
      <c r="V145">
        <f>HYPERLINK("https://klasma.github.io/Logging_0760/klagomål/A 46706-2025 FSC-klagomål.docx", "A 46706-2025")</f>
        <v/>
      </c>
      <c r="W145">
        <f>HYPERLINK("https://klasma.github.io/Logging_0760/klagomålsmail/A 46706-2025 FSC-klagomål mail.docx", "A 46706-2025")</f>
        <v/>
      </c>
      <c r="X145">
        <f>HYPERLINK("https://klasma.github.io/Logging_0760/tillsyn/A 46706-2025 tillsynsbegäran.docx", "A 46706-2025")</f>
        <v/>
      </c>
      <c r="Y145">
        <f>HYPERLINK("https://klasma.github.io/Logging_0760/tillsynsmail/A 46706-2025 tillsynsbegäran mail.docx", "A 46706-2025")</f>
        <v/>
      </c>
    </row>
    <row r="146" ht="15" customHeight="1">
      <c r="A146" t="inlineStr">
        <is>
          <t>A 47709-2025</t>
        </is>
      </c>
      <c r="B146" s="1" t="n">
        <v>45931.6134837963</v>
      </c>
      <c r="C146" s="1" t="n">
        <v>46103</v>
      </c>
      <c r="D146" t="inlineStr">
        <is>
          <t>KRONOBERGS LÄN</t>
        </is>
      </c>
      <c r="E146" t="inlineStr">
        <is>
          <t>UPPVIDINGE</t>
        </is>
      </c>
      <c r="F146" t="inlineStr">
        <is>
          <t>Kommuner</t>
        </is>
      </c>
      <c r="G146" t="n">
        <v>2</v>
      </c>
      <c r="H146" t="n">
        <v>0</v>
      </c>
      <c r="I146" t="n">
        <v>1</v>
      </c>
      <c r="J146" t="n">
        <v>0</v>
      </c>
      <c r="K146" t="n">
        <v>0</v>
      </c>
      <c r="L146" t="n">
        <v>0</v>
      </c>
      <c r="M146" t="n">
        <v>0</v>
      </c>
      <c r="N146" t="n">
        <v>0</v>
      </c>
      <c r="O146" t="n">
        <v>0</v>
      </c>
      <c r="P146" t="n">
        <v>0</v>
      </c>
      <c r="Q146" t="n">
        <v>1</v>
      </c>
      <c r="R146" s="2" t="inlineStr">
        <is>
          <t>Granbräken</t>
        </is>
      </c>
      <c r="S146">
        <f>HYPERLINK("https://klasma.github.io/Logging_0760/artfynd/A 47709-2025 artfynd.xlsx", "A 47709-2025")</f>
        <v/>
      </c>
      <c r="T146">
        <f>HYPERLINK("https://klasma.github.io/Logging_0760/kartor/A 47709-2025 karta.png", "A 47709-2025")</f>
        <v/>
      </c>
      <c r="V146">
        <f>HYPERLINK("https://klasma.github.io/Logging_0760/klagomål/A 47709-2025 FSC-klagomål.docx", "A 47709-2025")</f>
        <v/>
      </c>
      <c r="W146">
        <f>HYPERLINK("https://klasma.github.io/Logging_0760/klagomålsmail/A 47709-2025 FSC-klagomål mail.docx", "A 47709-2025")</f>
        <v/>
      </c>
      <c r="X146">
        <f>HYPERLINK("https://klasma.github.io/Logging_0760/tillsyn/A 47709-2025 tillsynsbegäran.docx", "A 47709-2025")</f>
        <v/>
      </c>
      <c r="Y146">
        <f>HYPERLINK("https://klasma.github.io/Logging_0760/tillsynsmail/A 47709-2025 tillsynsbegäran mail.docx", "A 47709-2025")</f>
        <v/>
      </c>
    </row>
    <row r="147" ht="15" customHeight="1">
      <c r="A147" t="inlineStr">
        <is>
          <t>A 44406-2024</t>
        </is>
      </c>
      <c r="B147" s="1" t="n">
        <v>45573.72543981481</v>
      </c>
      <c r="C147" s="1" t="n">
        <v>46103</v>
      </c>
      <c r="D147" t="inlineStr">
        <is>
          <t>KRONOBERGS LÄN</t>
        </is>
      </c>
      <c r="E147" t="inlineStr">
        <is>
          <t>ALVESTA</t>
        </is>
      </c>
      <c r="G147" t="n">
        <v>1.1</v>
      </c>
      <c r="H147" t="n">
        <v>0</v>
      </c>
      <c r="I147" t="n">
        <v>1</v>
      </c>
      <c r="J147" t="n">
        <v>0</v>
      </c>
      <c r="K147" t="n">
        <v>0</v>
      </c>
      <c r="L147" t="n">
        <v>0</v>
      </c>
      <c r="M147" t="n">
        <v>0</v>
      </c>
      <c r="N147" t="n">
        <v>0</v>
      </c>
      <c r="O147" t="n">
        <v>0</v>
      </c>
      <c r="P147" t="n">
        <v>0</v>
      </c>
      <c r="Q147" t="n">
        <v>1</v>
      </c>
      <c r="R147" s="2" t="inlineStr">
        <is>
          <t>Brandticka</t>
        </is>
      </c>
      <c r="S147">
        <f>HYPERLINK("https://klasma.github.io/Logging_0764/artfynd/A 44406-2024 artfynd.xlsx", "A 44406-2024")</f>
        <v/>
      </c>
      <c r="T147">
        <f>HYPERLINK("https://klasma.github.io/Logging_0764/kartor/A 44406-2024 karta.png", "A 44406-2024")</f>
        <v/>
      </c>
      <c r="V147">
        <f>HYPERLINK("https://klasma.github.io/Logging_0764/klagomål/A 44406-2024 FSC-klagomål.docx", "A 44406-2024")</f>
        <v/>
      </c>
      <c r="W147">
        <f>HYPERLINK("https://klasma.github.io/Logging_0764/klagomålsmail/A 44406-2024 FSC-klagomål mail.docx", "A 44406-2024")</f>
        <v/>
      </c>
      <c r="X147">
        <f>HYPERLINK("https://klasma.github.io/Logging_0764/tillsyn/A 44406-2024 tillsynsbegäran.docx", "A 44406-2024")</f>
        <v/>
      </c>
      <c r="Y147">
        <f>HYPERLINK("https://klasma.github.io/Logging_0764/tillsynsmail/A 44406-2024 tillsynsbegäran mail.docx", "A 44406-2024")</f>
        <v/>
      </c>
    </row>
    <row r="148" ht="15" customHeight="1">
      <c r="A148" t="inlineStr">
        <is>
          <t>A 8829-2026</t>
        </is>
      </c>
      <c r="B148" s="1" t="n">
        <v>46066</v>
      </c>
      <c r="C148" s="1" t="n">
        <v>46103</v>
      </c>
      <c r="D148" t="inlineStr">
        <is>
          <t>KRONOBERGS LÄN</t>
        </is>
      </c>
      <c r="E148" t="inlineStr">
        <is>
          <t>UPPVIDINGE</t>
        </is>
      </c>
      <c r="G148" t="n">
        <v>1.6</v>
      </c>
      <c r="H148" t="n">
        <v>1</v>
      </c>
      <c r="I148" t="n">
        <v>0</v>
      </c>
      <c r="J148" t="n">
        <v>0</v>
      </c>
      <c r="K148" t="n">
        <v>0</v>
      </c>
      <c r="L148" t="n">
        <v>0</v>
      </c>
      <c r="M148" t="n">
        <v>0</v>
      </c>
      <c r="N148" t="n">
        <v>0</v>
      </c>
      <c r="O148" t="n">
        <v>0</v>
      </c>
      <c r="P148" t="n">
        <v>0</v>
      </c>
      <c r="Q148" t="n">
        <v>1</v>
      </c>
      <c r="R148" s="2" t="inlineStr">
        <is>
          <t>Revlummer</t>
        </is>
      </c>
      <c r="S148">
        <f>HYPERLINK("https://klasma.github.io/Logging_0760/artfynd/A 8829-2026 artfynd.xlsx", "A 8829-2026")</f>
        <v/>
      </c>
      <c r="T148">
        <f>HYPERLINK("https://klasma.github.io/Logging_0760/kartor/A 8829-2026 karta.png", "A 8829-2026")</f>
        <v/>
      </c>
      <c r="V148">
        <f>HYPERLINK("https://klasma.github.io/Logging_0760/klagomål/A 8829-2026 FSC-klagomål.docx", "A 8829-2026")</f>
        <v/>
      </c>
      <c r="W148">
        <f>HYPERLINK("https://klasma.github.io/Logging_0760/klagomålsmail/A 8829-2026 FSC-klagomål mail.docx", "A 8829-2026")</f>
        <v/>
      </c>
      <c r="X148">
        <f>HYPERLINK("https://klasma.github.io/Logging_0760/tillsyn/A 8829-2026 tillsynsbegäran.docx", "A 8829-2026")</f>
        <v/>
      </c>
      <c r="Y148">
        <f>HYPERLINK("https://klasma.github.io/Logging_0760/tillsynsmail/A 8829-2026 tillsynsbegäran mail.docx", "A 8829-2026")</f>
        <v/>
      </c>
    </row>
    <row r="149" ht="15" customHeight="1">
      <c r="A149" t="inlineStr">
        <is>
          <t>A 51647-2024</t>
        </is>
      </c>
      <c r="B149" s="1" t="n">
        <v>45606.38186342592</v>
      </c>
      <c r="C149" s="1" t="n">
        <v>46103</v>
      </c>
      <c r="D149" t="inlineStr">
        <is>
          <t>KRONOBERGS LÄN</t>
        </is>
      </c>
      <c r="E149" t="inlineStr">
        <is>
          <t>VÄXJÖ</t>
        </is>
      </c>
      <c r="G149" t="n">
        <v>0.9</v>
      </c>
      <c r="H149" t="n">
        <v>0</v>
      </c>
      <c r="I149" t="n">
        <v>0</v>
      </c>
      <c r="J149" t="n">
        <v>1</v>
      </c>
      <c r="K149" t="n">
        <v>0</v>
      </c>
      <c r="L149" t="n">
        <v>0</v>
      </c>
      <c r="M149" t="n">
        <v>0</v>
      </c>
      <c r="N149" t="n">
        <v>0</v>
      </c>
      <c r="O149" t="n">
        <v>1</v>
      </c>
      <c r="P149" t="n">
        <v>0</v>
      </c>
      <c r="Q149" t="n">
        <v>1</v>
      </c>
      <c r="R149" s="2" t="inlineStr">
        <is>
          <t>Granspira</t>
        </is>
      </c>
      <c r="S149">
        <f>HYPERLINK("https://klasma.github.io/Logging_0780/artfynd/A 51647-2024 artfynd.xlsx", "A 51647-2024")</f>
        <v/>
      </c>
      <c r="T149">
        <f>HYPERLINK("https://klasma.github.io/Logging_0780/kartor/A 51647-2024 karta.png", "A 51647-2024")</f>
        <v/>
      </c>
      <c r="V149">
        <f>HYPERLINK("https://klasma.github.io/Logging_0780/klagomål/A 51647-2024 FSC-klagomål.docx", "A 51647-2024")</f>
        <v/>
      </c>
      <c r="W149">
        <f>HYPERLINK("https://klasma.github.io/Logging_0780/klagomålsmail/A 51647-2024 FSC-klagomål mail.docx", "A 51647-2024")</f>
        <v/>
      </c>
      <c r="X149">
        <f>HYPERLINK("https://klasma.github.io/Logging_0780/tillsyn/A 51647-2024 tillsynsbegäran.docx", "A 51647-2024")</f>
        <v/>
      </c>
      <c r="Y149">
        <f>HYPERLINK("https://klasma.github.io/Logging_0780/tillsynsmail/A 51647-2024 tillsynsbegäran mail.docx", "A 51647-2024")</f>
        <v/>
      </c>
    </row>
    <row r="150" ht="15" customHeight="1">
      <c r="A150" t="inlineStr">
        <is>
          <t>A 1203-2026</t>
        </is>
      </c>
      <c r="B150" s="1" t="n">
        <v>46031.37709490741</v>
      </c>
      <c r="C150" s="1" t="n">
        <v>46103</v>
      </c>
      <c r="D150" t="inlineStr">
        <is>
          <t>KRONOBERGS LÄN</t>
        </is>
      </c>
      <c r="E150" t="inlineStr">
        <is>
          <t>UPPVIDINGE</t>
        </is>
      </c>
      <c r="F150" t="inlineStr">
        <is>
          <t>Sveaskog</t>
        </is>
      </c>
      <c r="G150" t="n">
        <v>8.5</v>
      </c>
      <c r="H150" t="n">
        <v>1</v>
      </c>
      <c r="I150" t="n">
        <v>0</v>
      </c>
      <c r="J150" t="n">
        <v>0</v>
      </c>
      <c r="K150" t="n">
        <v>0</v>
      </c>
      <c r="L150" t="n">
        <v>0</v>
      </c>
      <c r="M150" t="n">
        <v>0</v>
      </c>
      <c r="N150" t="n">
        <v>0</v>
      </c>
      <c r="O150" t="n">
        <v>0</v>
      </c>
      <c r="P150" t="n">
        <v>0</v>
      </c>
      <c r="Q150" t="n">
        <v>1</v>
      </c>
      <c r="R150" s="2" t="inlineStr">
        <is>
          <t>Kungsfågel</t>
        </is>
      </c>
      <c r="S150">
        <f>HYPERLINK("https://klasma.github.io/Logging_0760/artfynd/A 1203-2026 artfynd.xlsx", "A 1203-2026")</f>
        <v/>
      </c>
      <c r="T150">
        <f>HYPERLINK("https://klasma.github.io/Logging_0760/kartor/A 1203-2026 karta.png", "A 1203-2026")</f>
        <v/>
      </c>
      <c r="V150">
        <f>HYPERLINK("https://klasma.github.io/Logging_0760/klagomål/A 1203-2026 FSC-klagomål.docx", "A 1203-2026")</f>
        <v/>
      </c>
      <c r="W150">
        <f>HYPERLINK("https://klasma.github.io/Logging_0760/klagomålsmail/A 1203-2026 FSC-klagomål mail.docx", "A 1203-2026")</f>
        <v/>
      </c>
      <c r="X150">
        <f>HYPERLINK("https://klasma.github.io/Logging_0760/tillsyn/A 1203-2026 tillsynsbegäran.docx", "A 1203-2026")</f>
        <v/>
      </c>
      <c r="Y150">
        <f>HYPERLINK("https://klasma.github.io/Logging_0760/tillsynsmail/A 1203-2026 tillsynsbegäran mail.docx", "A 1203-2026")</f>
        <v/>
      </c>
      <c r="Z150">
        <f>HYPERLINK("https://klasma.github.io/Logging_0760/fåglar/A 1203-2026 prioriterade fågelarter.docx", "A 1203-2026")</f>
        <v/>
      </c>
    </row>
    <row r="151" ht="15" customHeight="1">
      <c r="A151" t="inlineStr">
        <is>
          <t>A 49963-2025</t>
        </is>
      </c>
      <c r="B151" s="1" t="n">
        <v>45941.46940972222</v>
      </c>
      <c r="C151" s="1" t="n">
        <v>46103</v>
      </c>
      <c r="D151" t="inlineStr">
        <is>
          <t>KRONOBERGS LÄN</t>
        </is>
      </c>
      <c r="E151" t="inlineStr">
        <is>
          <t>UPPVIDINGE</t>
        </is>
      </c>
      <c r="F151" t="inlineStr">
        <is>
          <t>Sveaskog</t>
        </is>
      </c>
      <c r="G151" t="n">
        <v>8.5</v>
      </c>
      <c r="H151" t="n">
        <v>1</v>
      </c>
      <c r="I151" t="n">
        <v>0</v>
      </c>
      <c r="J151" t="n">
        <v>0</v>
      </c>
      <c r="K151" t="n">
        <v>0</v>
      </c>
      <c r="L151" t="n">
        <v>0</v>
      </c>
      <c r="M151" t="n">
        <v>0</v>
      </c>
      <c r="N151" t="n">
        <v>0</v>
      </c>
      <c r="O151" t="n">
        <v>0</v>
      </c>
      <c r="P151" t="n">
        <v>0</v>
      </c>
      <c r="Q151" t="n">
        <v>1</v>
      </c>
      <c r="R151" s="2" t="inlineStr">
        <is>
          <t>Kungsfågel</t>
        </is>
      </c>
      <c r="S151">
        <f>HYPERLINK("https://klasma.github.io/Logging_0760/artfynd/A 49963-2025 artfynd.xlsx", "A 49963-2025")</f>
        <v/>
      </c>
      <c r="T151">
        <f>HYPERLINK("https://klasma.github.io/Logging_0760/kartor/A 49963-2025 karta.png", "A 49963-2025")</f>
        <v/>
      </c>
      <c r="V151">
        <f>HYPERLINK("https://klasma.github.io/Logging_0760/klagomål/A 49963-2025 FSC-klagomål.docx", "A 49963-2025")</f>
        <v/>
      </c>
      <c r="W151">
        <f>HYPERLINK("https://klasma.github.io/Logging_0760/klagomålsmail/A 49963-2025 FSC-klagomål mail.docx", "A 49963-2025")</f>
        <v/>
      </c>
      <c r="X151">
        <f>HYPERLINK("https://klasma.github.io/Logging_0760/tillsyn/A 49963-2025 tillsynsbegäran.docx", "A 49963-2025")</f>
        <v/>
      </c>
      <c r="Y151">
        <f>HYPERLINK("https://klasma.github.io/Logging_0760/tillsynsmail/A 49963-2025 tillsynsbegäran mail.docx", "A 49963-2025")</f>
        <v/>
      </c>
      <c r="Z151">
        <f>HYPERLINK("https://klasma.github.io/Logging_0760/fåglar/A 49963-2025 prioriterade fågelarter.docx", "A 49963-2025")</f>
        <v/>
      </c>
    </row>
    <row r="152" ht="15" customHeight="1">
      <c r="A152" t="inlineStr">
        <is>
          <t>A 64150-2023</t>
        </is>
      </c>
      <c r="B152" s="1" t="n">
        <v>45279</v>
      </c>
      <c r="C152" s="1" t="n">
        <v>46103</v>
      </c>
      <c r="D152" t="inlineStr">
        <is>
          <t>KRONOBERGS LÄN</t>
        </is>
      </c>
      <c r="E152" t="inlineStr">
        <is>
          <t>VÄXJÖ</t>
        </is>
      </c>
      <c r="G152" t="n">
        <v>7</v>
      </c>
      <c r="H152" t="n">
        <v>0</v>
      </c>
      <c r="I152" t="n">
        <v>1</v>
      </c>
      <c r="J152" t="n">
        <v>0</v>
      </c>
      <c r="K152" t="n">
        <v>0</v>
      </c>
      <c r="L152" t="n">
        <v>0</v>
      </c>
      <c r="M152" t="n">
        <v>0</v>
      </c>
      <c r="N152" t="n">
        <v>0</v>
      </c>
      <c r="O152" t="n">
        <v>0</v>
      </c>
      <c r="P152" t="n">
        <v>0</v>
      </c>
      <c r="Q152" t="n">
        <v>1</v>
      </c>
      <c r="R152" s="2" t="inlineStr">
        <is>
          <t>Blåmossa</t>
        </is>
      </c>
      <c r="S152">
        <f>HYPERLINK("https://klasma.github.io/Logging_0780/artfynd/A 64150-2023 artfynd.xlsx", "A 64150-2023")</f>
        <v/>
      </c>
      <c r="T152">
        <f>HYPERLINK("https://klasma.github.io/Logging_0780/kartor/A 64150-2023 karta.png", "A 64150-2023")</f>
        <v/>
      </c>
      <c r="V152">
        <f>HYPERLINK("https://klasma.github.io/Logging_0780/klagomål/A 64150-2023 FSC-klagomål.docx", "A 64150-2023")</f>
        <v/>
      </c>
      <c r="W152">
        <f>HYPERLINK("https://klasma.github.io/Logging_0780/klagomålsmail/A 64150-2023 FSC-klagomål mail.docx", "A 64150-2023")</f>
        <v/>
      </c>
      <c r="X152">
        <f>HYPERLINK("https://klasma.github.io/Logging_0780/tillsyn/A 64150-2023 tillsynsbegäran.docx", "A 64150-2023")</f>
        <v/>
      </c>
      <c r="Y152">
        <f>HYPERLINK("https://klasma.github.io/Logging_0780/tillsynsmail/A 64150-2023 tillsynsbegäran mail.docx", "A 64150-2023")</f>
        <v/>
      </c>
    </row>
    <row r="153" ht="15" customHeight="1">
      <c r="A153" t="inlineStr">
        <is>
          <t>A 15676-2022</t>
        </is>
      </c>
      <c r="B153" s="1" t="n">
        <v>44663</v>
      </c>
      <c r="C153" s="1" t="n">
        <v>46103</v>
      </c>
      <c r="D153" t="inlineStr">
        <is>
          <t>KRONOBERGS LÄN</t>
        </is>
      </c>
      <c r="E153" t="inlineStr">
        <is>
          <t>UPPVIDINGE</t>
        </is>
      </c>
      <c r="G153" t="n">
        <v>1.5</v>
      </c>
      <c r="H153" t="n">
        <v>1</v>
      </c>
      <c r="I153" t="n">
        <v>0</v>
      </c>
      <c r="J153" t="n">
        <v>0</v>
      </c>
      <c r="K153" t="n">
        <v>1</v>
      </c>
      <c r="L153" t="n">
        <v>0</v>
      </c>
      <c r="M153" t="n">
        <v>0</v>
      </c>
      <c r="N153" t="n">
        <v>0</v>
      </c>
      <c r="O153" t="n">
        <v>1</v>
      </c>
      <c r="P153" t="n">
        <v>1</v>
      </c>
      <c r="Q153" t="n">
        <v>1</v>
      </c>
      <c r="R153" s="2" t="inlineStr">
        <is>
          <t>Knärot</t>
        </is>
      </c>
      <c r="S153">
        <f>HYPERLINK("https://klasma.github.io/Logging_0760/artfynd/A 15676-2022 artfynd.xlsx", "A 15676-2022")</f>
        <v/>
      </c>
      <c r="T153">
        <f>HYPERLINK("https://klasma.github.io/Logging_0760/kartor/A 15676-2022 karta.png", "A 15676-2022")</f>
        <v/>
      </c>
      <c r="U153">
        <f>HYPERLINK("https://klasma.github.io/Logging_0760/knärot/A 15676-2022 karta knärot.png", "A 15676-2022")</f>
        <v/>
      </c>
      <c r="V153">
        <f>HYPERLINK("https://klasma.github.io/Logging_0760/klagomål/A 15676-2022 FSC-klagomål.docx", "A 15676-2022")</f>
        <v/>
      </c>
      <c r="W153">
        <f>HYPERLINK("https://klasma.github.io/Logging_0760/klagomålsmail/A 15676-2022 FSC-klagomål mail.docx", "A 15676-2022")</f>
        <v/>
      </c>
      <c r="X153">
        <f>HYPERLINK("https://klasma.github.io/Logging_0760/tillsyn/A 15676-2022 tillsynsbegäran.docx", "A 15676-2022")</f>
        <v/>
      </c>
      <c r="Y153">
        <f>HYPERLINK("https://klasma.github.io/Logging_0760/tillsynsmail/A 15676-2022 tillsynsbegäran mail.docx", "A 15676-2022")</f>
        <v/>
      </c>
    </row>
    <row r="154" ht="15" customHeight="1">
      <c r="A154" t="inlineStr">
        <is>
          <t>A 25295-2023</t>
        </is>
      </c>
      <c r="B154" s="1" t="n">
        <v>45086</v>
      </c>
      <c r="C154" s="1" t="n">
        <v>46103</v>
      </c>
      <c r="D154" t="inlineStr">
        <is>
          <t>KRONOBERGS LÄN</t>
        </is>
      </c>
      <c r="E154" t="inlineStr">
        <is>
          <t>LJUNGBY</t>
        </is>
      </c>
      <c r="G154" t="n">
        <v>1.3</v>
      </c>
      <c r="H154" t="n">
        <v>0</v>
      </c>
      <c r="I154" t="n">
        <v>1</v>
      </c>
      <c r="J154" t="n">
        <v>0</v>
      </c>
      <c r="K154" t="n">
        <v>0</v>
      </c>
      <c r="L154" t="n">
        <v>0</v>
      </c>
      <c r="M154" t="n">
        <v>0</v>
      </c>
      <c r="N154" t="n">
        <v>0</v>
      </c>
      <c r="O154" t="n">
        <v>0</v>
      </c>
      <c r="P154" t="n">
        <v>0</v>
      </c>
      <c r="Q154" t="n">
        <v>1</v>
      </c>
      <c r="R154" s="2" t="inlineStr">
        <is>
          <t>Grönpyrola</t>
        </is>
      </c>
      <c r="S154">
        <f>HYPERLINK("https://klasma.github.io/Logging_0781/artfynd/A 25295-2023 artfynd.xlsx", "A 25295-2023")</f>
        <v/>
      </c>
      <c r="T154">
        <f>HYPERLINK("https://klasma.github.io/Logging_0781/kartor/A 25295-2023 karta.png", "A 25295-2023")</f>
        <v/>
      </c>
      <c r="V154">
        <f>HYPERLINK("https://klasma.github.io/Logging_0781/klagomål/A 25295-2023 FSC-klagomål.docx", "A 25295-2023")</f>
        <v/>
      </c>
      <c r="W154">
        <f>HYPERLINK("https://klasma.github.io/Logging_0781/klagomålsmail/A 25295-2023 FSC-klagomål mail.docx", "A 25295-2023")</f>
        <v/>
      </c>
      <c r="X154">
        <f>HYPERLINK("https://klasma.github.io/Logging_0781/tillsyn/A 25295-2023 tillsynsbegäran.docx", "A 25295-2023")</f>
        <v/>
      </c>
      <c r="Y154">
        <f>HYPERLINK("https://klasma.github.io/Logging_0781/tillsynsmail/A 25295-2023 tillsynsbegäran mail.docx", "A 25295-2023")</f>
        <v/>
      </c>
    </row>
    <row r="155" ht="15" customHeight="1">
      <c r="A155" t="inlineStr">
        <is>
          <t>A 64284-2023</t>
        </is>
      </c>
      <c r="B155" s="1" t="n">
        <v>45280</v>
      </c>
      <c r="C155" s="1" t="n">
        <v>46103</v>
      </c>
      <c r="D155" t="inlineStr">
        <is>
          <t>KRONOBERGS LÄN</t>
        </is>
      </c>
      <c r="E155" t="inlineStr">
        <is>
          <t>VÄXJÖ</t>
        </is>
      </c>
      <c r="G155" t="n">
        <v>0.7</v>
      </c>
      <c r="H155" t="n">
        <v>0</v>
      </c>
      <c r="I155" t="n">
        <v>1</v>
      </c>
      <c r="J155" t="n">
        <v>0</v>
      </c>
      <c r="K155" t="n">
        <v>0</v>
      </c>
      <c r="L155" t="n">
        <v>0</v>
      </c>
      <c r="M155" t="n">
        <v>0</v>
      </c>
      <c r="N155" t="n">
        <v>0</v>
      </c>
      <c r="O155" t="n">
        <v>0</v>
      </c>
      <c r="P155" t="n">
        <v>0</v>
      </c>
      <c r="Q155" t="n">
        <v>1</v>
      </c>
      <c r="R155" s="2" t="inlineStr">
        <is>
          <t>Tibast</t>
        </is>
      </c>
      <c r="S155">
        <f>HYPERLINK("https://klasma.github.io/Logging_0780/artfynd/A 64284-2023 artfynd.xlsx", "A 64284-2023")</f>
        <v/>
      </c>
      <c r="T155">
        <f>HYPERLINK("https://klasma.github.io/Logging_0780/kartor/A 64284-2023 karta.png", "A 64284-2023")</f>
        <v/>
      </c>
      <c r="V155">
        <f>HYPERLINK("https://klasma.github.io/Logging_0780/klagomål/A 64284-2023 FSC-klagomål.docx", "A 64284-2023")</f>
        <v/>
      </c>
      <c r="W155">
        <f>HYPERLINK("https://klasma.github.io/Logging_0780/klagomålsmail/A 64284-2023 FSC-klagomål mail.docx", "A 64284-2023")</f>
        <v/>
      </c>
      <c r="X155">
        <f>HYPERLINK("https://klasma.github.io/Logging_0780/tillsyn/A 64284-2023 tillsynsbegäran.docx", "A 64284-2023")</f>
        <v/>
      </c>
      <c r="Y155">
        <f>HYPERLINK("https://klasma.github.io/Logging_0780/tillsynsmail/A 64284-2023 tillsynsbegäran mail.docx", "A 64284-2023")</f>
        <v/>
      </c>
    </row>
    <row r="156" ht="15" customHeight="1">
      <c r="A156" t="inlineStr">
        <is>
          <t>A 38890-2024</t>
        </is>
      </c>
      <c r="B156" s="1" t="n">
        <v>45547.66675925926</v>
      </c>
      <c r="C156" s="1" t="n">
        <v>46103</v>
      </c>
      <c r="D156" t="inlineStr">
        <is>
          <t>KRONOBERGS LÄN</t>
        </is>
      </c>
      <c r="E156" t="inlineStr">
        <is>
          <t>ALVESTA</t>
        </is>
      </c>
      <c r="G156" t="n">
        <v>0.7</v>
      </c>
      <c r="H156" t="n">
        <v>1</v>
      </c>
      <c r="I156" t="n">
        <v>0</v>
      </c>
      <c r="J156" t="n">
        <v>0</v>
      </c>
      <c r="K156" t="n">
        <v>0</v>
      </c>
      <c r="L156" t="n">
        <v>0</v>
      </c>
      <c r="M156" t="n">
        <v>0</v>
      </c>
      <c r="N156" t="n">
        <v>0</v>
      </c>
      <c r="O156" t="n">
        <v>0</v>
      </c>
      <c r="P156" t="n">
        <v>0</v>
      </c>
      <c r="Q156" t="n">
        <v>1</v>
      </c>
      <c r="R156" s="2" t="inlineStr">
        <is>
          <t>Hårklomossa</t>
        </is>
      </c>
      <c r="S156">
        <f>HYPERLINK("https://klasma.github.io/Logging_0764/artfynd/A 38890-2024 artfynd.xlsx", "A 38890-2024")</f>
        <v/>
      </c>
      <c r="T156">
        <f>HYPERLINK("https://klasma.github.io/Logging_0764/kartor/A 38890-2024 karta.png", "A 38890-2024")</f>
        <v/>
      </c>
      <c r="V156">
        <f>HYPERLINK("https://klasma.github.io/Logging_0764/klagomål/A 38890-2024 FSC-klagomål.docx", "A 38890-2024")</f>
        <v/>
      </c>
      <c r="W156">
        <f>HYPERLINK("https://klasma.github.io/Logging_0764/klagomålsmail/A 38890-2024 FSC-klagomål mail.docx", "A 38890-2024")</f>
        <v/>
      </c>
      <c r="X156">
        <f>HYPERLINK("https://klasma.github.io/Logging_0764/tillsyn/A 38890-2024 tillsynsbegäran.docx", "A 38890-2024")</f>
        <v/>
      </c>
      <c r="Y156">
        <f>HYPERLINK("https://klasma.github.io/Logging_0764/tillsynsmail/A 38890-2024 tillsynsbegäran mail.docx", "A 38890-2024")</f>
        <v/>
      </c>
    </row>
    <row r="157" ht="15" customHeight="1">
      <c r="A157" t="inlineStr">
        <is>
          <t>A 52540-2025</t>
        </is>
      </c>
      <c r="B157" s="1" t="n">
        <v>45954.54748842592</v>
      </c>
      <c r="C157" s="1" t="n">
        <v>46103</v>
      </c>
      <c r="D157" t="inlineStr">
        <is>
          <t>KRONOBERGS LÄN</t>
        </is>
      </c>
      <c r="E157" t="inlineStr">
        <is>
          <t>LESSEBO</t>
        </is>
      </c>
      <c r="F157" t="inlineStr">
        <is>
          <t>Sveaskog</t>
        </is>
      </c>
      <c r="G157" t="n">
        <v>1.5</v>
      </c>
      <c r="H157" t="n">
        <v>1</v>
      </c>
      <c r="I157" t="n">
        <v>0</v>
      </c>
      <c r="J157" t="n">
        <v>0</v>
      </c>
      <c r="K157" t="n">
        <v>0</v>
      </c>
      <c r="L157" t="n">
        <v>0</v>
      </c>
      <c r="M157" t="n">
        <v>0</v>
      </c>
      <c r="N157" t="n">
        <v>0</v>
      </c>
      <c r="O157" t="n">
        <v>0</v>
      </c>
      <c r="P157" t="n">
        <v>0</v>
      </c>
      <c r="Q157" t="n">
        <v>1</v>
      </c>
      <c r="R157" s="2" t="inlineStr">
        <is>
          <t>Kungsfågel</t>
        </is>
      </c>
      <c r="S157">
        <f>HYPERLINK("https://klasma.github.io/Logging_0761/artfynd/A 52540-2025 artfynd.xlsx", "A 52540-2025")</f>
        <v/>
      </c>
      <c r="T157">
        <f>HYPERLINK("https://klasma.github.io/Logging_0761/kartor/A 52540-2025 karta.png", "A 52540-2025")</f>
        <v/>
      </c>
      <c r="V157">
        <f>HYPERLINK("https://klasma.github.io/Logging_0761/klagomål/A 52540-2025 FSC-klagomål.docx", "A 52540-2025")</f>
        <v/>
      </c>
      <c r="W157">
        <f>HYPERLINK("https://klasma.github.io/Logging_0761/klagomålsmail/A 52540-2025 FSC-klagomål mail.docx", "A 52540-2025")</f>
        <v/>
      </c>
      <c r="X157">
        <f>HYPERLINK("https://klasma.github.io/Logging_0761/tillsyn/A 52540-2025 tillsynsbegäran.docx", "A 52540-2025")</f>
        <v/>
      </c>
      <c r="Y157">
        <f>HYPERLINK("https://klasma.github.io/Logging_0761/tillsynsmail/A 52540-2025 tillsynsbegäran mail.docx", "A 52540-2025")</f>
        <v/>
      </c>
      <c r="Z157">
        <f>HYPERLINK("https://klasma.github.io/Logging_0761/fåglar/A 52540-2025 prioriterade fågelarter.docx", "A 52540-2025")</f>
        <v/>
      </c>
    </row>
    <row r="158" ht="15" customHeight="1">
      <c r="A158" t="inlineStr">
        <is>
          <t>A 6614-2025</t>
        </is>
      </c>
      <c r="B158" s="1" t="n">
        <v>45700.35604166667</v>
      </c>
      <c r="C158" s="1" t="n">
        <v>46103</v>
      </c>
      <c r="D158" t="inlineStr">
        <is>
          <t>KRONOBERGS LÄN</t>
        </is>
      </c>
      <c r="E158" t="inlineStr">
        <is>
          <t>MARKARYD</t>
        </is>
      </c>
      <c r="G158" t="n">
        <v>6.1</v>
      </c>
      <c r="H158" t="n">
        <v>0</v>
      </c>
      <c r="I158" t="n">
        <v>0</v>
      </c>
      <c r="J158" t="n">
        <v>1</v>
      </c>
      <c r="K158" t="n">
        <v>0</v>
      </c>
      <c r="L158" t="n">
        <v>0</v>
      </c>
      <c r="M158" t="n">
        <v>0</v>
      </c>
      <c r="N158" t="n">
        <v>0</v>
      </c>
      <c r="O158" t="n">
        <v>1</v>
      </c>
      <c r="P158" t="n">
        <v>0</v>
      </c>
      <c r="Q158" t="n">
        <v>1</v>
      </c>
      <c r="R158" s="2" t="inlineStr">
        <is>
          <t>Borsttåg</t>
        </is>
      </c>
      <c r="S158">
        <f>HYPERLINK("https://klasma.github.io/Logging_0767/artfynd/A 6614-2025 artfynd.xlsx", "A 6614-2025")</f>
        <v/>
      </c>
      <c r="T158">
        <f>HYPERLINK("https://klasma.github.io/Logging_0767/kartor/A 6614-2025 karta.png", "A 6614-2025")</f>
        <v/>
      </c>
      <c r="V158">
        <f>HYPERLINK("https://klasma.github.io/Logging_0767/klagomål/A 6614-2025 FSC-klagomål.docx", "A 6614-2025")</f>
        <v/>
      </c>
      <c r="W158">
        <f>HYPERLINK("https://klasma.github.io/Logging_0767/klagomålsmail/A 6614-2025 FSC-klagomål mail.docx", "A 6614-2025")</f>
        <v/>
      </c>
      <c r="X158">
        <f>HYPERLINK("https://klasma.github.io/Logging_0767/tillsyn/A 6614-2025 tillsynsbegäran.docx", "A 6614-2025")</f>
        <v/>
      </c>
      <c r="Y158">
        <f>HYPERLINK("https://klasma.github.io/Logging_0767/tillsynsmail/A 6614-2025 tillsynsbegäran mail.docx", "A 6614-2025")</f>
        <v/>
      </c>
    </row>
    <row r="159" ht="15" customHeight="1">
      <c r="A159" t="inlineStr">
        <is>
          <t>A 53172-2025</t>
        </is>
      </c>
      <c r="B159" s="1" t="n">
        <v>45958</v>
      </c>
      <c r="C159" s="1" t="n">
        <v>46103</v>
      </c>
      <c r="D159" t="inlineStr">
        <is>
          <t>KRONOBERGS LÄN</t>
        </is>
      </c>
      <c r="E159" t="inlineStr">
        <is>
          <t>ALVESTA</t>
        </is>
      </c>
      <c r="G159" t="n">
        <v>2.8</v>
      </c>
      <c r="H159" t="n">
        <v>0</v>
      </c>
      <c r="I159" t="n">
        <v>1</v>
      </c>
      <c r="J159" t="n">
        <v>0</v>
      </c>
      <c r="K159" t="n">
        <v>0</v>
      </c>
      <c r="L159" t="n">
        <v>0</v>
      </c>
      <c r="M159" t="n">
        <v>0</v>
      </c>
      <c r="N159" t="n">
        <v>0</v>
      </c>
      <c r="O159" t="n">
        <v>0</v>
      </c>
      <c r="P159" t="n">
        <v>0</v>
      </c>
      <c r="Q159" t="n">
        <v>1</v>
      </c>
      <c r="R159" s="2" t="inlineStr">
        <is>
          <t>Brandticka</t>
        </is>
      </c>
      <c r="S159">
        <f>HYPERLINK("https://klasma.github.io/Logging_0764/artfynd/A 53172-2025 artfynd.xlsx", "A 53172-2025")</f>
        <v/>
      </c>
      <c r="T159">
        <f>HYPERLINK("https://klasma.github.io/Logging_0764/kartor/A 53172-2025 karta.png", "A 53172-2025")</f>
        <v/>
      </c>
      <c r="V159">
        <f>HYPERLINK("https://klasma.github.io/Logging_0764/klagomål/A 53172-2025 FSC-klagomål.docx", "A 53172-2025")</f>
        <v/>
      </c>
      <c r="W159">
        <f>HYPERLINK("https://klasma.github.io/Logging_0764/klagomålsmail/A 53172-2025 FSC-klagomål mail.docx", "A 53172-2025")</f>
        <v/>
      </c>
      <c r="X159">
        <f>HYPERLINK("https://klasma.github.io/Logging_0764/tillsyn/A 53172-2025 tillsynsbegäran.docx", "A 53172-2025")</f>
        <v/>
      </c>
      <c r="Y159">
        <f>HYPERLINK("https://klasma.github.io/Logging_0764/tillsynsmail/A 53172-2025 tillsynsbegäran mail.docx", "A 53172-2025")</f>
        <v/>
      </c>
    </row>
    <row r="160" ht="15" customHeight="1">
      <c r="A160" t="inlineStr">
        <is>
          <t>A 47481-2025</t>
        </is>
      </c>
      <c r="B160" s="1" t="n">
        <v>45930</v>
      </c>
      <c r="C160" s="1" t="n">
        <v>46103</v>
      </c>
      <c r="D160" t="inlineStr">
        <is>
          <t>KRONOBERGS LÄN</t>
        </is>
      </c>
      <c r="E160" t="inlineStr">
        <is>
          <t>UPPVIDINGE</t>
        </is>
      </c>
      <c r="F160" t="inlineStr">
        <is>
          <t>Kyrkan</t>
        </is>
      </c>
      <c r="G160" t="n">
        <v>10.7</v>
      </c>
      <c r="H160" t="n">
        <v>1</v>
      </c>
      <c r="I160" t="n">
        <v>1</v>
      </c>
      <c r="J160" t="n">
        <v>0</v>
      </c>
      <c r="K160" t="n">
        <v>0</v>
      </c>
      <c r="L160" t="n">
        <v>0</v>
      </c>
      <c r="M160" t="n">
        <v>0</v>
      </c>
      <c r="N160" t="n">
        <v>0</v>
      </c>
      <c r="O160" t="n">
        <v>0</v>
      </c>
      <c r="P160" t="n">
        <v>0</v>
      </c>
      <c r="Q160" t="n">
        <v>1</v>
      </c>
      <c r="R160" s="2" t="inlineStr">
        <is>
          <t>Spindelblomster</t>
        </is>
      </c>
      <c r="S160">
        <f>HYPERLINK("https://klasma.github.io/Logging_0760/artfynd/A 47481-2025 artfynd.xlsx", "A 47481-2025")</f>
        <v/>
      </c>
      <c r="T160">
        <f>HYPERLINK("https://klasma.github.io/Logging_0760/kartor/A 47481-2025 karta.png", "A 47481-2025")</f>
        <v/>
      </c>
      <c r="V160">
        <f>HYPERLINK("https://klasma.github.io/Logging_0760/klagomål/A 47481-2025 FSC-klagomål.docx", "A 47481-2025")</f>
        <v/>
      </c>
      <c r="W160">
        <f>HYPERLINK("https://klasma.github.io/Logging_0760/klagomålsmail/A 47481-2025 FSC-klagomål mail.docx", "A 47481-2025")</f>
        <v/>
      </c>
      <c r="X160">
        <f>HYPERLINK("https://klasma.github.io/Logging_0760/tillsyn/A 47481-2025 tillsynsbegäran.docx", "A 47481-2025")</f>
        <v/>
      </c>
      <c r="Y160">
        <f>HYPERLINK("https://klasma.github.io/Logging_0760/tillsynsmail/A 47481-2025 tillsynsbegäran mail.docx", "A 47481-2025")</f>
        <v/>
      </c>
    </row>
    <row r="161" ht="15" customHeight="1">
      <c r="A161" t="inlineStr">
        <is>
          <t>A 4380-2026</t>
        </is>
      </c>
      <c r="B161" s="1" t="n">
        <v>46045.55876157407</v>
      </c>
      <c r="C161" s="1" t="n">
        <v>46103</v>
      </c>
      <c r="D161" t="inlineStr">
        <is>
          <t>KRONOBERGS LÄN</t>
        </is>
      </c>
      <c r="E161" t="inlineStr">
        <is>
          <t>VÄXJÖ</t>
        </is>
      </c>
      <c r="G161" t="n">
        <v>3.9</v>
      </c>
      <c r="H161" t="n">
        <v>1</v>
      </c>
      <c r="I161" t="n">
        <v>0</v>
      </c>
      <c r="J161" t="n">
        <v>0</v>
      </c>
      <c r="K161" t="n">
        <v>0</v>
      </c>
      <c r="L161" t="n">
        <v>0</v>
      </c>
      <c r="M161" t="n">
        <v>0</v>
      </c>
      <c r="N161" t="n">
        <v>0</v>
      </c>
      <c r="O161" t="n">
        <v>0</v>
      </c>
      <c r="P161" t="n">
        <v>0</v>
      </c>
      <c r="Q161" t="n">
        <v>1</v>
      </c>
      <c r="R161" s="2" t="inlineStr">
        <is>
          <t>Mattlummer</t>
        </is>
      </c>
      <c r="S161">
        <f>HYPERLINK("https://klasma.github.io/Logging_0780/artfynd/A 4380-2026 artfynd.xlsx", "A 4380-2026")</f>
        <v/>
      </c>
      <c r="T161">
        <f>HYPERLINK("https://klasma.github.io/Logging_0780/kartor/A 4380-2026 karta.png", "A 4380-2026")</f>
        <v/>
      </c>
      <c r="V161">
        <f>HYPERLINK("https://klasma.github.io/Logging_0780/klagomål/A 4380-2026 FSC-klagomål.docx", "A 4380-2026")</f>
        <v/>
      </c>
      <c r="W161">
        <f>HYPERLINK("https://klasma.github.io/Logging_0780/klagomålsmail/A 4380-2026 FSC-klagomål mail.docx", "A 4380-2026")</f>
        <v/>
      </c>
      <c r="X161">
        <f>HYPERLINK("https://klasma.github.io/Logging_0780/tillsyn/A 4380-2026 tillsynsbegäran.docx", "A 4380-2026")</f>
        <v/>
      </c>
      <c r="Y161">
        <f>HYPERLINK("https://klasma.github.io/Logging_0780/tillsynsmail/A 4380-2026 tillsynsbegäran mail.docx", "A 4380-2026")</f>
        <v/>
      </c>
    </row>
    <row r="162" ht="15" customHeight="1">
      <c r="A162" t="inlineStr">
        <is>
          <t>A 12137-2026</t>
        </is>
      </c>
      <c r="B162" s="1" t="n">
        <v>46086.56346064815</v>
      </c>
      <c r="C162" s="1" t="n">
        <v>46103</v>
      </c>
      <c r="D162" t="inlineStr">
        <is>
          <t>KRONOBERGS LÄN</t>
        </is>
      </c>
      <c r="E162" t="inlineStr">
        <is>
          <t>TINGSRYD</t>
        </is>
      </c>
      <c r="G162" t="n">
        <v>1.9</v>
      </c>
      <c r="H162" t="n">
        <v>1</v>
      </c>
      <c r="I162" t="n">
        <v>0</v>
      </c>
      <c r="J162" t="n">
        <v>0</v>
      </c>
      <c r="K162" t="n">
        <v>1</v>
      </c>
      <c r="L162" t="n">
        <v>0</v>
      </c>
      <c r="M162" t="n">
        <v>0</v>
      </c>
      <c r="N162" t="n">
        <v>0</v>
      </c>
      <c r="O162" t="n">
        <v>1</v>
      </c>
      <c r="P162" t="n">
        <v>1</v>
      </c>
      <c r="Q162" t="n">
        <v>1</v>
      </c>
      <c r="R162" s="2" t="inlineStr">
        <is>
          <t>Backsippa</t>
        </is>
      </c>
      <c r="S162">
        <f>HYPERLINK("https://klasma.github.io/Logging_0763/artfynd/A 12137-2026 artfynd.xlsx", "A 12137-2026")</f>
        <v/>
      </c>
      <c r="T162">
        <f>HYPERLINK("https://klasma.github.io/Logging_0763/kartor/A 12137-2026 karta.png", "A 12137-2026")</f>
        <v/>
      </c>
      <c r="V162">
        <f>HYPERLINK("https://klasma.github.io/Logging_0763/klagomål/A 12137-2026 FSC-klagomål.docx", "A 12137-2026")</f>
        <v/>
      </c>
      <c r="W162">
        <f>HYPERLINK("https://klasma.github.io/Logging_0763/klagomålsmail/A 12137-2026 FSC-klagomål mail.docx", "A 12137-2026")</f>
        <v/>
      </c>
      <c r="X162">
        <f>HYPERLINK("https://klasma.github.io/Logging_0763/tillsyn/A 12137-2026 tillsynsbegäran.docx", "A 12137-2026")</f>
        <v/>
      </c>
      <c r="Y162">
        <f>HYPERLINK("https://klasma.github.io/Logging_0763/tillsynsmail/A 12137-2026 tillsynsbegäran mail.docx", "A 12137-2026")</f>
        <v/>
      </c>
    </row>
    <row r="163" ht="15" customHeight="1">
      <c r="A163" t="inlineStr">
        <is>
          <t>A 4709-2026</t>
        </is>
      </c>
      <c r="B163" s="1" t="n">
        <v>46045</v>
      </c>
      <c r="C163" s="1" t="n">
        <v>46103</v>
      </c>
      <c r="D163" t="inlineStr">
        <is>
          <t>KRONOBERGS LÄN</t>
        </is>
      </c>
      <c r="E163" t="inlineStr">
        <is>
          <t>ALVESTA</t>
        </is>
      </c>
      <c r="F163" t="inlineStr">
        <is>
          <t>Kyrkan</t>
        </is>
      </c>
      <c r="G163" t="n">
        <v>1.2</v>
      </c>
      <c r="H163" t="n">
        <v>0</v>
      </c>
      <c r="I163" t="n">
        <v>1</v>
      </c>
      <c r="J163" t="n">
        <v>0</v>
      </c>
      <c r="K163" t="n">
        <v>0</v>
      </c>
      <c r="L163" t="n">
        <v>0</v>
      </c>
      <c r="M163" t="n">
        <v>0</v>
      </c>
      <c r="N163" t="n">
        <v>0</v>
      </c>
      <c r="O163" t="n">
        <v>0</v>
      </c>
      <c r="P163" t="n">
        <v>0</v>
      </c>
      <c r="Q163" t="n">
        <v>1</v>
      </c>
      <c r="R163" s="2" t="inlineStr">
        <is>
          <t>Västlig hakmossa</t>
        </is>
      </c>
      <c r="S163">
        <f>HYPERLINK("https://klasma.github.io/Logging_0764/artfynd/A 4709-2026 artfynd.xlsx", "A 4709-2026")</f>
        <v/>
      </c>
      <c r="T163">
        <f>HYPERLINK("https://klasma.github.io/Logging_0764/kartor/A 4709-2026 karta.png", "A 4709-2026")</f>
        <v/>
      </c>
      <c r="V163">
        <f>HYPERLINK("https://klasma.github.io/Logging_0764/klagomål/A 4709-2026 FSC-klagomål.docx", "A 4709-2026")</f>
        <v/>
      </c>
      <c r="W163">
        <f>HYPERLINK("https://klasma.github.io/Logging_0764/klagomålsmail/A 4709-2026 FSC-klagomål mail.docx", "A 4709-2026")</f>
        <v/>
      </c>
      <c r="X163">
        <f>HYPERLINK("https://klasma.github.io/Logging_0764/tillsyn/A 4709-2026 tillsynsbegäran.docx", "A 4709-2026")</f>
        <v/>
      </c>
      <c r="Y163">
        <f>HYPERLINK("https://klasma.github.io/Logging_0764/tillsynsmail/A 4709-2026 tillsynsbegäran mail.docx", "A 4709-2026")</f>
        <v/>
      </c>
    </row>
    <row r="164" ht="15" customHeight="1">
      <c r="A164" t="inlineStr">
        <is>
          <t>A 60139-2024</t>
        </is>
      </c>
      <c r="B164" s="1" t="n">
        <v>45642.60756944444</v>
      </c>
      <c r="C164" s="1" t="n">
        <v>46103</v>
      </c>
      <c r="D164" t="inlineStr">
        <is>
          <t>KRONOBERGS LÄN</t>
        </is>
      </c>
      <c r="E164" t="inlineStr">
        <is>
          <t>LJUNGBY</t>
        </is>
      </c>
      <c r="G164" t="n">
        <v>0.7</v>
      </c>
      <c r="H164" t="n">
        <v>0</v>
      </c>
      <c r="I164" t="n">
        <v>0</v>
      </c>
      <c r="J164" t="n">
        <v>0</v>
      </c>
      <c r="K164" t="n">
        <v>0</v>
      </c>
      <c r="L164" t="n">
        <v>0</v>
      </c>
      <c r="M164" t="n">
        <v>1</v>
      </c>
      <c r="N164" t="n">
        <v>0</v>
      </c>
      <c r="O164" t="n">
        <v>1</v>
      </c>
      <c r="P164" t="n">
        <v>1</v>
      </c>
      <c r="Q164" t="n">
        <v>1</v>
      </c>
      <c r="R164" s="2" t="inlineStr">
        <is>
          <t>Skogsalm</t>
        </is>
      </c>
      <c r="S164">
        <f>HYPERLINK("https://klasma.github.io/Logging_0781/artfynd/A 60139-2024 artfynd.xlsx", "A 60139-2024")</f>
        <v/>
      </c>
      <c r="T164">
        <f>HYPERLINK("https://klasma.github.io/Logging_0781/kartor/A 60139-2024 karta.png", "A 60139-2024")</f>
        <v/>
      </c>
      <c r="V164">
        <f>HYPERLINK("https://klasma.github.io/Logging_0781/klagomål/A 60139-2024 FSC-klagomål.docx", "A 60139-2024")</f>
        <v/>
      </c>
      <c r="W164">
        <f>HYPERLINK("https://klasma.github.io/Logging_0781/klagomålsmail/A 60139-2024 FSC-klagomål mail.docx", "A 60139-2024")</f>
        <v/>
      </c>
      <c r="X164">
        <f>HYPERLINK("https://klasma.github.io/Logging_0781/tillsyn/A 60139-2024 tillsynsbegäran.docx", "A 60139-2024")</f>
        <v/>
      </c>
      <c r="Y164">
        <f>HYPERLINK("https://klasma.github.io/Logging_0781/tillsynsmail/A 60139-2024 tillsynsbegäran mail.docx", "A 60139-2024")</f>
        <v/>
      </c>
    </row>
    <row r="165" ht="15" customHeight="1">
      <c r="A165" t="inlineStr">
        <is>
          <t>A 56742-2025</t>
        </is>
      </c>
      <c r="B165" s="1" t="n">
        <v>45978</v>
      </c>
      <c r="C165" s="1" t="n">
        <v>46103</v>
      </c>
      <c r="D165" t="inlineStr">
        <is>
          <t>KRONOBERGS LÄN</t>
        </is>
      </c>
      <c r="E165" t="inlineStr">
        <is>
          <t>LJUNGBY</t>
        </is>
      </c>
      <c r="G165" t="n">
        <v>0.4</v>
      </c>
      <c r="H165" t="n">
        <v>0</v>
      </c>
      <c r="I165" t="n">
        <v>1</v>
      </c>
      <c r="J165" t="n">
        <v>0</v>
      </c>
      <c r="K165" t="n">
        <v>0</v>
      </c>
      <c r="L165" t="n">
        <v>0</v>
      </c>
      <c r="M165" t="n">
        <v>0</v>
      </c>
      <c r="N165" t="n">
        <v>0</v>
      </c>
      <c r="O165" t="n">
        <v>0</v>
      </c>
      <c r="P165" t="n">
        <v>0</v>
      </c>
      <c r="Q165" t="n">
        <v>1</v>
      </c>
      <c r="R165" s="2" t="inlineStr">
        <is>
          <t>Granbräken</t>
        </is>
      </c>
      <c r="S165">
        <f>HYPERLINK("https://klasma.github.io/Logging_0781/artfynd/A 56742-2025 artfynd.xlsx", "A 56742-2025")</f>
        <v/>
      </c>
      <c r="T165">
        <f>HYPERLINK("https://klasma.github.io/Logging_0781/kartor/A 56742-2025 karta.png", "A 56742-2025")</f>
        <v/>
      </c>
      <c r="V165">
        <f>HYPERLINK("https://klasma.github.io/Logging_0781/klagomål/A 56742-2025 FSC-klagomål.docx", "A 56742-2025")</f>
        <v/>
      </c>
      <c r="W165">
        <f>HYPERLINK("https://klasma.github.io/Logging_0781/klagomålsmail/A 56742-2025 FSC-klagomål mail.docx", "A 56742-2025")</f>
        <v/>
      </c>
      <c r="X165">
        <f>HYPERLINK("https://klasma.github.io/Logging_0781/tillsyn/A 56742-2025 tillsynsbegäran.docx", "A 56742-2025")</f>
        <v/>
      </c>
      <c r="Y165">
        <f>HYPERLINK("https://klasma.github.io/Logging_0781/tillsynsmail/A 56742-2025 tillsynsbegäran mail.docx", "A 56742-2025")</f>
        <v/>
      </c>
    </row>
    <row r="166" ht="15" customHeight="1">
      <c r="A166" t="inlineStr">
        <is>
          <t>A 12314-2026</t>
        </is>
      </c>
      <c r="B166" s="1" t="n">
        <v>46087.59293981481</v>
      </c>
      <c r="C166" s="1" t="n">
        <v>46103</v>
      </c>
      <c r="D166" t="inlineStr">
        <is>
          <t>KRONOBERGS LÄN</t>
        </is>
      </c>
      <c r="E166" t="inlineStr">
        <is>
          <t>LJUNGBY</t>
        </is>
      </c>
      <c r="G166" t="n">
        <v>3.2</v>
      </c>
      <c r="H166" t="n">
        <v>0</v>
      </c>
      <c r="I166" t="n">
        <v>1</v>
      </c>
      <c r="J166" t="n">
        <v>0</v>
      </c>
      <c r="K166" t="n">
        <v>0</v>
      </c>
      <c r="L166" t="n">
        <v>0</v>
      </c>
      <c r="M166" t="n">
        <v>0</v>
      </c>
      <c r="N166" t="n">
        <v>0</v>
      </c>
      <c r="O166" t="n">
        <v>0</v>
      </c>
      <c r="P166" t="n">
        <v>0</v>
      </c>
      <c r="Q166" t="n">
        <v>1</v>
      </c>
      <c r="R166" s="2" t="inlineStr">
        <is>
          <t>Stor revmossa</t>
        </is>
      </c>
      <c r="S166">
        <f>HYPERLINK("https://klasma.github.io/Logging_0781/artfynd/A 12314-2026 artfynd.xlsx", "A 12314-2026")</f>
        <v/>
      </c>
      <c r="T166">
        <f>HYPERLINK("https://klasma.github.io/Logging_0781/kartor/A 12314-2026 karta.png", "A 12314-2026")</f>
        <v/>
      </c>
      <c r="V166">
        <f>HYPERLINK("https://klasma.github.io/Logging_0781/klagomål/A 12314-2026 FSC-klagomål.docx", "A 12314-2026")</f>
        <v/>
      </c>
      <c r="W166">
        <f>HYPERLINK("https://klasma.github.io/Logging_0781/klagomålsmail/A 12314-2026 FSC-klagomål mail.docx", "A 12314-2026")</f>
        <v/>
      </c>
      <c r="X166">
        <f>HYPERLINK("https://klasma.github.io/Logging_0781/tillsyn/A 12314-2026 tillsynsbegäran.docx", "A 12314-2026")</f>
        <v/>
      </c>
      <c r="Y166">
        <f>HYPERLINK("https://klasma.github.io/Logging_0781/tillsynsmail/A 12314-2026 tillsynsbegäran mail.docx", "A 12314-2026")</f>
        <v/>
      </c>
    </row>
    <row r="167" ht="15" customHeight="1">
      <c r="A167" t="inlineStr">
        <is>
          <t>A 55368-2025</t>
        </is>
      </c>
      <c r="B167" s="1" t="n">
        <v>45971.41400462963</v>
      </c>
      <c r="C167" s="1" t="n">
        <v>46103</v>
      </c>
      <c r="D167" t="inlineStr">
        <is>
          <t>KRONOBERGS LÄN</t>
        </is>
      </c>
      <c r="E167" t="inlineStr">
        <is>
          <t>ALVESTA</t>
        </is>
      </c>
      <c r="G167" t="n">
        <v>1.9</v>
      </c>
      <c r="H167" t="n">
        <v>0</v>
      </c>
      <c r="I167" t="n">
        <v>0</v>
      </c>
      <c r="J167" t="n">
        <v>1</v>
      </c>
      <c r="K167" t="n">
        <v>0</v>
      </c>
      <c r="L167" t="n">
        <v>0</v>
      </c>
      <c r="M167" t="n">
        <v>0</v>
      </c>
      <c r="N167" t="n">
        <v>0</v>
      </c>
      <c r="O167" t="n">
        <v>1</v>
      </c>
      <c r="P167" t="n">
        <v>0</v>
      </c>
      <c r="Q167" t="n">
        <v>1</v>
      </c>
      <c r="R167" s="2" t="inlineStr">
        <is>
          <t>Kortskaftad ärgspik</t>
        </is>
      </c>
      <c r="S167">
        <f>HYPERLINK("https://klasma.github.io/Logging_0764/artfynd/A 55368-2025 artfynd.xlsx", "A 55368-2025")</f>
        <v/>
      </c>
      <c r="T167">
        <f>HYPERLINK("https://klasma.github.io/Logging_0764/kartor/A 55368-2025 karta.png", "A 55368-2025")</f>
        <v/>
      </c>
      <c r="V167">
        <f>HYPERLINK("https://klasma.github.io/Logging_0764/klagomål/A 55368-2025 FSC-klagomål.docx", "A 55368-2025")</f>
        <v/>
      </c>
      <c r="W167">
        <f>HYPERLINK("https://klasma.github.io/Logging_0764/klagomålsmail/A 55368-2025 FSC-klagomål mail.docx", "A 55368-2025")</f>
        <v/>
      </c>
      <c r="X167">
        <f>HYPERLINK("https://klasma.github.io/Logging_0764/tillsyn/A 55368-2025 tillsynsbegäran.docx", "A 55368-2025")</f>
        <v/>
      </c>
      <c r="Y167">
        <f>HYPERLINK("https://klasma.github.io/Logging_0764/tillsynsmail/A 55368-2025 tillsynsbegäran mail.docx", "A 55368-2025")</f>
        <v/>
      </c>
    </row>
    <row r="168" ht="15" customHeight="1">
      <c r="A168" t="inlineStr">
        <is>
          <t>A 25814-2022</t>
        </is>
      </c>
      <c r="B168" s="1" t="n">
        <v>44729</v>
      </c>
      <c r="C168" s="1" t="n">
        <v>46103</v>
      </c>
      <c r="D168" t="inlineStr">
        <is>
          <t>KRONOBERGS LÄN</t>
        </is>
      </c>
      <c r="E168" t="inlineStr">
        <is>
          <t>TINGSRYD</t>
        </is>
      </c>
      <c r="G168" t="n">
        <v>2.5</v>
      </c>
      <c r="H168" t="n">
        <v>0</v>
      </c>
      <c r="I168" t="n">
        <v>0</v>
      </c>
      <c r="J168" t="n">
        <v>1</v>
      </c>
      <c r="K168" t="n">
        <v>0</v>
      </c>
      <c r="L168" t="n">
        <v>0</v>
      </c>
      <c r="M168" t="n">
        <v>0</v>
      </c>
      <c r="N168" t="n">
        <v>0</v>
      </c>
      <c r="O168" t="n">
        <v>1</v>
      </c>
      <c r="P168" t="n">
        <v>0</v>
      </c>
      <c r="Q168" t="n">
        <v>1</v>
      </c>
      <c r="R168" s="2" t="inlineStr">
        <is>
          <t>Mindre bastardsvärmare</t>
        </is>
      </c>
      <c r="S168">
        <f>HYPERLINK("https://klasma.github.io/Logging_0763/artfynd/A 25814-2022 artfynd.xlsx", "A 25814-2022")</f>
        <v/>
      </c>
      <c r="T168">
        <f>HYPERLINK("https://klasma.github.io/Logging_0763/kartor/A 25814-2022 karta.png", "A 25814-2022")</f>
        <v/>
      </c>
      <c r="V168">
        <f>HYPERLINK("https://klasma.github.io/Logging_0763/klagomål/A 25814-2022 FSC-klagomål.docx", "A 25814-2022")</f>
        <v/>
      </c>
      <c r="W168">
        <f>HYPERLINK("https://klasma.github.io/Logging_0763/klagomålsmail/A 25814-2022 FSC-klagomål mail.docx", "A 25814-2022")</f>
        <v/>
      </c>
      <c r="X168">
        <f>HYPERLINK("https://klasma.github.io/Logging_0763/tillsyn/A 25814-2022 tillsynsbegäran.docx", "A 25814-2022")</f>
        <v/>
      </c>
      <c r="Y168">
        <f>HYPERLINK("https://klasma.github.io/Logging_0763/tillsynsmail/A 25814-2022 tillsynsbegäran mail.docx", "A 25814-2022")</f>
        <v/>
      </c>
    </row>
    <row r="169" ht="15" customHeight="1">
      <c r="A169" t="inlineStr">
        <is>
          <t>A 12528-2026</t>
        </is>
      </c>
      <c r="B169" s="1" t="n">
        <v>46090.59958333334</v>
      </c>
      <c r="C169" s="1" t="n">
        <v>46103</v>
      </c>
      <c r="D169" t="inlineStr">
        <is>
          <t>KRONOBERGS LÄN</t>
        </is>
      </c>
      <c r="E169" t="inlineStr">
        <is>
          <t>MARKARYD</t>
        </is>
      </c>
      <c r="F169" t="inlineStr">
        <is>
          <t>Sveaskog</t>
        </is>
      </c>
      <c r="G169" t="n">
        <v>5.4</v>
      </c>
      <c r="H169" t="n">
        <v>0</v>
      </c>
      <c r="I169" t="n">
        <v>0</v>
      </c>
      <c r="J169" t="n">
        <v>1</v>
      </c>
      <c r="K169" t="n">
        <v>0</v>
      </c>
      <c r="L169" t="n">
        <v>0</v>
      </c>
      <c r="M169" t="n">
        <v>0</v>
      </c>
      <c r="N169" t="n">
        <v>0</v>
      </c>
      <c r="O169" t="n">
        <v>1</v>
      </c>
      <c r="P169" t="n">
        <v>0</v>
      </c>
      <c r="Q169" t="n">
        <v>1</v>
      </c>
      <c r="R169" s="2" t="inlineStr">
        <is>
          <t>Borsttåg</t>
        </is>
      </c>
      <c r="S169">
        <f>HYPERLINK("https://klasma.github.io/Logging_0767/artfynd/A 12528-2026 artfynd.xlsx", "A 12528-2026")</f>
        <v/>
      </c>
      <c r="T169">
        <f>HYPERLINK("https://klasma.github.io/Logging_0767/kartor/A 12528-2026 karta.png", "A 12528-2026")</f>
        <v/>
      </c>
      <c r="V169">
        <f>HYPERLINK("https://klasma.github.io/Logging_0767/klagomål/A 12528-2026 FSC-klagomål.docx", "A 12528-2026")</f>
        <v/>
      </c>
      <c r="W169">
        <f>HYPERLINK("https://klasma.github.io/Logging_0767/klagomålsmail/A 12528-2026 FSC-klagomål mail.docx", "A 12528-2026")</f>
        <v/>
      </c>
      <c r="X169">
        <f>HYPERLINK("https://klasma.github.io/Logging_0767/tillsyn/A 12528-2026 tillsynsbegäran.docx", "A 12528-2026")</f>
        <v/>
      </c>
      <c r="Y169">
        <f>HYPERLINK("https://klasma.github.io/Logging_0767/tillsynsmail/A 12528-2026 tillsynsbegäran mail.docx", "A 12528-2026")</f>
        <v/>
      </c>
    </row>
    <row r="170" ht="15" customHeight="1">
      <c r="A170" t="inlineStr">
        <is>
          <t>A 56472-2024</t>
        </is>
      </c>
      <c r="B170" s="1" t="n">
        <v>45625.46011574074</v>
      </c>
      <c r="C170" s="1" t="n">
        <v>46103</v>
      </c>
      <c r="D170" t="inlineStr">
        <is>
          <t>KRONOBERGS LÄN</t>
        </is>
      </c>
      <c r="E170" t="inlineStr">
        <is>
          <t>LESSEBO</t>
        </is>
      </c>
      <c r="G170" t="n">
        <v>5</v>
      </c>
      <c r="H170" t="n">
        <v>1</v>
      </c>
      <c r="I170" t="n">
        <v>0</v>
      </c>
      <c r="J170" t="n">
        <v>0</v>
      </c>
      <c r="K170" t="n">
        <v>0</v>
      </c>
      <c r="L170" t="n">
        <v>0</v>
      </c>
      <c r="M170" t="n">
        <v>0</v>
      </c>
      <c r="N170" t="n">
        <v>0</v>
      </c>
      <c r="O170" t="n">
        <v>0</v>
      </c>
      <c r="P170" t="n">
        <v>0</v>
      </c>
      <c r="Q170" t="n">
        <v>1</v>
      </c>
      <c r="R170" s="2" t="inlineStr">
        <is>
          <t>Fläcknycklar</t>
        </is>
      </c>
      <c r="S170">
        <f>HYPERLINK("https://klasma.github.io/Logging_0761/artfynd/A 56472-2024 artfynd.xlsx", "A 56472-2024")</f>
        <v/>
      </c>
      <c r="T170">
        <f>HYPERLINK("https://klasma.github.io/Logging_0761/kartor/A 56472-2024 karta.png", "A 56472-2024")</f>
        <v/>
      </c>
      <c r="V170">
        <f>HYPERLINK("https://klasma.github.io/Logging_0761/klagomål/A 56472-2024 FSC-klagomål.docx", "A 56472-2024")</f>
        <v/>
      </c>
      <c r="W170">
        <f>HYPERLINK("https://klasma.github.io/Logging_0761/klagomålsmail/A 56472-2024 FSC-klagomål mail.docx", "A 56472-2024")</f>
        <v/>
      </c>
      <c r="X170">
        <f>HYPERLINK("https://klasma.github.io/Logging_0761/tillsyn/A 56472-2024 tillsynsbegäran.docx", "A 56472-2024")</f>
        <v/>
      </c>
      <c r="Y170">
        <f>HYPERLINK("https://klasma.github.io/Logging_0761/tillsynsmail/A 56472-2024 tillsynsbegäran mail.docx", "A 56472-2024")</f>
        <v/>
      </c>
    </row>
    <row r="171" ht="15" customHeight="1">
      <c r="A171" t="inlineStr">
        <is>
          <t>A 5742-2026</t>
        </is>
      </c>
      <c r="B171" s="1" t="n">
        <v>46051.59083333334</v>
      </c>
      <c r="C171" s="1" t="n">
        <v>46103</v>
      </c>
      <c r="D171" t="inlineStr">
        <is>
          <t>KRONOBERGS LÄN</t>
        </is>
      </c>
      <c r="E171" t="inlineStr">
        <is>
          <t>UPPVIDINGE</t>
        </is>
      </c>
      <c r="G171" t="n">
        <v>3</v>
      </c>
      <c r="H171" t="n">
        <v>0</v>
      </c>
      <c r="I171" t="n">
        <v>1</v>
      </c>
      <c r="J171" t="n">
        <v>0</v>
      </c>
      <c r="K171" t="n">
        <v>0</v>
      </c>
      <c r="L171" t="n">
        <v>0</v>
      </c>
      <c r="M171" t="n">
        <v>0</v>
      </c>
      <c r="N171" t="n">
        <v>0</v>
      </c>
      <c r="O171" t="n">
        <v>0</v>
      </c>
      <c r="P171" t="n">
        <v>0</v>
      </c>
      <c r="Q171" t="n">
        <v>1</v>
      </c>
      <c r="R171" s="2" t="inlineStr">
        <is>
          <t>Dropptaggsvamp</t>
        </is>
      </c>
      <c r="S171">
        <f>HYPERLINK("https://klasma.github.io/Logging_0760/artfynd/A 5742-2026 artfynd.xlsx", "A 5742-2026")</f>
        <v/>
      </c>
      <c r="T171">
        <f>HYPERLINK("https://klasma.github.io/Logging_0760/kartor/A 5742-2026 karta.png", "A 5742-2026")</f>
        <v/>
      </c>
      <c r="V171">
        <f>HYPERLINK("https://klasma.github.io/Logging_0760/klagomål/A 5742-2026 FSC-klagomål.docx", "A 5742-2026")</f>
        <v/>
      </c>
      <c r="W171">
        <f>HYPERLINK("https://klasma.github.io/Logging_0760/klagomålsmail/A 5742-2026 FSC-klagomål mail.docx", "A 5742-2026")</f>
        <v/>
      </c>
      <c r="X171">
        <f>HYPERLINK("https://klasma.github.io/Logging_0760/tillsyn/A 5742-2026 tillsynsbegäran.docx", "A 5742-2026")</f>
        <v/>
      </c>
      <c r="Y171">
        <f>HYPERLINK("https://klasma.github.io/Logging_0760/tillsynsmail/A 5742-2026 tillsynsbegäran mail.docx", "A 5742-2026")</f>
        <v/>
      </c>
    </row>
    <row r="172" ht="15" customHeight="1">
      <c r="A172" t="inlineStr">
        <is>
          <t>A 22238-2024</t>
        </is>
      </c>
      <c r="B172" s="1" t="n">
        <v>45446.43868055556</v>
      </c>
      <c r="C172" s="1" t="n">
        <v>46103</v>
      </c>
      <c r="D172" t="inlineStr">
        <is>
          <t>KRONOBERGS LÄN</t>
        </is>
      </c>
      <c r="E172" t="inlineStr">
        <is>
          <t>ALVESTA</t>
        </is>
      </c>
      <c r="G172" t="n">
        <v>0.7</v>
      </c>
      <c r="H172" t="n">
        <v>1</v>
      </c>
      <c r="I172" t="n">
        <v>0</v>
      </c>
      <c r="J172" t="n">
        <v>0</v>
      </c>
      <c r="K172" t="n">
        <v>0</v>
      </c>
      <c r="L172" t="n">
        <v>1</v>
      </c>
      <c r="M172" t="n">
        <v>0</v>
      </c>
      <c r="N172" t="n">
        <v>0</v>
      </c>
      <c r="O172" t="n">
        <v>1</v>
      </c>
      <c r="P172" t="n">
        <v>1</v>
      </c>
      <c r="Q172" t="n">
        <v>1</v>
      </c>
      <c r="R172" s="2" t="inlineStr">
        <is>
          <t>Klockgentiana</t>
        </is>
      </c>
      <c r="S172">
        <f>HYPERLINK("https://klasma.github.io/Logging_0764/artfynd/A 22238-2024 artfynd.xlsx", "A 22238-2024")</f>
        <v/>
      </c>
      <c r="T172">
        <f>HYPERLINK("https://klasma.github.io/Logging_0764/kartor/A 22238-2024 karta.png", "A 22238-2024")</f>
        <v/>
      </c>
      <c r="V172">
        <f>HYPERLINK("https://klasma.github.io/Logging_0764/klagomål/A 22238-2024 FSC-klagomål.docx", "A 22238-2024")</f>
        <v/>
      </c>
      <c r="W172">
        <f>HYPERLINK("https://klasma.github.io/Logging_0764/klagomålsmail/A 22238-2024 FSC-klagomål mail.docx", "A 22238-2024")</f>
        <v/>
      </c>
      <c r="X172">
        <f>HYPERLINK("https://klasma.github.io/Logging_0764/tillsyn/A 22238-2024 tillsynsbegäran.docx", "A 22238-2024")</f>
        <v/>
      </c>
      <c r="Y172">
        <f>HYPERLINK("https://klasma.github.io/Logging_0764/tillsynsmail/A 22238-2024 tillsynsbegäran mail.docx", "A 22238-2024")</f>
        <v/>
      </c>
    </row>
    <row r="173" ht="15" customHeight="1">
      <c r="A173" t="inlineStr">
        <is>
          <t>A 56640-2025</t>
        </is>
      </c>
      <c r="B173" s="1" t="n">
        <v>45975</v>
      </c>
      <c r="C173" s="1" t="n">
        <v>46103</v>
      </c>
      <c r="D173" t="inlineStr">
        <is>
          <t>KRONOBERGS LÄN</t>
        </is>
      </c>
      <c r="E173" t="inlineStr">
        <is>
          <t>VÄXJÖ</t>
        </is>
      </c>
      <c r="G173" t="n">
        <v>2.9</v>
      </c>
      <c r="H173" t="n">
        <v>1</v>
      </c>
      <c r="I173" t="n">
        <v>0</v>
      </c>
      <c r="J173" t="n">
        <v>0</v>
      </c>
      <c r="K173" t="n">
        <v>0</v>
      </c>
      <c r="L173" t="n">
        <v>0</v>
      </c>
      <c r="M173" t="n">
        <v>0</v>
      </c>
      <c r="N173" t="n">
        <v>0</v>
      </c>
      <c r="O173" t="n">
        <v>0</v>
      </c>
      <c r="P173" t="n">
        <v>0</v>
      </c>
      <c r="Q173" t="n">
        <v>1</v>
      </c>
      <c r="R173" s="2" t="inlineStr">
        <is>
          <t>Mattlummer</t>
        </is>
      </c>
      <c r="S173">
        <f>HYPERLINK("https://klasma.github.io/Logging_0780/artfynd/A 56640-2025 artfynd.xlsx", "A 56640-2025")</f>
        <v/>
      </c>
      <c r="T173">
        <f>HYPERLINK("https://klasma.github.io/Logging_0780/kartor/A 56640-2025 karta.png", "A 56640-2025")</f>
        <v/>
      </c>
      <c r="V173">
        <f>HYPERLINK("https://klasma.github.io/Logging_0780/klagomål/A 56640-2025 FSC-klagomål.docx", "A 56640-2025")</f>
        <v/>
      </c>
      <c r="W173">
        <f>HYPERLINK("https://klasma.github.io/Logging_0780/klagomålsmail/A 56640-2025 FSC-klagomål mail.docx", "A 56640-2025")</f>
        <v/>
      </c>
      <c r="X173">
        <f>HYPERLINK("https://klasma.github.io/Logging_0780/tillsyn/A 56640-2025 tillsynsbegäran.docx", "A 56640-2025")</f>
        <v/>
      </c>
      <c r="Y173">
        <f>HYPERLINK("https://klasma.github.io/Logging_0780/tillsynsmail/A 56640-2025 tillsynsbegäran mail.docx", "A 56640-2025")</f>
        <v/>
      </c>
    </row>
    <row r="174" ht="15" customHeight="1">
      <c r="A174" t="inlineStr">
        <is>
          <t>A 9911-2023</t>
        </is>
      </c>
      <c r="B174" s="1" t="n">
        <v>44985</v>
      </c>
      <c r="C174" s="1" t="n">
        <v>46103</v>
      </c>
      <c r="D174" t="inlineStr">
        <is>
          <t>KRONOBERGS LÄN</t>
        </is>
      </c>
      <c r="E174" t="inlineStr">
        <is>
          <t>LJUNGBY</t>
        </is>
      </c>
      <c r="G174" t="n">
        <v>1</v>
      </c>
      <c r="H174" t="n">
        <v>1</v>
      </c>
      <c r="I174" t="n">
        <v>1</v>
      </c>
      <c r="J174" t="n">
        <v>0</v>
      </c>
      <c r="K174" t="n">
        <v>0</v>
      </c>
      <c r="L174" t="n">
        <v>0</v>
      </c>
      <c r="M174" t="n">
        <v>0</v>
      </c>
      <c r="N174" t="n">
        <v>0</v>
      </c>
      <c r="O174" t="n">
        <v>0</v>
      </c>
      <c r="P174" t="n">
        <v>0</v>
      </c>
      <c r="Q174" t="n">
        <v>1</v>
      </c>
      <c r="R174" s="2" t="inlineStr">
        <is>
          <t>Spindelblomster</t>
        </is>
      </c>
      <c r="S174">
        <f>HYPERLINK("https://klasma.github.io/Logging_0781/artfynd/A 9911-2023 artfynd.xlsx", "A 9911-2023")</f>
        <v/>
      </c>
      <c r="T174">
        <f>HYPERLINK("https://klasma.github.io/Logging_0781/kartor/A 9911-2023 karta.png", "A 9911-2023")</f>
        <v/>
      </c>
      <c r="V174">
        <f>HYPERLINK("https://klasma.github.io/Logging_0781/klagomål/A 9911-2023 FSC-klagomål.docx", "A 9911-2023")</f>
        <v/>
      </c>
      <c r="W174">
        <f>HYPERLINK("https://klasma.github.io/Logging_0781/klagomålsmail/A 9911-2023 FSC-klagomål mail.docx", "A 9911-2023")</f>
        <v/>
      </c>
      <c r="X174">
        <f>HYPERLINK("https://klasma.github.io/Logging_0781/tillsyn/A 9911-2023 tillsynsbegäran.docx", "A 9911-2023")</f>
        <v/>
      </c>
      <c r="Y174">
        <f>HYPERLINK("https://klasma.github.io/Logging_0781/tillsynsmail/A 9911-2023 tillsynsbegäran mail.docx", "A 9911-2023")</f>
        <v/>
      </c>
    </row>
    <row r="175" ht="15" customHeight="1">
      <c r="A175" t="inlineStr">
        <is>
          <t>A 29290-2025</t>
        </is>
      </c>
      <c r="B175" s="1" t="n">
        <v>45824.44016203703</v>
      </c>
      <c r="C175" s="1" t="n">
        <v>46103</v>
      </c>
      <c r="D175" t="inlineStr">
        <is>
          <t>KRONOBERGS LÄN</t>
        </is>
      </c>
      <c r="E175" t="inlineStr">
        <is>
          <t>VÄXJÖ</t>
        </is>
      </c>
      <c r="G175" t="n">
        <v>2.7</v>
      </c>
      <c r="H175" t="n">
        <v>1</v>
      </c>
      <c r="I175" t="n">
        <v>1</v>
      </c>
      <c r="J175" t="n">
        <v>0</v>
      </c>
      <c r="K175" t="n">
        <v>0</v>
      </c>
      <c r="L175" t="n">
        <v>0</v>
      </c>
      <c r="M175" t="n">
        <v>0</v>
      </c>
      <c r="N175" t="n">
        <v>0</v>
      </c>
      <c r="O175" t="n">
        <v>0</v>
      </c>
      <c r="P175" t="n">
        <v>0</v>
      </c>
      <c r="Q175" t="n">
        <v>1</v>
      </c>
      <c r="R175" s="2" t="inlineStr">
        <is>
          <t>Plattlummer</t>
        </is>
      </c>
      <c r="S175">
        <f>HYPERLINK("https://klasma.github.io/Logging_0780/artfynd/A 29290-2025 artfynd.xlsx", "A 29290-2025")</f>
        <v/>
      </c>
      <c r="T175">
        <f>HYPERLINK("https://klasma.github.io/Logging_0780/kartor/A 29290-2025 karta.png", "A 29290-2025")</f>
        <v/>
      </c>
      <c r="V175">
        <f>HYPERLINK("https://klasma.github.io/Logging_0780/klagomål/A 29290-2025 FSC-klagomål.docx", "A 29290-2025")</f>
        <v/>
      </c>
      <c r="W175">
        <f>HYPERLINK("https://klasma.github.io/Logging_0780/klagomålsmail/A 29290-2025 FSC-klagomål mail.docx", "A 29290-2025")</f>
        <v/>
      </c>
      <c r="X175">
        <f>HYPERLINK("https://klasma.github.io/Logging_0780/tillsyn/A 29290-2025 tillsynsbegäran.docx", "A 29290-2025")</f>
        <v/>
      </c>
      <c r="Y175">
        <f>HYPERLINK("https://klasma.github.io/Logging_0780/tillsynsmail/A 29290-2025 tillsynsbegäran mail.docx", "A 29290-2025")</f>
        <v/>
      </c>
    </row>
    <row r="176" ht="15" customHeight="1">
      <c r="A176" t="inlineStr">
        <is>
          <t>A 14565-2026</t>
        </is>
      </c>
      <c r="B176" s="1" t="n">
        <v>46100.81048611111</v>
      </c>
      <c r="C176" s="1" t="n">
        <v>46103</v>
      </c>
      <c r="D176" t="inlineStr">
        <is>
          <t>KRONOBERGS LÄN</t>
        </is>
      </c>
      <c r="E176" t="inlineStr">
        <is>
          <t>UPPVIDINGE</t>
        </is>
      </c>
      <c r="G176" t="n">
        <v>8.699999999999999</v>
      </c>
      <c r="H176" t="n">
        <v>1</v>
      </c>
      <c r="I176" t="n">
        <v>0</v>
      </c>
      <c r="J176" t="n">
        <v>1</v>
      </c>
      <c r="K176" t="n">
        <v>0</v>
      </c>
      <c r="L176" t="n">
        <v>0</v>
      </c>
      <c r="M176" t="n">
        <v>0</v>
      </c>
      <c r="N176" t="n">
        <v>0</v>
      </c>
      <c r="O176" t="n">
        <v>1</v>
      </c>
      <c r="P176" t="n">
        <v>0</v>
      </c>
      <c r="Q176" t="n">
        <v>1</v>
      </c>
      <c r="R176" s="2" t="inlineStr">
        <is>
          <t>Spillkråka</t>
        </is>
      </c>
      <c r="S176">
        <f>HYPERLINK("https://klasma.github.io/Logging_0760/artfynd/A 14565-2026 artfynd.xlsx", "A 14565-2026")</f>
        <v/>
      </c>
      <c r="T176">
        <f>HYPERLINK("https://klasma.github.io/Logging_0760/kartor/A 14565-2026 karta.png", "A 14565-2026")</f>
        <v/>
      </c>
      <c r="V176">
        <f>HYPERLINK("https://klasma.github.io/Logging_0760/klagomål/A 14565-2026 FSC-klagomål.docx", "A 14565-2026")</f>
        <v/>
      </c>
      <c r="W176">
        <f>HYPERLINK("https://klasma.github.io/Logging_0760/klagomålsmail/A 14565-2026 FSC-klagomål mail.docx", "A 14565-2026")</f>
        <v/>
      </c>
      <c r="X176">
        <f>HYPERLINK("https://klasma.github.io/Logging_0760/tillsyn/A 14565-2026 tillsynsbegäran.docx", "A 14565-2026")</f>
        <v/>
      </c>
      <c r="Y176">
        <f>HYPERLINK("https://klasma.github.io/Logging_0760/tillsynsmail/A 14565-2026 tillsynsbegäran mail.docx", "A 14565-2026")</f>
        <v/>
      </c>
      <c r="Z176">
        <f>HYPERLINK("https://klasma.github.io/Logging_0760/fåglar/A 14565-2026 prioriterade fågelarter.docx", "A 14565-2026")</f>
        <v/>
      </c>
    </row>
    <row r="177" ht="15" customHeight="1">
      <c r="A177" t="inlineStr">
        <is>
          <t>A 58048-2024</t>
        </is>
      </c>
      <c r="B177" s="1" t="n">
        <v>45631.8084375</v>
      </c>
      <c r="C177" s="1" t="n">
        <v>46103</v>
      </c>
      <c r="D177" t="inlineStr">
        <is>
          <t>KRONOBERGS LÄN</t>
        </is>
      </c>
      <c r="E177" t="inlineStr">
        <is>
          <t>ÄLMHULT</t>
        </is>
      </c>
      <c r="G177" t="n">
        <v>1.9</v>
      </c>
      <c r="H177" t="n">
        <v>0</v>
      </c>
      <c r="I177" t="n">
        <v>0</v>
      </c>
      <c r="J177" t="n">
        <v>1</v>
      </c>
      <c r="K177" t="n">
        <v>0</v>
      </c>
      <c r="L177" t="n">
        <v>0</v>
      </c>
      <c r="M177" t="n">
        <v>0</v>
      </c>
      <c r="N177" t="n">
        <v>0</v>
      </c>
      <c r="O177" t="n">
        <v>1</v>
      </c>
      <c r="P177" t="n">
        <v>0</v>
      </c>
      <c r="Q177" t="n">
        <v>1</v>
      </c>
      <c r="R177" s="2" t="inlineStr">
        <is>
          <t>Solvända</t>
        </is>
      </c>
      <c r="S177">
        <f>HYPERLINK("https://klasma.github.io/Logging_0765/artfynd/A 58048-2024 artfynd.xlsx", "A 58048-2024")</f>
        <v/>
      </c>
      <c r="T177">
        <f>HYPERLINK("https://klasma.github.io/Logging_0765/kartor/A 58048-2024 karta.png", "A 58048-2024")</f>
        <v/>
      </c>
      <c r="V177">
        <f>HYPERLINK("https://klasma.github.io/Logging_0765/klagomål/A 58048-2024 FSC-klagomål.docx", "A 58048-2024")</f>
        <v/>
      </c>
      <c r="W177">
        <f>HYPERLINK("https://klasma.github.io/Logging_0765/klagomålsmail/A 58048-2024 FSC-klagomål mail.docx", "A 58048-2024")</f>
        <v/>
      </c>
      <c r="X177">
        <f>HYPERLINK("https://klasma.github.io/Logging_0765/tillsyn/A 58048-2024 tillsynsbegäran.docx", "A 58048-2024")</f>
        <v/>
      </c>
      <c r="Y177">
        <f>HYPERLINK("https://klasma.github.io/Logging_0765/tillsynsmail/A 58048-2024 tillsynsbegäran mail.docx", "A 58048-2024")</f>
        <v/>
      </c>
    </row>
    <row r="178" ht="15" customHeight="1">
      <c r="A178" t="inlineStr">
        <is>
          <t>A 3863-2024</t>
        </is>
      </c>
      <c r="B178" s="1" t="n">
        <v>45322</v>
      </c>
      <c r="C178" s="1" t="n">
        <v>46103</v>
      </c>
      <c r="D178" t="inlineStr">
        <is>
          <t>KRONOBERGS LÄN</t>
        </is>
      </c>
      <c r="E178" t="inlineStr">
        <is>
          <t>TINGSRYD</t>
        </is>
      </c>
      <c r="F178" t="inlineStr">
        <is>
          <t>Övriga Aktiebolag</t>
        </is>
      </c>
      <c r="G178" t="n">
        <v>2.2</v>
      </c>
      <c r="H178" t="n">
        <v>0</v>
      </c>
      <c r="I178" t="n">
        <v>1</v>
      </c>
      <c r="J178" t="n">
        <v>0</v>
      </c>
      <c r="K178" t="n">
        <v>0</v>
      </c>
      <c r="L178" t="n">
        <v>0</v>
      </c>
      <c r="M178" t="n">
        <v>0</v>
      </c>
      <c r="N178" t="n">
        <v>0</v>
      </c>
      <c r="O178" t="n">
        <v>0</v>
      </c>
      <c r="P178" t="n">
        <v>0</v>
      </c>
      <c r="Q178" t="n">
        <v>1</v>
      </c>
      <c r="R178" s="2" t="inlineStr">
        <is>
          <t>Safsa</t>
        </is>
      </c>
      <c r="S178">
        <f>HYPERLINK("https://klasma.github.io/Logging_0763/artfynd/A 3863-2024 artfynd.xlsx", "A 3863-2024")</f>
        <v/>
      </c>
      <c r="T178">
        <f>HYPERLINK("https://klasma.github.io/Logging_0763/kartor/A 3863-2024 karta.png", "A 3863-2024")</f>
        <v/>
      </c>
      <c r="V178">
        <f>HYPERLINK("https://klasma.github.io/Logging_0763/klagomål/A 3863-2024 FSC-klagomål.docx", "A 3863-2024")</f>
        <v/>
      </c>
      <c r="W178">
        <f>HYPERLINK("https://klasma.github.io/Logging_0763/klagomålsmail/A 3863-2024 FSC-klagomål mail.docx", "A 3863-2024")</f>
        <v/>
      </c>
      <c r="X178">
        <f>HYPERLINK("https://klasma.github.io/Logging_0763/tillsyn/A 3863-2024 tillsynsbegäran.docx", "A 3863-2024")</f>
        <v/>
      </c>
      <c r="Y178">
        <f>HYPERLINK("https://klasma.github.io/Logging_0763/tillsynsmail/A 3863-2024 tillsynsbegäran mail.docx", "A 3863-2024")</f>
        <v/>
      </c>
    </row>
    <row r="179" ht="15" customHeight="1">
      <c r="A179" t="inlineStr">
        <is>
          <t>A 28798-2025</t>
        </is>
      </c>
      <c r="B179" s="1" t="n">
        <v>45820.48319444444</v>
      </c>
      <c r="C179" s="1" t="n">
        <v>46103</v>
      </c>
      <c r="D179" t="inlineStr">
        <is>
          <t>KRONOBERGS LÄN</t>
        </is>
      </c>
      <c r="E179" t="inlineStr">
        <is>
          <t>UPPVIDINGE</t>
        </is>
      </c>
      <c r="G179" t="n">
        <v>1.2</v>
      </c>
      <c r="H179" t="n">
        <v>0</v>
      </c>
      <c r="I179" t="n">
        <v>0</v>
      </c>
      <c r="J179" t="n">
        <v>1</v>
      </c>
      <c r="K179" t="n">
        <v>0</v>
      </c>
      <c r="L179" t="n">
        <v>0</v>
      </c>
      <c r="M179" t="n">
        <v>0</v>
      </c>
      <c r="N179" t="n">
        <v>0</v>
      </c>
      <c r="O179" t="n">
        <v>1</v>
      </c>
      <c r="P179" t="n">
        <v>0</v>
      </c>
      <c r="Q179" t="n">
        <v>1</v>
      </c>
      <c r="R179" s="2" t="inlineStr">
        <is>
          <t>Igelkott</t>
        </is>
      </c>
      <c r="S179">
        <f>HYPERLINK("https://klasma.github.io/Logging_0760/artfynd/A 28798-2025 artfynd.xlsx", "A 28798-2025")</f>
        <v/>
      </c>
      <c r="T179">
        <f>HYPERLINK("https://klasma.github.io/Logging_0760/kartor/A 28798-2025 karta.png", "A 28798-2025")</f>
        <v/>
      </c>
      <c r="V179">
        <f>HYPERLINK("https://klasma.github.io/Logging_0760/klagomål/A 28798-2025 FSC-klagomål.docx", "A 28798-2025")</f>
        <v/>
      </c>
      <c r="W179">
        <f>HYPERLINK("https://klasma.github.io/Logging_0760/klagomålsmail/A 28798-2025 FSC-klagomål mail.docx", "A 28798-2025")</f>
        <v/>
      </c>
      <c r="X179">
        <f>HYPERLINK("https://klasma.github.io/Logging_0760/tillsyn/A 28798-2025 tillsynsbegäran.docx", "A 28798-2025")</f>
        <v/>
      </c>
      <c r="Y179">
        <f>HYPERLINK("https://klasma.github.io/Logging_0760/tillsynsmail/A 28798-2025 tillsynsbegäran mail.docx", "A 28798-2025")</f>
        <v/>
      </c>
    </row>
    <row r="180" ht="15" customHeight="1">
      <c r="A180" t="inlineStr">
        <is>
          <t>A 50892-2023</t>
        </is>
      </c>
      <c r="B180" s="1" t="n">
        <v>45218</v>
      </c>
      <c r="C180" s="1" t="n">
        <v>46103</v>
      </c>
      <c r="D180" t="inlineStr">
        <is>
          <t>KRONOBERGS LÄN</t>
        </is>
      </c>
      <c r="E180" t="inlineStr">
        <is>
          <t>ÄLMHULT</t>
        </is>
      </c>
      <c r="G180" t="n">
        <v>83.40000000000001</v>
      </c>
      <c r="H180" t="n">
        <v>1</v>
      </c>
      <c r="I180" t="n">
        <v>0</v>
      </c>
      <c r="J180" t="n">
        <v>0</v>
      </c>
      <c r="K180" t="n">
        <v>0</v>
      </c>
      <c r="L180" t="n">
        <v>0</v>
      </c>
      <c r="M180" t="n">
        <v>0</v>
      </c>
      <c r="N180" t="n">
        <v>0</v>
      </c>
      <c r="O180" t="n">
        <v>0</v>
      </c>
      <c r="P180" t="n">
        <v>0</v>
      </c>
      <c r="Q180" t="n">
        <v>1</v>
      </c>
      <c r="R180" s="2" t="inlineStr">
        <is>
          <t>Mattlummer</t>
        </is>
      </c>
      <c r="S180">
        <f>HYPERLINK("https://klasma.github.io/Logging_0765/artfynd/A 50892-2023 artfynd.xlsx", "A 50892-2023")</f>
        <v/>
      </c>
      <c r="T180">
        <f>HYPERLINK("https://klasma.github.io/Logging_0765/kartor/A 50892-2023 karta.png", "A 50892-2023")</f>
        <v/>
      </c>
      <c r="V180">
        <f>HYPERLINK("https://klasma.github.io/Logging_0765/klagomål/A 50892-2023 FSC-klagomål.docx", "A 50892-2023")</f>
        <v/>
      </c>
      <c r="W180">
        <f>HYPERLINK("https://klasma.github.io/Logging_0765/klagomålsmail/A 50892-2023 FSC-klagomål mail.docx", "A 50892-2023")</f>
        <v/>
      </c>
      <c r="X180">
        <f>HYPERLINK("https://klasma.github.io/Logging_0765/tillsyn/A 50892-2023 tillsynsbegäran.docx", "A 50892-2023")</f>
        <v/>
      </c>
      <c r="Y180">
        <f>HYPERLINK("https://klasma.github.io/Logging_0765/tillsynsmail/A 50892-2023 tillsynsbegäran mail.docx", "A 50892-2023")</f>
        <v/>
      </c>
    </row>
    <row r="181" ht="15" customHeight="1">
      <c r="A181" t="inlineStr">
        <is>
          <t>A 29588-2025</t>
        </is>
      </c>
      <c r="B181" s="1" t="n">
        <v>45825</v>
      </c>
      <c r="C181" s="1" t="n">
        <v>46103</v>
      </c>
      <c r="D181" t="inlineStr">
        <is>
          <t>KRONOBERGS LÄN</t>
        </is>
      </c>
      <c r="E181" t="inlineStr">
        <is>
          <t>UPPVIDINGE</t>
        </is>
      </c>
      <c r="G181" t="n">
        <v>6.3</v>
      </c>
      <c r="H181" t="n">
        <v>0</v>
      </c>
      <c r="I181" t="n">
        <v>0</v>
      </c>
      <c r="J181" t="n">
        <v>0</v>
      </c>
      <c r="K181" t="n">
        <v>0</v>
      </c>
      <c r="L181" t="n">
        <v>0</v>
      </c>
      <c r="M181" t="n">
        <v>0</v>
      </c>
      <c r="N181" t="n">
        <v>1</v>
      </c>
      <c r="O181" t="n">
        <v>1</v>
      </c>
      <c r="P181" t="n">
        <v>0</v>
      </c>
      <c r="Q181" t="n">
        <v>1</v>
      </c>
      <c r="R181" s="2" t="inlineStr">
        <is>
          <t>Pimpinellros</t>
        </is>
      </c>
      <c r="S181">
        <f>HYPERLINK("https://klasma.github.io/Logging_0760/artfynd/A 29588-2025 artfynd.xlsx", "A 29588-2025")</f>
        <v/>
      </c>
      <c r="T181">
        <f>HYPERLINK("https://klasma.github.io/Logging_0760/kartor/A 29588-2025 karta.png", "A 29588-2025")</f>
        <v/>
      </c>
      <c r="V181">
        <f>HYPERLINK("https://klasma.github.io/Logging_0760/klagomål/A 29588-2025 FSC-klagomål.docx", "A 29588-2025")</f>
        <v/>
      </c>
      <c r="W181">
        <f>HYPERLINK("https://klasma.github.io/Logging_0760/klagomålsmail/A 29588-2025 FSC-klagomål mail.docx", "A 29588-2025")</f>
        <v/>
      </c>
      <c r="X181">
        <f>HYPERLINK("https://klasma.github.io/Logging_0760/tillsyn/A 29588-2025 tillsynsbegäran.docx", "A 29588-2025")</f>
        <v/>
      </c>
      <c r="Y181">
        <f>HYPERLINK("https://klasma.github.io/Logging_0760/tillsynsmail/A 29588-2025 tillsynsbegäran mail.docx", "A 29588-2025")</f>
        <v/>
      </c>
    </row>
    <row r="182" ht="15" customHeight="1">
      <c r="A182" t="inlineStr">
        <is>
          <t>A 30330-2025</t>
        </is>
      </c>
      <c r="B182" s="1" t="n">
        <v>45827.50682870371</v>
      </c>
      <c r="C182" s="1" t="n">
        <v>46103</v>
      </c>
      <c r="D182" t="inlineStr">
        <is>
          <t>KRONOBERGS LÄN</t>
        </is>
      </c>
      <c r="E182" t="inlineStr">
        <is>
          <t>TINGSRYD</t>
        </is>
      </c>
      <c r="F182" t="inlineStr">
        <is>
          <t>Kommuner</t>
        </is>
      </c>
      <c r="G182" t="n">
        <v>1.8</v>
      </c>
      <c r="H182" t="n">
        <v>0</v>
      </c>
      <c r="I182" t="n">
        <v>1</v>
      </c>
      <c r="J182" t="n">
        <v>0</v>
      </c>
      <c r="K182" t="n">
        <v>0</v>
      </c>
      <c r="L182" t="n">
        <v>0</v>
      </c>
      <c r="M182" t="n">
        <v>0</v>
      </c>
      <c r="N182" t="n">
        <v>0</v>
      </c>
      <c r="O182" t="n">
        <v>0</v>
      </c>
      <c r="P182" t="n">
        <v>0</v>
      </c>
      <c r="Q182" t="n">
        <v>1</v>
      </c>
      <c r="R182" s="2" t="inlineStr">
        <is>
          <t>Västlig hakmossa</t>
        </is>
      </c>
      <c r="S182">
        <f>HYPERLINK("https://klasma.github.io/Logging_0763/artfynd/A 30330-2025 artfynd.xlsx", "A 30330-2025")</f>
        <v/>
      </c>
      <c r="T182">
        <f>HYPERLINK("https://klasma.github.io/Logging_0763/kartor/A 30330-2025 karta.png", "A 30330-2025")</f>
        <v/>
      </c>
      <c r="V182">
        <f>HYPERLINK("https://klasma.github.io/Logging_0763/klagomål/A 30330-2025 FSC-klagomål.docx", "A 30330-2025")</f>
        <v/>
      </c>
      <c r="W182">
        <f>HYPERLINK("https://klasma.github.io/Logging_0763/klagomålsmail/A 30330-2025 FSC-klagomål mail.docx", "A 30330-2025")</f>
        <v/>
      </c>
      <c r="X182">
        <f>HYPERLINK("https://klasma.github.io/Logging_0763/tillsyn/A 30330-2025 tillsynsbegäran.docx", "A 30330-2025")</f>
        <v/>
      </c>
      <c r="Y182">
        <f>HYPERLINK("https://klasma.github.io/Logging_0763/tillsynsmail/A 30330-2025 tillsynsbegäran mail.docx", "A 30330-2025")</f>
        <v/>
      </c>
    </row>
    <row r="183" ht="15" customHeight="1">
      <c r="A183" t="inlineStr">
        <is>
          <t>A 41349-2024</t>
        </is>
      </c>
      <c r="B183" s="1" t="n">
        <v>45559.69049768519</v>
      </c>
      <c r="C183" s="1" t="n">
        <v>46103</v>
      </c>
      <c r="D183" t="inlineStr">
        <is>
          <t>KRONOBERGS LÄN</t>
        </is>
      </c>
      <c r="E183" t="inlineStr">
        <is>
          <t>ALVESTA</t>
        </is>
      </c>
      <c r="G183" t="n">
        <v>6.1</v>
      </c>
      <c r="H183" t="n">
        <v>1</v>
      </c>
      <c r="I183" t="n">
        <v>0</v>
      </c>
      <c r="J183" t="n">
        <v>1</v>
      </c>
      <c r="K183" t="n">
        <v>0</v>
      </c>
      <c r="L183" t="n">
        <v>0</v>
      </c>
      <c r="M183" t="n">
        <v>0</v>
      </c>
      <c r="N183" t="n">
        <v>0</v>
      </c>
      <c r="O183" t="n">
        <v>1</v>
      </c>
      <c r="P183" t="n">
        <v>0</v>
      </c>
      <c r="Q183" t="n">
        <v>1</v>
      </c>
      <c r="R183" s="2" t="inlineStr">
        <is>
          <t>Ärtsångare</t>
        </is>
      </c>
      <c r="S183">
        <f>HYPERLINK("https://klasma.github.io/Logging_0764/artfynd/A 41349-2024 artfynd.xlsx", "A 41349-2024")</f>
        <v/>
      </c>
      <c r="T183">
        <f>HYPERLINK("https://klasma.github.io/Logging_0764/kartor/A 41349-2024 karta.png", "A 41349-2024")</f>
        <v/>
      </c>
      <c r="V183">
        <f>HYPERLINK("https://klasma.github.io/Logging_0764/klagomål/A 41349-2024 FSC-klagomål.docx", "A 41349-2024")</f>
        <v/>
      </c>
      <c r="W183">
        <f>HYPERLINK("https://klasma.github.io/Logging_0764/klagomålsmail/A 41349-2024 FSC-klagomål mail.docx", "A 41349-2024")</f>
        <v/>
      </c>
      <c r="X183">
        <f>HYPERLINK("https://klasma.github.io/Logging_0764/tillsyn/A 41349-2024 tillsynsbegäran.docx", "A 41349-2024")</f>
        <v/>
      </c>
      <c r="Y183">
        <f>HYPERLINK("https://klasma.github.io/Logging_0764/tillsynsmail/A 41349-2024 tillsynsbegäran mail.docx", "A 41349-2024")</f>
        <v/>
      </c>
      <c r="Z183">
        <f>HYPERLINK("https://klasma.github.io/Logging_0764/fåglar/A 41349-2024 prioriterade fågelarter.docx", "A 41349-2024")</f>
        <v/>
      </c>
    </row>
    <row r="184" ht="15" customHeight="1">
      <c r="A184" t="inlineStr">
        <is>
          <t>A 39277-2023</t>
        </is>
      </c>
      <c r="B184" s="1" t="n">
        <v>45166</v>
      </c>
      <c r="C184" s="1" t="n">
        <v>46103</v>
      </c>
      <c r="D184" t="inlineStr">
        <is>
          <t>KRONOBERGS LÄN</t>
        </is>
      </c>
      <c r="E184" t="inlineStr">
        <is>
          <t>ALVESTA</t>
        </is>
      </c>
      <c r="G184" t="n">
        <v>0.9</v>
      </c>
      <c r="H184" t="n">
        <v>0</v>
      </c>
      <c r="I184" t="n">
        <v>1</v>
      </c>
      <c r="J184" t="n">
        <v>0</v>
      </c>
      <c r="K184" t="n">
        <v>0</v>
      </c>
      <c r="L184" t="n">
        <v>0</v>
      </c>
      <c r="M184" t="n">
        <v>0</v>
      </c>
      <c r="N184" t="n">
        <v>0</v>
      </c>
      <c r="O184" t="n">
        <v>0</v>
      </c>
      <c r="P184" t="n">
        <v>0</v>
      </c>
      <c r="Q184" t="n">
        <v>1</v>
      </c>
      <c r="R184" s="2" t="inlineStr">
        <is>
          <t>Västlig hakmossa</t>
        </is>
      </c>
      <c r="S184">
        <f>HYPERLINK("https://klasma.github.io/Logging_0764/artfynd/A 39277-2023 artfynd.xlsx", "A 39277-2023")</f>
        <v/>
      </c>
      <c r="T184">
        <f>HYPERLINK("https://klasma.github.io/Logging_0764/kartor/A 39277-2023 karta.png", "A 39277-2023")</f>
        <v/>
      </c>
      <c r="V184">
        <f>HYPERLINK("https://klasma.github.io/Logging_0764/klagomål/A 39277-2023 FSC-klagomål.docx", "A 39277-2023")</f>
        <v/>
      </c>
      <c r="W184">
        <f>HYPERLINK("https://klasma.github.io/Logging_0764/klagomålsmail/A 39277-2023 FSC-klagomål mail.docx", "A 39277-2023")</f>
        <v/>
      </c>
      <c r="X184">
        <f>HYPERLINK("https://klasma.github.io/Logging_0764/tillsyn/A 39277-2023 tillsynsbegäran.docx", "A 39277-2023")</f>
        <v/>
      </c>
      <c r="Y184">
        <f>HYPERLINK("https://klasma.github.io/Logging_0764/tillsynsmail/A 39277-2023 tillsynsbegäran mail.docx", "A 39277-2023")</f>
        <v/>
      </c>
    </row>
    <row r="185" ht="15" customHeight="1">
      <c r="A185" t="inlineStr">
        <is>
          <t>A 16141-2024</t>
        </is>
      </c>
      <c r="B185" s="1" t="n">
        <v>45406.55770833333</v>
      </c>
      <c r="C185" s="1" t="n">
        <v>46103</v>
      </c>
      <c r="D185" t="inlineStr">
        <is>
          <t>KRONOBERGS LÄN</t>
        </is>
      </c>
      <c r="E185" t="inlineStr">
        <is>
          <t>TINGSRYD</t>
        </is>
      </c>
      <c r="G185" t="n">
        <v>2.8</v>
      </c>
      <c r="H185" t="n">
        <v>1</v>
      </c>
      <c r="I185" t="n">
        <v>1</v>
      </c>
      <c r="J185" t="n">
        <v>0</v>
      </c>
      <c r="K185" t="n">
        <v>0</v>
      </c>
      <c r="L185" t="n">
        <v>0</v>
      </c>
      <c r="M185" t="n">
        <v>0</v>
      </c>
      <c r="N185" t="n">
        <v>0</v>
      </c>
      <c r="O185" t="n">
        <v>0</v>
      </c>
      <c r="P185" t="n">
        <v>0</v>
      </c>
      <c r="Q185" t="n">
        <v>1</v>
      </c>
      <c r="R185" s="2" t="inlineStr">
        <is>
          <t>Ekoxe</t>
        </is>
      </c>
      <c r="S185">
        <f>HYPERLINK("https://klasma.github.io/Logging_0763/artfynd/A 16141-2024 artfynd.xlsx", "A 16141-2024")</f>
        <v/>
      </c>
      <c r="T185">
        <f>HYPERLINK("https://klasma.github.io/Logging_0763/kartor/A 16141-2024 karta.png", "A 16141-2024")</f>
        <v/>
      </c>
      <c r="V185">
        <f>HYPERLINK("https://klasma.github.io/Logging_0763/klagomål/A 16141-2024 FSC-klagomål.docx", "A 16141-2024")</f>
        <v/>
      </c>
      <c r="W185">
        <f>HYPERLINK("https://klasma.github.io/Logging_0763/klagomålsmail/A 16141-2024 FSC-klagomål mail.docx", "A 16141-2024")</f>
        <v/>
      </c>
      <c r="X185">
        <f>HYPERLINK("https://klasma.github.io/Logging_0763/tillsyn/A 16141-2024 tillsynsbegäran.docx", "A 16141-2024")</f>
        <v/>
      </c>
      <c r="Y185">
        <f>HYPERLINK("https://klasma.github.io/Logging_0763/tillsynsmail/A 16141-2024 tillsynsbegäran mail.docx", "A 16141-2024")</f>
        <v/>
      </c>
    </row>
    <row r="186" ht="15" customHeight="1">
      <c r="A186" t="inlineStr">
        <is>
          <t>A 58629-2021</t>
        </is>
      </c>
      <c r="B186" s="1" t="n">
        <v>44489</v>
      </c>
      <c r="C186" s="1" t="n">
        <v>46103</v>
      </c>
      <c r="D186" t="inlineStr">
        <is>
          <t>KRONOBERGS LÄN</t>
        </is>
      </c>
      <c r="E186" t="inlineStr">
        <is>
          <t>TINGSRYD</t>
        </is>
      </c>
      <c r="G186" t="n">
        <v>2.3</v>
      </c>
      <c r="H186" t="n">
        <v>0</v>
      </c>
      <c r="I186" t="n">
        <v>0</v>
      </c>
      <c r="J186" t="n">
        <v>1</v>
      </c>
      <c r="K186" t="n">
        <v>0</v>
      </c>
      <c r="L186" t="n">
        <v>0</v>
      </c>
      <c r="M186" t="n">
        <v>0</v>
      </c>
      <c r="N186" t="n">
        <v>0</v>
      </c>
      <c r="O186" t="n">
        <v>1</v>
      </c>
      <c r="P186" t="n">
        <v>0</v>
      </c>
      <c r="Q186" t="n">
        <v>1</v>
      </c>
      <c r="R186" s="2" t="inlineStr">
        <is>
          <t>Kavelhirs</t>
        </is>
      </c>
      <c r="S186">
        <f>HYPERLINK("https://klasma.github.io/Logging_0763/artfynd/A 58629-2021 artfynd.xlsx", "A 58629-2021")</f>
        <v/>
      </c>
      <c r="T186">
        <f>HYPERLINK("https://klasma.github.io/Logging_0763/kartor/A 58629-2021 karta.png", "A 58629-2021")</f>
        <v/>
      </c>
      <c r="V186">
        <f>HYPERLINK("https://klasma.github.io/Logging_0763/klagomål/A 58629-2021 FSC-klagomål.docx", "A 58629-2021")</f>
        <v/>
      </c>
      <c r="W186">
        <f>HYPERLINK("https://klasma.github.io/Logging_0763/klagomålsmail/A 58629-2021 FSC-klagomål mail.docx", "A 58629-2021")</f>
        <v/>
      </c>
      <c r="X186">
        <f>HYPERLINK("https://klasma.github.io/Logging_0763/tillsyn/A 58629-2021 tillsynsbegäran.docx", "A 58629-2021")</f>
        <v/>
      </c>
      <c r="Y186">
        <f>HYPERLINK("https://klasma.github.io/Logging_0763/tillsynsmail/A 58629-2021 tillsynsbegäran mail.docx", "A 58629-2021")</f>
        <v/>
      </c>
    </row>
    <row r="187" ht="15" customHeight="1">
      <c r="A187" t="inlineStr">
        <is>
          <t>A 73118-2021</t>
        </is>
      </c>
      <c r="B187" s="1" t="n">
        <v>44550</v>
      </c>
      <c r="C187" s="1" t="n">
        <v>46103</v>
      </c>
      <c r="D187" t="inlineStr">
        <is>
          <t>KRONOBERGS LÄN</t>
        </is>
      </c>
      <c r="E187" t="inlineStr">
        <is>
          <t>UPPVIDINGE</t>
        </is>
      </c>
      <c r="G187" t="n">
        <v>1.3</v>
      </c>
      <c r="H187" t="n">
        <v>1</v>
      </c>
      <c r="I187" t="n">
        <v>0</v>
      </c>
      <c r="J187" t="n">
        <v>0</v>
      </c>
      <c r="K187" t="n">
        <v>0</v>
      </c>
      <c r="L187" t="n">
        <v>0</v>
      </c>
      <c r="M187" t="n">
        <v>0</v>
      </c>
      <c r="N187" t="n">
        <v>0</v>
      </c>
      <c r="O187" t="n">
        <v>0</v>
      </c>
      <c r="P187" t="n">
        <v>0</v>
      </c>
      <c r="Q187" t="n">
        <v>1</v>
      </c>
      <c r="R187" s="2" t="inlineStr">
        <is>
          <t>Mattlummer</t>
        </is>
      </c>
      <c r="S187">
        <f>HYPERLINK("https://klasma.github.io/Logging_0760/artfynd/A 73118-2021 artfynd.xlsx", "A 73118-2021")</f>
        <v/>
      </c>
      <c r="T187">
        <f>HYPERLINK("https://klasma.github.io/Logging_0760/kartor/A 73118-2021 karta.png", "A 73118-2021")</f>
        <v/>
      </c>
      <c r="V187">
        <f>HYPERLINK("https://klasma.github.io/Logging_0760/klagomål/A 73118-2021 FSC-klagomål.docx", "A 73118-2021")</f>
        <v/>
      </c>
      <c r="W187">
        <f>HYPERLINK("https://klasma.github.io/Logging_0760/klagomålsmail/A 73118-2021 FSC-klagomål mail.docx", "A 73118-2021")</f>
        <v/>
      </c>
      <c r="X187">
        <f>HYPERLINK("https://klasma.github.io/Logging_0760/tillsyn/A 73118-2021 tillsynsbegäran.docx", "A 73118-2021")</f>
        <v/>
      </c>
      <c r="Y187">
        <f>HYPERLINK("https://klasma.github.io/Logging_0760/tillsynsmail/A 73118-2021 tillsynsbegäran mail.docx", "A 73118-2021")</f>
        <v/>
      </c>
    </row>
    <row r="188" ht="15" customHeight="1">
      <c r="A188" t="inlineStr">
        <is>
          <t>A 27081-2024</t>
        </is>
      </c>
      <c r="B188" s="1" t="n">
        <v>45471</v>
      </c>
      <c r="C188" s="1" t="n">
        <v>46103</v>
      </c>
      <c r="D188" t="inlineStr">
        <is>
          <t>KRONOBERGS LÄN</t>
        </is>
      </c>
      <c r="E188" t="inlineStr">
        <is>
          <t>ALVESTA</t>
        </is>
      </c>
      <c r="G188" t="n">
        <v>1.9</v>
      </c>
      <c r="H188" t="n">
        <v>0</v>
      </c>
      <c r="I188" t="n">
        <v>1</v>
      </c>
      <c r="J188" t="n">
        <v>0</v>
      </c>
      <c r="K188" t="n">
        <v>0</v>
      </c>
      <c r="L188" t="n">
        <v>0</v>
      </c>
      <c r="M188" t="n">
        <v>0</v>
      </c>
      <c r="N188" t="n">
        <v>0</v>
      </c>
      <c r="O188" t="n">
        <v>0</v>
      </c>
      <c r="P188" t="n">
        <v>0</v>
      </c>
      <c r="Q188" t="n">
        <v>1</v>
      </c>
      <c r="R188" s="2" t="inlineStr">
        <is>
          <t>Blåmossa</t>
        </is>
      </c>
      <c r="S188">
        <f>HYPERLINK("https://klasma.github.io/Logging_0764/artfynd/A 27081-2024 artfynd.xlsx", "A 27081-2024")</f>
        <v/>
      </c>
      <c r="T188">
        <f>HYPERLINK("https://klasma.github.io/Logging_0764/kartor/A 27081-2024 karta.png", "A 27081-2024")</f>
        <v/>
      </c>
      <c r="V188">
        <f>HYPERLINK("https://klasma.github.io/Logging_0764/klagomål/A 27081-2024 FSC-klagomål.docx", "A 27081-2024")</f>
        <v/>
      </c>
      <c r="W188">
        <f>HYPERLINK("https://klasma.github.io/Logging_0764/klagomålsmail/A 27081-2024 FSC-klagomål mail.docx", "A 27081-2024")</f>
        <v/>
      </c>
      <c r="X188">
        <f>HYPERLINK("https://klasma.github.io/Logging_0764/tillsyn/A 27081-2024 tillsynsbegäran.docx", "A 27081-2024")</f>
        <v/>
      </c>
      <c r="Y188">
        <f>HYPERLINK("https://klasma.github.io/Logging_0764/tillsynsmail/A 27081-2024 tillsynsbegäran mail.docx", "A 27081-2024")</f>
        <v/>
      </c>
    </row>
    <row r="189" ht="15" customHeight="1">
      <c r="A189" t="inlineStr">
        <is>
          <t>A 33730-2025</t>
        </is>
      </c>
      <c r="B189" s="1" t="n">
        <v>45842.29693287037</v>
      </c>
      <c r="C189" s="1" t="n">
        <v>46103</v>
      </c>
      <c r="D189" t="inlineStr">
        <is>
          <t>KRONOBERGS LÄN</t>
        </is>
      </c>
      <c r="E189" t="inlineStr">
        <is>
          <t>TINGSRYD</t>
        </is>
      </c>
      <c r="G189" t="n">
        <v>1.7</v>
      </c>
      <c r="H189" t="n">
        <v>0</v>
      </c>
      <c r="I189" t="n">
        <v>0</v>
      </c>
      <c r="J189" t="n">
        <v>1</v>
      </c>
      <c r="K189" t="n">
        <v>0</v>
      </c>
      <c r="L189" t="n">
        <v>0</v>
      </c>
      <c r="M189" t="n">
        <v>0</v>
      </c>
      <c r="N189" t="n">
        <v>0</v>
      </c>
      <c r="O189" t="n">
        <v>1</v>
      </c>
      <c r="P189" t="n">
        <v>0</v>
      </c>
      <c r="Q189" t="n">
        <v>1</v>
      </c>
      <c r="R189" s="2" t="inlineStr">
        <is>
          <t>Backmåra</t>
        </is>
      </c>
      <c r="S189">
        <f>HYPERLINK("https://klasma.github.io/Logging_0763/artfynd/A 33730-2025 artfynd.xlsx", "A 33730-2025")</f>
        <v/>
      </c>
      <c r="T189">
        <f>HYPERLINK("https://klasma.github.io/Logging_0763/kartor/A 33730-2025 karta.png", "A 33730-2025")</f>
        <v/>
      </c>
      <c r="V189">
        <f>HYPERLINK("https://klasma.github.io/Logging_0763/klagomål/A 33730-2025 FSC-klagomål.docx", "A 33730-2025")</f>
        <v/>
      </c>
      <c r="W189">
        <f>HYPERLINK("https://klasma.github.io/Logging_0763/klagomålsmail/A 33730-2025 FSC-klagomål mail.docx", "A 33730-2025")</f>
        <v/>
      </c>
      <c r="X189">
        <f>HYPERLINK("https://klasma.github.io/Logging_0763/tillsyn/A 33730-2025 tillsynsbegäran.docx", "A 33730-2025")</f>
        <v/>
      </c>
      <c r="Y189">
        <f>HYPERLINK("https://klasma.github.io/Logging_0763/tillsynsmail/A 33730-2025 tillsynsbegäran mail.docx", "A 33730-2025")</f>
        <v/>
      </c>
    </row>
    <row r="190" ht="15" customHeight="1">
      <c r="A190" t="inlineStr">
        <is>
          <t>A 38036-2024</t>
        </is>
      </c>
      <c r="B190" s="1" t="n">
        <v>45544</v>
      </c>
      <c r="C190" s="1" t="n">
        <v>46103</v>
      </c>
      <c r="D190" t="inlineStr">
        <is>
          <t>KRONOBERGS LÄN</t>
        </is>
      </c>
      <c r="E190" t="inlineStr">
        <is>
          <t>VÄXJÖ</t>
        </is>
      </c>
      <c r="F190" t="inlineStr">
        <is>
          <t>Övriga Aktiebolag</t>
        </is>
      </c>
      <c r="G190" t="n">
        <v>2.2</v>
      </c>
      <c r="H190" t="n">
        <v>1</v>
      </c>
      <c r="I190" t="n">
        <v>0</v>
      </c>
      <c r="J190" t="n">
        <v>0</v>
      </c>
      <c r="K190" t="n">
        <v>0</v>
      </c>
      <c r="L190" t="n">
        <v>0</v>
      </c>
      <c r="M190" t="n">
        <v>0</v>
      </c>
      <c r="N190" t="n">
        <v>0</v>
      </c>
      <c r="O190" t="n">
        <v>0</v>
      </c>
      <c r="P190" t="n">
        <v>0</v>
      </c>
      <c r="Q190" t="n">
        <v>1</v>
      </c>
      <c r="R190" s="2" t="inlineStr">
        <is>
          <t>Nattviol</t>
        </is>
      </c>
      <c r="S190">
        <f>HYPERLINK("https://klasma.github.io/Logging_0780/artfynd/A 38036-2024 artfynd.xlsx", "A 38036-2024")</f>
        <v/>
      </c>
      <c r="T190">
        <f>HYPERLINK("https://klasma.github.io/Logging_0780/kartor/A 38036-2024 karta.png", "A 38036-2024")</f>
        <v/>
      </c>
      <c r="V190">
        <f>HYPERLINK("https://klasma.github.io/Logging_0780/klagomål/A 38036-2024 FSC-klagomål.docx", "A 38036-2024")</f>
        <v/>
      </c>
      <c r="W190">
        <f>HYPERLINK("https://klasma.github.io/Logging_0780/klagomålsmail/A 38036-2024 FSC-klagomål mail.docx", "A 38036-2024")</f>
        <v/>
      </c>
      <c r="X190">
        <f>HYPERLINK("https://klasma.github.io/Logging_0780/tillsyn/A 38036-2024 tillsynsbegäran.docx", "A 38036-2024")</f>
        <v/>
      </c>
      <c r="Y190">
        <f>HYPERLINK("https://klasma.github.io/Logging_0780/tillsynsmail/A 38036-2024 tillsynsbegäran mail.docx", "A 38036-2024")</f>
        <v/>
      </c>
    </row>
    <row r="191" ht="15" customHeight="1">
      <c r="A191" t="inlineStr">
        <is>
          <t>A 43196-2023</t>
        </is>
      </c>
      <c r="B191" s="1" t="n">
        <v>45183</v>
      </c>
      <c r="C191" s="1" t="n">
        <v>46103</v>
      </c>
      <c r="D191" t="inlineStr">
        <is>
          <t>KRONOBERGS LÄN</t>
        </is>
      </c>
      <c r="E191" t="inlineStr">
        <is>
          <t>ÄLMHULT</t>
        </is>
      </c>
      <c r="G191" t="n">
        <v>2</v>
      </c>
      <c r="H191" t="n">
        <v>0</v>
      </c>
      <c r="I191" t="n">
        <v>0</v>
      </c>
      <c r="J191" t="n">
        <v>1</v>
      </c>
      <c r="K191" t="n">
        <v>0</v>
      </c>
      <c r="L191" t="n">
        <v>0</v>
      </c>
      <c r="M191" t="n">
        <v>0</v>
      </c>
      <c r="N191" t="n">
        <v>0</v>
      </c>
      <c r="O191" t="n">
        <v>1</v>
      </c>
      <c r="P191" t="n">
        <v>0</v>
      </c>
      <c r="Q191" t="n">
        <v>1</v>
      </c>
      <c r="R191" s="2" t="inlineStr">
        <is>
          <t>Vedtrappmossa</t>
        </is>
      </c>
      <c r="S191">
        <f>HYPERLINK("https://klasma.github.io/Logging_0765/artfynd/A 43196-2023 artfynd.xlsx", "A 43196-2023")</f>
        <v/>
      </c>
      <c r="T191">
        <f>HYPERLINK("https://klasma.github.io/Logging_0765/kartor/A 43196-2023 karta.png", "A 43196-2023")</f>
        <v/>
      </c>
      <c r="V191">
        <f>HYPERLINK("https://klasma.github.io/Logging_0765/klagomål/A 43196-2023 FSC-klagomål.docx", "A 43196-2023")</f>
        <v/>
      </c>
      <c r="W191">
        <f>HYPERLINK("https://klasma.github.io/Logging_0765/klagomålsmail/A 43196-2023 FSC-klagomål mail.docx", "A 43196-2023")</f>
        <v/>
      </c>
      <c r="X191">
        <f>HYPERLINK("https://klasma.github.io/Logging_0765/tillsyn/A 43196-2023 tillsynsbegäran.docx", "A 43196-2023")</f>
        <v/>
      </c>
      <c r="Y191">
        <f>HYPERLINK("https://klasma.github.io/Logging_0765/tillsynsmail/A 43196-2023 tillsynsbegäran mail.docx", "A 43196-2023")</f>
        <v/>
      </c>
    </row>
    <row r="192" ht="15" customHeight="1">
      <c r="A192" t="inlineStr">
        <is>
          <t>A 34928-2025</t>
        </is>
      </c>
      <c r="B192" s="1" t="n">
        <v>45849.56431712963</v>
      </c>
      <c r="C192" s="1" t="n">
        <v>46103</v>
      </c>
      <c r="D192" t="inlineStr">
        <is>
          <t>KRONOBERGS LÄN</t>
        </is>
      </c>
      <c r="E192" t="inlineStr">
        <is>
          <t>TINGSRYD</t>
        </is>
      </c>
      <c r="G192" t="n">
        <v>8.5</v>
      </c>
      <c r="H192" t="n">
        <v>0</v>
      </c>
      <c r="I192" t="n">
        <v>1</v>
      </c>
      <c r="J192" t="n">
        <v>0</v>
      </c>
      <c r="K192" t="n">
        <v>0</v>
      </c>
      <c r="L192" t="n">
        <v>0</v>
      </c>
      <c r="M192" t="n">
        <v>0</v>
      </c>
      <c r="N192" t="n">
        <v>0</v>
      </c>
      <c r="O192" t="n">
        <v>0</v>
      </c>
      <c r="P192" t="n">
        <v>0</v>
      </c>
      <c r="Q192" t="n">
        <v>1</v>
      </c>
      <c r="R192" s="2" t="inlineStr">
        <is>
          <t>Västlig hakmossa</t>
        </is>
      </c>
      <c r="S192">
        <f>HYPERLINK("https://klasma.github.io/Logging_0763/artfynd/A 34928-2025 artfynd.xlsx", "A 34928-2025")</f>
        <v/>
      </c>
      <c r="T192">
        <f>HYPERLINK("https://klasma.github.io/Logging_0763/kartor/A 34928-2025 karta.png", "A 34928-2025")</f>
        <v/>
      </c>
      <c r="V192">
        <f>HYPERLINK("https://klasma.github.io/Logging_0763/klagomål/A 34928-2025 FSC-klagomål.docx", "A 34928-2025")</f>
        <v/>
      </c>
      <c r="W192">
        <f>HYPERLINK("https://klasma.github.io/Logging_0763/klagomålsmail/A 34928-2025 FSC-klagomål mail.docx", "A 34928-2025")</f>
        <v/>
      </c>
      <c r="X192">
        <f>HYPERLINK("https://klasma.github.io/Logging_0763/tillsyn/A 34928-2025 tillsynsbegäran.docx", "A 34928-2025")</f>
        <v/>
      </c>
      <c r="Y192">
        <f>HYPERLINK("https://klasma.github.io/Logging_0763/tillsynsmail/A 34928-2025 tillsynsbegäran mail.docx", "A 34928-2025")</f>
        <v/>
      </c>
    </row>
    <row r="193" ht="15" customHeight="1">
      <c r="A193" t="inlineStr">
        <is>
          <t>A 18747-2025</t>
        </is>
      </c>
      <c r="B193" s="1" t="n">
        <v>45763.78657407407</v>
      </c>
      <c r="C193" s="1" t="n">
        <v>46103</v>
      </c>
      <c r="D193" t="inlineStr">
        <is>
          <t>KRONOBERGS LÄN</t>
        </is>
      </c>
      <c r="E193" t="inlineStr">
        <is>
          <t>ÄLMHULT</t>
        </is>
      </c>
      <c r="G193" t="n">
        <v>1.4</v>
      </c>
      <c r="H193" t="n">
        <v>0</v>
      </c>
      <c r="I193" t="n">
        <v>0</v>
      </c>
      <c r="J193" t="n">
        <v>1</v>
      </c>
      <c r="K193" t="n">
        <v>0</v>
      </c>
      <c r="L193" t="n">
        <v>0</v>
      </c>
      <c r="M193" t="n">
        <v>0</v>
      </c>
      <c r="N193" t="n">
        <v>0</v>
      </c>
      <c r="O193" t="n">
        <v>1</v>
      </c>
      <c r="P193" t="n">
        <v>0</v>
      </c>
      <c r="Q193" t="n">
        <v>1</v>
      </c>
      <c r="R193" s="2" t="inlineStr">
        <is>
          <t>Borsttåg</t>
        </is>
      </c>
      <c r="S193">
        <f>HYPERLINK("https://klasma.github.io/Logging_0765/artfynd/A 18747-2025 artfynd.xlsx", "A 18747-2025")</f>
        <v/>
      </c>
      <c r="T193">
        <f>HYPERLINK("https://klasma.github.io/Logging_0765/kartor/A 18747-2025 karta.png", "A 18747-2025")</f>
        <v/>
      </c>
      <c r="V193">
        <f>HYPERLINK("https://klasma.github.io/Logging_0765/klagomål/A 18747-2025 FSC-klagomål.docx", "A 18747-2025")</f>
        <v/>
      </c>
      <c r="W193">
        <f>HYPERLINK("https://klasma.github.io/Logging_0765/klagomålsmail/A 18747-2025 FSC-klagomål mail.docx", "A 18747-2025")</f>
        <v/>
      </c>
      <c r="X193">
        <f>HYPERLINK("https://klasma.github.io/Logging_0765/tillsyn/A 18747-2025 tillsynsbegäran.docx", "A 18747-2025")</f>
        <v/>
      </c>
      <c r="Y193">
        <f>HYPERLINK("https://klasma.github.io/Logging_0765/tillsynsmail/A 18747-2025 tillsynsbegäran mail.docx", "A 18747-2025")</f>
        <v/>
      </c>
    </row>
    <row r="194" ht="15" customHeight="1">
      <c r="A194" t="inlineStr">
        <is>
          <t>A 40266-2024</t>
        </is>
      </c>
      <c r="B194" s="1" t="n">
        <v>45554.63932870371</v>
      </c>
      <c r="C194" s="1" t="n">
        <v>46103</v>
      </c>
      <c r="D194" t="inlineStr">
        <is>
          <t>KRONOBERGS LÄN</t>
        </is>
      </c>
      <c r="E194" t="inlineStr">
        <is>
          <t>VÄXJÖ</t>
        </is>
      </c>
      <c r="G194" t="n">
        <v>0.5</v>
      </c>
      <c r="H194" t="n">
        <v>0</v>
      </c>
      <c r="I194" t="n">
        <v>0</v>
      </c>
      <c r="J194" t="n">
        <v>1</v>
      </c>
      <c r="K194" t="n">
        <v>0</v>
      </c>
      <c r="L194" t="n">
        <v>0</v>
      </c>
      <c r="M194" t="n">
        <v>0</v>
      </c>
      <c r="N194" t="n">
        <v>0</v>
      </c>
      <c r="O194" t="n">
        <v>1</v>
      </c>
      <c r="P194" t="n">
        <v>0</v>
      </c>
      <c r="Q194" t="n">
        <v>1</v>
      </c>
      <c r="R194" s="2" t="inlineStr">
        <is>
          <t>Mindre bastardsvärmare</t>
        </is>
      </c>
      <c r="S194">
        <f>HYPERLINK("https://klasma.github.io/Logging_0780/artfynd/A 40266-2024 artfynd.xlsx", "A 40266-2024")</f>
        <v/>
      </c>
      <c r="T194">
        <f>HYPERLINK("https://klasma.github.io/Logging_0780/kartor/A 40266-2024 karta.png", "A 40266-2024")</f>
        <v/>
      </c>
      <c r="V194">
        <f>HYPERLINK("https://klasma.github.io/Logging_0780/klagomål/A 40266-2024 FSC-klagomål.docx", "A 40266-2024")</f>
        <v/>
      </c>
      <c r="W194">
        <f>HYPERLINK("https://klasma.github.io/Logging_0780/klagomålsmail/A 40266-2024 FSC-klagomål mail.docx", "A 40266-2024")</f>
        <v/>
      </c>
      <c r="X194">
        <f>HYPERLINK("https://klasma.github.io/Logging_0780/tillsyn/A 40266-2024 tillsynsbegäran.docx", "A 40266-2024")</f>
        <v/>
      </c>
      <c r="Y194">
        <f>HYPERLINK("https://klasma.github.io/Logging_0780/tillsynsmail/A 40266-2024 tillsynsbegäran mail.docx", "A 40266-2024")</f>
        <v/>
      </c>
    </row>
    <row r="195" ht="15" customHeight="1">
      <c r="A195" t="inlineStr">
        <is>
          <t>A 13387-2022</t>
        </is>
      </c>
      <c r="B195" s="1" t="n">
        <v>44645</v>
      </c>
      <c r="C195" s="1" t="n">
        <v>46103</v>
      </c>
      <c r="D195" t="inlineStr">
        <is>
          <t>KRONOBERGS LÄN</t>
        </is>
      </c>
      <c r="E195" t="inlineStr">
        <is>
          <t>LJUNGBY</t>
        </is>
      </c>
      <c r="G195" t="n">
        <v>1.4</v>
      </c>
      <c r="H195" t="n">
        <v>0</v>
      </c>
      <c r="I195" t="n">
        <v>0</v>
      </c>
      <c r="J195" t="n">
        <v>1</v>
      </c>
      <c r="K195" t="n">
        <v>0</v>
      </c>
      <c r="L195" t="n">
        <v>0</v>
      </c>
      <c r="M195" t="n">
        <v>0</v>
      </c>
      <c r="N195" t="n">
        <v>0</v>
      </c>
      <c r="O195" t="n">
        <v>1</v>
      </c>
      <c r="P195" t="n">
        <v>0</v>
      </c>
      <c r="Q195" t="n">
        <v>1</v>
      </c>
      <c r="R195" s="2" t="inlineStr">
        <is>
          <t>Borsttåg</t>
        </is>
      </c>
      <c r="S195">
        <f>HYPERLINK("https://klasma.github.io/Logging_0781/artfynd/A 13387-2022 artfynd.xlsx", "A 13387-2022")</f>
        <v/>
      </c>
      <c r="T195">
        <f>HYPERLINK("https://klasma.github.io/Logging_0781/kartor/A 13387-2022 karta.png", "A 13387-2022")</f>
        <v/>
      </c>
      <c r="V195">
        <f>HYPERLINK("https://klasma.github.io/Logging_0781/klagomål/A 13387-2022 FSC-klagomål.docx", "A 13387-2022")</f>
        <v/>
      </c>
      <c r="W195">
        <f>HYPERLINK("https://klasma.github.io/Logging_0781/klagomålsmail/A 13387-2022 FSC-klagomål mail.docx", "A 13387-2022")</f>
        <v/>
      </c>
      <c r="X195">
        <f>HYPERLINK("https://klasma.github.io/Logging_0781/tillsyn/A 13387-2022 tillsynsbegäran.docx", "A 13387-2022")</f>
        <v/>
      </c>
      <c r="Y195">
        <f>HYPERLINK("https://klasma.github.io/Logging_0781/tillsynsmail/A 13387-2022 tillsynsbegäran mail.docx", "A 13387-2022")</f>
        <v/>
      </c>
    </row>
    <row r="196" ht="15" customHeight="1">
      <c r="A196" t="inlineStr">
        <is>
          <t>A 43004-2023</t>
        </is>
      </c>
      <c r="B196" s="1" t="n">
        <v>45182</v>
      </c>
      <c r="C196" s="1" t="n">
        <v>46103</v>
      </c>
      <c r="D196" t="inlineStr">
        <is>
          <t>KRONOBERGS LÄN</t>
        </is>
      </c>
      <c r="E196" t="inlineStr">
        <is>
          <t>TINGSRYD</t>
        </is>
      </c>
      <c r="G196" t="n">
        <v>3.7</v>
      </c>
      <c r="H196" t="n">
        <v>1</v>
      </c>
      <c r="I196" t="n">
        <v>0</v>
      </c>
      <c r="J196" t="n">
        <v>0</v>
      </c>
      <c r="K196" t="n">
        <v>0</v>
      </c>
      <c r="L196" t="n">
        <v>0</v>
      </c>
      <c r="M196" t="n">
        <v>0</v>
      </c>
      <c r="N196" t="n">
        <v>0</v>
      </c>
      <c r="O196" t="n">
        <v>0</v>
      </c>
      <c r="P196" t="n">
        <v>0</v>
      </c>
      <c r="Q196" t="n">
        <v>1</v>
      </c>
      <c r="R196" s="2" t="inlineStr">
        <is>
          <t>Hasselmus</t>
        </is>
      </c>
      <c r="S196">
        <f>HYPERLINK("https://klasma.github.io/Logging_0763/artfynd/A 43004-2023 artfynd.xlsx", "A 43004-2023")</f>
        <v/>
      </c>
      <c r="T196">
        <f>HYPERLINK("https://klasma.github.io/Logging_0763/kartor/A 43004-2023 karta.png", "A 43004-2023")</f>
        <v/>
      </c>
      <c r="V196">
        <f>HYPERLINK("https://klasma.github.io/Logging_0763/klagomål/A 43004-2023 FSC-klagomål.docx", "A 43004-2023")</f>
        <v/>
      </c>
      <c r="W196">
        <f>HYPERLINK("https://klasma.github.io/Logging_0763/klagomålsmail/A 43004-2023 FSC-klagomål mail.docx", "A 43004-2023")</f>
        <v/>
      </c>
      <c r="X196">
        <f>HYPERLINK("https://klasma.github.io/Logging_0763/tillsyn/A 43004-2023 tillsynsbegäran.docx", "A 43004-2023")</f>
        <v/>
      </c>
      <c r="Y196">
        <f>HYPERLINK("https://klasma.github.io/Logging_0763/tillsynsmail/A 43004-2023 tillsynsbegäran mail.docx", "A 43004-2023")</f>
        <v/>
      </c>
    </row>
    <row r="197" ht="15" customHeight="1">
      <c r="A197" t="inlineStr">
        <is>
          <t>A 29201-2025</t>
        </is>
      </c>
      <c r="B197" s="1" t="n">
        <v>45823.36462962963</v>
      </c>
      <c r="C197" s="1" t="n">
        <v>46103</v>
      </c>
      <c r="D197" t="inlineStr">
        <is>
          <t>KRONOBERGS LÄN</t>
        </is>
      </c>
      <c r="E197" t="inlineStr">
        <is>
          <t>MARKARYD</t>
        </is>
      </c>
      <c r="G197" t="n">
        <v>1.7</v>
      </c>
      <c r="H197" t="n">
        <v>1</v>
      </c>
      <c r="I197" t="n">
        <v>0</v>
      </c>
      <c r="J197" t="n">
        <v>0</v>
      </c>
      <c r="K197" t="n">
        <v>0</v>
      </c>
      <c r="L197" t="n">
        <v>0</v>
      </c>
      <c r="M197" t="n">
        <v>0</v>
      </c>
      <c r="N197" t="n">
        <v>0</v>
      </c>
      <c r="O197" t="n">
        <v>0</v>
      </c>
      <c r="P197" t="n">
        <v>0</v>
      </c>
      <c r="Q197" t="n">
        <v>1</v>
      </c>
      <c r="R197" s="2" t="inlineStr">
        <is>
          <t>Fläcknycklar</t>
        </is>
      </c>
      <c r="S197">
        <f>HYPERLINK("https://klasma.github.io/Logging_0767/artfynd/A 29201-2025 artfynd.xlsx", "A 29201-2025")</f>
        <v/>
      </c>
      <c r="T197">
        <f>HYPERLINK("https://klasma.github.io/Logging_0767/kartor/A 29201-2025 karta.png", "A 29201-2025")</f>
        <v/>
      </c>
      <c r="V197">
        <f>HYPERLINK("https://klasma.github.io/Logging_0767/klagomål/A 29201-2025 FSC-klagomål.docx", "A 29201-2025")</f>
        <v/>
      </c>
      <c r="W197">
        <f>HYPERLINK("https://klasma.github.io/Logging_0767/klagomålsmail/A 29201-2025 FSC-klagomål mail.docx", "A 29201-2025")</f>
        <v/>
      </c>
      <c r="X197">
        <f>HYPERLINK("https://klasma.github.io/Logging_0767/tillsyn/A 29201-2025 tillsynsbegäran.docx", "A 29201-2025")</f>
        <v/>
      </c>
      <c r="Y197">
        <f>HYPERLINK("https://klasma.github.io/Logging_0767/tillsynsmail/A 29201-2025 tillsynsbegäran mail.docx", "A 29201-2025")</f>
        <v/>
      </c>
    </row>
    <row r="198" ht="15" customHeight="1">
      <c r="A198" t="inlineStr">
        <is>
          <t>A 63304-2023</t>
        </is>
      </c>
      <c r="B198" s="1" t="n">
        <v>45274.32131944445</v>
      </c>
      <c r="C198" s="1" t="n">
        <v>46103</v>
      </c>
      <c r="D198" t="inlineStr">
        <is>
          <t>KRONOBERGS LÄN</t>
        </is>
      </c>
      <c r="E198" t="inlineStr">
        <is>
          <t>LJUNGBY</t>
        </is>
      </c>
      <c r="G198" t="n">
        <v>0.7</v>
      </c>
      <c r="H198" t="n">
        <v>0</v>
      </c>
      <c r="I198" t="n">
        <v>0</v>
      </c>
      <c r="J198" t="n">
        <v>1</v>
      </c>
      <c r="K198" t="n">
        <v>0</v>
      </c>
      <c r="L198" t="n">
        <v>0</v>
      </c>
      <c r="M198" t="n">
        <v>0</v>
      </c>
      <c r="N198" t="n">
        <v>0</v>
      </c>
      <c r="O198" t="n">
        <v>1</v>
      </c>
      <c r="P198" t="n">
        <v>0</v>
      </c>
      <c r="Q198" t="n">
        <v>1</v>
      </c>
      <c r="R198" s="2" t="inlineStr">
        <is>
          <t>Borsttåg</t>
        </is>
      </c>
      <c r="S198">
        <f>HYPERLINK("https://klasma.github.io/Logging_0781/artfynd/A 63304-2023 artfynd.xlsx", "A 63304-2023")</f>
        <v/>
      </c>
      <c r="T198">
        <f>HYPERLINK("https://klasma.github.io/Logging_0781/kartor/A 63304-2023 karta.png", "A 63304-2023")</f>
        <v/>
      </c>
      <c r="V198">
        <f>HYPERLINK("https://klasma.github.io/Logging_0781/klagomål/A 63304-2023 FSC-klagomål.docx", "A 63304-2023")</f>
        <v/>
      </c>
      <c r="W198">
        <f>HYPERLINK("https://klasma.github.io/Logging_0781/klagomålsmail/A 63304-2023 FSC-klagomål mail.docx", "A 63304-2023")</f>
        <v/>
      </c>
      <c r="X198">
        <f>HYPERLINK("https://klasma.github.io/Logging_0781/tillsyn/A 63304-2023 tillsynsbegäran.docx", "A 63304-2023")</f>
        <v/>
      </c>
      <c r="Y198">
        <f>HYPERLINK("https://klasma.github.io/Logging_0781/tillsynsmail/A 63304-2023 tillsynsbegäran mail.docx", "A 63304-2023")</f>
        <v/>
      </c>
    </row>
    <row r="199" ht="15" customHeight="1">
      <c r="A199" t="inlineStr">
        <is>
          <t>A 51284-2021</t>
        </is>
      </c>
      <c r="B199" s="1" t="n">
        <v>44461</v>
      </c>
      <c r="C199" s="1" t="n">
        <v>46103</v>
      </c>
      <c r="D199" t="inlineStr">
        <is>
          <t>KRONOBERGS LÄN</t>
        </is>
      </c>
      <c r="E199" t="inlineStr">
        <is>
          <t>LJUNGBY</t>
        </is>
      </c>
      <c r="G199" t="n">
        <v>1.1</v>
      </c>
      <c r="H199" t="n">
        <v>1</v>
      </c>
      <c r="I199" t="n">
        <v>0</v>
      </c>
      <c r="J199" t="n">
        <v>1</v>
      </c>
      <c r="K199" t="n">
        <v>0</v>
      </c>
      <c r="L199" t="n">
        <v>0</v>
      </c>
      <c r="M199" t="n">
        <v>0</v>
      </c>
      <c r="N199" t="n">
        <v>0</v>
      </c>
      <c r="O199" t="n">
        <v>1</v>
      </c>
      <c r="P199" t="n">
        <v>0</v>
      </c>
      <c r="Q199" t="n">
        <v>1</v>
      </c>
      <c r="R199" s="2" t="inlineStr">
        <is>
          <t>Spillkråka</t>
        </is>
      </c>
      <c r="S199">
        <f>HYPERLINK("https://klasma.github.io/Logging_0781/artfynd/A 51284-2021 artfynd.xlsx", "A 51284-2021")</f>
        <v/>
      </c>
      <c r="T199">
        <f>HYPERLINK("https://klasma.github.io/Logging_0781/kartor/A 51284-2021 karta.png", "A 51284-2021")</f>
        <v/>
      </c>
      <c r="V199">
        <f>HYPERLINK("https://klasma.github.io/Logging_0781/klagomål/A 51284-2021 FSC-klagomål.docx", "A 51284-2021")</f>
        <v/>
      </c>
      <c r="W199">
        <f>HYPERLINK("https://klasma.github.io/Logging_0781/klagomålsmail/A 51284-2021 FSC-klagomål mail.docx", "A 51284-2021")</f>
        <v/>
      </c>
      <c r="X199">
        <f>HYPERLINK("https://klasma.github.io/Logging_0781/tillsyn/A 51284-2021 tillsynsbegäran.docx", "A 51284-2021")</f>
        <v/>
      </c>
      <c r="Y199">
        <f>HYPERLINK("https://klasma.github.io/Logging_0781/tillsynsmail/A 51284-2021 tillsynsbegäran mail.docx", "A 51284-2021")</f>
        <v/>
      </c>
      <c r="Z199">
        <f>HYPERLINK("https://klasma.github.io/Logging_0781/fåglar/A 51284-2021 prioriterade fågelarter.docx", "A 51284-2021")</f>
        <v/>
      </c>
    </row>
    <row r="200" ht="15" customHeight="1">
      <c r="A200" t="inlineStr">
        <is>
          <t>A 4451-2025</t>
        </is>
      </c>
      <c r="B200" s="1" t="n">
        <v>45686.57611111111</v>
      </c>
      <c r="C200" s="1" t="n">
        <v>46103</v>
      </c>
      <c r="D200" t="inlineStr">
        <is>
          <t>KRONOBERGS LÄN</t>
        </is>
      </c>
      <c r="E200" t="inlineStr">
        <is>
          <t>LJUNGBY</t>
        </is>
      </c>
      <c r="G200" t="n">
        <v>2.5</v>
      </c>
      <c r="H200" t="n">
        <v>1</v>
      </c>
      <c r="I200" t="n">
        <v>0</v>
      </c>
      <c r="J200" t="n">
        <v>1</v>
      </c>
      <c r="K200" t="n">
        <v>0</v>
      </c>
      <c r="L200" t="n">
        <v>0</v>
      </c>
      <c r="M200" t="n">
        <v>0</v>
      </c>
      <c r="N200" t="n">
        <v>0</v>
      </c>
      <c r="O200" t="n">
        <v>1</v>
      </c>
      <c r="P200" t="n">
        <v>0</v>
      </c>
      <c r="Q200" t="n">
        <v>1</v>
      </c>
      <c r="R200" s="2" t="inlineStr">
        <is>
          <t>Duvhök</t>
        </is>
      </c>
      <c r="S200">
        <f>HYPERLINK("https://klasma.github.io/Logging_0781/artfynd/A 4451-2025 artfynd.xlsx", "A 4451-2025")</f>
        <v/>
      </c>
      <c r="T200">
        <f>HYPERLINK("https://klasma.github.io/Logging_0781/kartor/A 4451-2025 karta.png", "A 4451-2025")</f>
        <v/>
      </c>
      <c r="V200">
        <f>HYPERLINK("https://klasma.github.io/Logging_0781/klagomål/A 4451-2025 FSC-klagomål.docx", "A 4451-2025")</f>
        <v/>
      </c>
      <c r="W200">
        <f>HYPERLINK("https://klasma.github.io/Logging_0781/klagomålsmail/A 4451-2025 FSC-klagomål mail.docx", "A 4451-2025")</f>
        <v/>
      </c>
      <c r="X200">
        <f>HYPERLINK("https://klasma.github.io/Logging_0781/tillsyn/A 4451-2025 tillsynsbegäran.docx", "A 4451-2025")</f>
        <v/>
      </c>
      <c r="Y200">
        <f>HYPERLINK("https://klasma.github.io/Logging_0781/tillsynsmail/A 4451-2025 tillsynsbegäran mail.docx", "A 4451-2025")</f>
        <v/>
      </c>
      <c r="Z200">
        <f>HYPERLINK("https://klasma.github.io/Logging_0781/fåglar/A 4451-2025 prioriterade fågelarter.docx", "A 4451-2025")</f>
        <v/>
      </c>
    </row>
    <row r="201" ht="15" customHeight="1">
      <c r="A201" t="inlineStr">
        <is>
          <t>A 430-2025</t>
        </is>
      </c>
      <c r="B201" s="1" t="n">
        <v>45664</v>
      </c>
      <c r="C201" s="1" t="n">
        <v>46103</v>
      </c>
      <c r="D201" t="inlineStr">
        <is>
          <t>KRONOBERGS LÄN</t>
        </is>
      </c>
      <c r="E201" t="inlineStr">
        <is>
          <t>ALVESTA</t>
        </is>
      </c>
      <c r="G201" t="n">
        <v>1.4</v>
      </c>
      <c r="H201" t="n">
        <v>1</v>
      </c>
      <c r="I201" t="n">
        <v>0</v>
      </c>
      <c r="J201" t="n">
        <v>1</v>
      </c>
      <c r="K201" t="n">
        <v>0</v>
      </c>
      <c r="L201" t="n">
        <v>0</v>
      </c>
      <c r="M201" t="n">
        <v>0</v>
      </c>
      <c r="N201" t="n">
        <v>0</v>
      </c>
      <c r="O201" t="n">
        <v>1</v>
      </c>
      <c r="P201" t="n">
        <v>0</v>
      </c>
      <c r="Q201" t="n">
        <v>1</v>
      </c>
      <c r="R201" s="2" t="inlineStr">
        <is>
          <t>Grönsångare</t>
        </is>
      </c>
      <c r="S201">
        <f>HYPERLINK("https://klasma.github.io/Logging_0764/artfynd/A 430-2025 artfynd.xlsx", "A 430-2025")</f>
        <v/>
      </c>
      <c r="T201">
        <f>HYPERLINK("https://klasma.github.io/Logging_0764/kartor/A 430-2025 karta.png", "A 430-2025")</f>
        <v/>
      </c>
      <c r="V201">
        <f>HYPERLINK("https://klasma.github.io/Logging_0764/klagomål/A 430-2025 FSC-klagomål.docx", "A 430-2025")</f>
        <v/>
      </c>
      <c r="W201">
        <f>HYPERLINK("https://klasma.github.io/Logging_0764/klagomålsmail/A 430-2025 FSC-klagomål mail.docx", "A 430-2025")</f>
        <v/>
      </c>
      <c r="X201">
        <f>HYPERLINK("https://klasma.github.io/Logging_0764/tillsyn/A 430-2025 tillsynsbegäran.docx", "A 430-2025")</f>
        <v/>
      </c>
      <c r="Y201">
        <f>HYPERLINK("https://klasma.github.io/Logging_0764/tillsynsmail/A 430-2025 tillsynsbegäran mail.docx", "A 430-2025")</f>
        <v/>
      </c>
      <c r="Z201">
        <f>HYPERLINK("https://klasma.github.io/Logging_0764/fåglar/A 430-2025 prioriterade fågelarter.docx", "A 430-2025")</f>
        <v/>
      </c>
    </row>
    <row r="202" ht="15" customHeight="1">
      <c r="A202" t="inlineStr">
        <is>
          <t>A 13604-2025</t>
        </is>
      </c>
      <c r="B202" s="1" t="n">
        <v>45736</v>
      </c>
      <c r="C202" s="1" t="n">
        <v>46103</v>
      </c>
      <c r="D202" t="inlineStr">
        <is>
          <t>KRONOBERGS LÄN</t>
        </is>
      </c>
      <c r="E202" t="inlineStr">
        <is>
          <t>TINGSRYD</t>
        </is>
      </c>
      <c r="G202" t="n">
        <v>2.2</v>
      </c>
      <c r="H202" t="n">
        <v>0</v>
      </c>
      <c r="I202" t="n">
        <v>1</v>
      </c>
      <c r="J202" t="n">
        <v>0</v>
      </c>
      <c r="K202" t="n">
        <v>0</v>
      </c>
      <c r="L202" t="n">
        <v>0</v>
      </c>
      <c r="M202" t="n">
        <v>0</v>
      </c>
      <c r="N202" t="n">
        <v>0</v>
      </c>
      <c r="O202" t="n">
        <v>0</v>
      </c>
      <c r="P202" t="n">
        <v>0</v>
      </c>
      <c r="Q202" t="n">
        <v>1</v>
      </c>
      <c r="R202" s="2" t="inlineStr">
        <is>
          <t>Barkticka</t>
        </is>
      </c>
      <c r="S202">
        <f>HYPERLINK("https://klasma.github.io/Logging_0763/artfynd/A 13604-2025 artfynd.xlsx", "A 13604-2025")</f>
        <v/>
      </c>
      <c r="T202">
        <f>HYPERLINK("https://klasma.github.io/Logging_0763/kartor/A 13604-2025 karta.png", "A 13604-2025")</f>
        <v/>
      </c>
      <c r="V202">
        <f>HYPERLINK("https://klasma.github.io/Logging_0763/klagomål/A 13604-2025 FSC-klagomål.docx", "A 13604-2025")</f>
        <v/>
      </c>
      <c r="W202">
        <f>HYPERLINK("https://klasma.github.io/Logging_0763/klagomålsmail/A 13604-2025 FSC-klagomål mail.docx", "A 13604-2025")</f>
        <v/>
      </c>
      <c r="X202">
        <f>HYPERLINK("https://klasma.github.io/Logging_0763/tillsyn/A 13604-2025 tillsynsbegäran.docx", "A 13604-2025")</f>
        <v/>
      </c>
      <c r="Y202">
        <f>HYPERLINK("https://klasma.github.io/Logging_0763/tillsynsmail/A 13604-2025 tillsynsbegäran mail.docx", "A 13604-2025")</f>
        <v/>
      </c>
    </row>
    <row r="203" ht="15" customHeight="1">
      <c r="A203" t="inlineStr">
        <is>
          <t>A 28560-2025</t>
        </is>
      </c>
      <c r="B203" s="1" t="n">
        <v>45819</v>
      </c>
      <c r="C203" s="1" t="n">
        <v>46103</v>
      </c>
      <c r="D203" t="inlineStr">
        <is>
          <t>KRONOBERGS LÄN</t>
        </is>
      </c>
      <c r="E203" t="inlineStr">
        <is>
          <t>LJUNGBY</t>
        </is>
      </c>
      <c r="G203" t="n">
        <v>0.9</v>
      </c>
      <c r="H203" t="n">
        <v>0</v>
      </c>
      <c r="I203" t="n">
        <v>0</v>
      </c>
      <c r="J203" t="n">
        <v>1</v>
      </c>
      <c r="K203" t="n">
        <v>0</v>
      </c>
      <c r="L203" t="n">
        <v>0</v>
      </c>
      <c r="M203" t="n">
        <v>0</v>
      </c>
      <c r="N203" t="n">
        <v>0</v>
      </c>
      <c r="O203" t="n">
        <v>1</v>
      </c>
      <c r="P203" t="n">
        <v>0</v>
      </c>
      <c r="Q203" t="n">
        <v>1</v>
      </c>
      <c r="R203" s="2" t="inlineStr">
        <is>
          <t>Svinrot</t>
        </is>
      </c>
      <c r="S203">
        <f>HYPERLINK("https://klasma.github.io/Logging_0781/artfynd/A 28560-2025 artfynd.xlsx", "A 28560-2025")</f>
        <v/>
      </c>
      <c r="T203">
        <f>HYPERLINK("https://klasma.github.io/Logging_0781/kartor/A 28560-2025 karta.png", "A 28560-2025")</f>
        <v/>
      </c>
      <c r="V203">
        <f>HYPERLINK("https://klasma.github.io/Logging_0781/klagomål/A 28560-2025 FSC-klagomål.docx", "A 28560-2025")</f>
        <v/>
      </c>
      <c r="W203">
        <f>HYPERLINK("https://klasma.github.io/Logging_0781/klagomålsmail/A 28560-2025 FSC-klagomål mail.docx", "A 28560-2025")</f>
        <v/>
      </c>
      <c r="X203">
        <f>HYPERLINK("https://klasma.github.io/Logging_0781/tillsyn/A 28560-2025 tillsynsbegäran.docx", "A 28560-2025")</f>
        <v/>
      </c>
      <c r="Y203">
        <f>HYPERLINK("https://klasma.github.io/Logging_0781/tillsynsmail/A 28560-2025 tillsynsbegäran mail.docx", "A 28560-2025")</f>
        <v/>
      </c>
    </row>
    <row r="204" ht="15" customHeight="1">
      <c r="A204" t="inlineStr">
        <is>
          <t>A 42783-2023</t>
        </is>
      </c>
      <c r="B204" s="1" t="n">
        <v>45181</v>
      </c>
      <c r="C204" s="1" t="n">
        <v>46103</v>
      </c>
      <c r="D204" t="inlineStr">
        <is>
          <t>KRONOBERGS LÄN</t>
        </is>
      </c>
      <c r="E204" t="inlineStr">
        <is>
          <t>LJUNGBY</t>
        </is>
      </c>
      <c r="G204" t="n">
        <v>2.4</v>
      </c>
      <c r="H204" t="n">
        <v>1</v>
      </c>
      <c r="I204" t="n">
        <v>0</v>
      </c>
      <c r="J204" t="n">
        <v>0</v>
      </c>
      <c r="K204" t="n">
        <v>0</v>
      </c>
      <c r="L204" t="n">
        <v>0</v>
      </c>
      <c r="M204" t="n">
        <v>0</v>
      </c>
      <c r="N204" t="n">
        <v>0</v>
      </c>
      <c r="O204" t="n">
        <v>0</v>
      </c>
      <c r="P204" t="n">
        <v>0</v>
      </c>
      <c r="Q204" t="n">
        <v>1</v>
      </c>
      <c r="R204" s="2" t="inlineStr">
        <is>
          <t>Hårklomossa</t>
        </is>
      </c>
      <c r="S204">
        <f>HYPERLINK("https://klasma.github.io/Logging_0781/artfynd/A 42783-2023 artfynd.xlsx", "A 42783-2023")</f>
        <v/>
      </c>
      <c r="T204">
        <f>HYPERLINK("https://klasma.github.io/Logging_0781/kartor/A 42783-2023 karta.png", "A 42783-2023")</f>
        <v/>
      </c>
      <c r="V204">
        <f>HYPERLINK("https://klasma.github.io/Logging_0781/klagomål/A 42783-2023 FSC-klagomål.docx", "A 42783-2023")</f>
        <v/>
      </c>
      <c r="W204">
        <f>HYPERLINK("https://klasma.github.io/Logging_0781/klagomålsmail/A 42783-2023 FSC-klagomål mail.docx", "A 42783-2023")</f>
        <v/>
      </c>
      <c r="X204">
        <f>HYPERLINK("https://klasma.github.io/Logging_0781/tillsyn/A 42783-2023 tillsynsbegäran.docx", "A 42783-2023")</f>
        <v/>
      </c>
      <c r="Y204">
        <f>HYPERLINK("https://klasma.github.io/Logging_0781/tillsynsmail/A 42783-2023 tillsynsbegäran mail.docx", "A 42783-2023")</f>
        <v/>
      </c>
    </row>
    <row r="205" ht="15" customHeight="1">
      <c r="A205" t="inlineStr">
        <is>
          <t>A 38523-2024</t>
        </is>
      </c>
      <c r="B205" s="1" t="n">
        <v>45546.56554398148</v>
      </c>
      <c r="C205" s="1" t="n">
        <v>46103</v>
      </c>
      <c r="D205" t="inlineStr">
        <is>
          <t>KRONOBERGS LÄN</t>
        </is>
      </c>
      <c r="E205" t="inlineStr">
        <is>
          <t>TINGSRYD</t>
        </is>
      </c>
      <c r="G205" t="n">
        <v>1.1</v>
      </c>
      <c r="H205" t="n">
        <v>1</v>
      </c>
      <c r="I205" t="n">
        <v>0</v>
      </c>
      <c r="J205" t="n">
        <v>0</v>
      </c>
      <c r="K205" t="n">
        <v>0</v>
      </c>
      <c r="L205" t="n">
        <v>0</v>
      </c>
      <c r="M205" t="n">
        <v>0</v>
      </c>
      <c r="N205" t="n">
        <v>0</v>
      </c>
      <c r="O205" t="n">
        <v>0</v>
      </c>
      <c r="P205" t="n">
        <v>0</v>
      </c>
      <c r="Q205" t="n">
        <v>1</v>
      </c>
      <c r="R205" s="2" t="inlineStr">
        <is>
          <t>Mattlummer</t>
        </is>
      </c>
      <c r="S205">
        <f>HYPERLINK("https://klasma.github.io/Logging_0763/artfynd/A 38523-2024 artfynd.xlsx", "A 38523-2024")</f>
        <v/>
      </c>
      <c r="T205">
        <f>HYPERLINK("https://klasma.github.io/Logging_0763/kartor/A 38523-2024 karta.png", "A 38523-2024")</f>
        <v/>
      </c>
      <c r="V205">
        <f>HYPERLINK("https://klasma.github.io/Logging_0763/klagomål/A 38523-2024 FSC-klagomål.docx", "A 38523-2024")</f>
        <v/>
      </c>
      <c r="W205">
        <f>HYPERLINK("https://klasma.github.io/Logging_0763/klagomålsmail/A 38523-2024 FSC-klagomål mail.docx", "A 38523-2024")</f>
        <v/>
      </c>
      <c r="X205">
        <f>HYPERLINK("https://klasma.github.io/Logging_0763/tillsyn/A 38523-2024 tillsynsbegäran.docx", "A 38523-2024")</f>
        <v/>
      </c>
      <c r="Y205">
        <f>HYPERLINK("https://klasma.github.io/Logging_0763/tillsynsmail/A 38523-2024 tillsynsbegäran mail.docx", "A 38523-2024")</f>
        <v/>
      </c>
    </row>
    <row r="206" ht="15" customHeight="1">
      <c r="A206" t="inlineStr">
        <is>
          <t>A 205-2023</t>
        </is>
      </c>
      <c r="B206" s="1" t="n">
        <v>44928</v>
      </c>
      <c r="C206" s="1" t="n">
        <v>46103</v>
      </c>
      <c r="D206" t="inlineStr">
        <is>
          <t>KRONOBERGS LÄN</t>
        </is>
      </c>
      <c r="E206" t="inlineStr">
        <is>
          <t>LJUNGBY</t>
        </is>
      </c>
      <c r="G206" t="n">
        <v>1.9</v>
      </c>
      <c r="H206" t="n">
        <v>0</v>
      </c>
      <c r="I206" t="n">
        <v>0</v>
      </c>
      <c r="J206" t="n">
        <v>1</v>
      </c>
      <c r="K206" t="n">
        <v>0</v>
      </c>
      <c r="L206" t="n">
        <v>0</v>
      </c>
      <c r="M206" t="n">
        <v>0</v>
      </c>
      <c r="N206" t="n">
        <v>0</v>
      </c>
      <c r="O206" t="n">
        <v>1</v>
      </c>
      <c r="P206" t="n">
        <v>0</v>
      </c>
      <c r="Q206" t="n">
        <v>1</v>
      </c>
      <c r="R206" s="2" t="inlineStr">
        <is>
          <t>Borsttåg</t>
        </is>
      </c>
      <c r="S206">
        <f>HYPERLINK("https://klasma.github.io/Logging_0781/artfynd/A 205-2023 artfynd.xlsx", "A 205-2023")</f>
        <v/>
      </c>
      <c r="T206">
        <f>HYPERLINK("https://klasma.github.io/Logging_0781/kartor/A 205-2023 karta.png", "A 205-2023")</f>
        <v/>
      </c>
      <c r="V206">
        <f>HYPERLINK("https://klasma.github.io/Logging_0781/klagomål/A 205-2023 FSC-klagomål.docx", "A 205-2023")</f>
        <v/>
      </c>
      <c r="W206">
        <f>HYPERLINK("https://klasma.github.io/Logging_0781/klagomålsmail/A 205-2023 FSC-klagomål mail.docx", "A 205-2023")</f>
        <v/>
      </c>
      <c r="X206">
        <f>HYPERLINK("https://klasma.github.io/Logging_0781/tillsyn/A 205-2023 tillsynsbegäran.docx", "A 205-2023")</f>
        <v/>
      </c>
      <c r="Y206">
        <f>HYPERLINK("https://klasma.github.io/Logging_0781/tillsynsmail/A 205-2023 tillsynsbegäran mail.docx", "A 205-2023")</f>
        <v/>
      </c>
    </row>
    <row r="207" ht="15" customHeight="1">
      <c r="A207" t="inlineStr">
        <is>
          <t>A 49123-2022</t>
        </is>
      </c>
      <c r="B207" s="1" t="n">
        <v>44858</v>
      </c>
      <c r="C207" s="1" t="n">
        <v>46103</v>
      </c>
      <c r="D207" t="inlineStr">
        <is>
          <t>KRONOBERGS LÄN</t>
        </is>
      </c>
      <c r="E207" t="inlineStr">
        <is>
          <t>UPPVIDINGE</t>
        </is>
      </c>
      <c r="G207" t="n">
        <v>5.5</v>
      </c>
      <c r="H207" t="n">
        <v>1</v>
      </c>
      <c r="I207" t="n">
        <v>0</v>
      </c>
      <c r="J207" t="n">
        <v>0</v>
      </c>
      <c r="K207" t="n">
        <v>0</v>
      </c>
      <c r="L207" t="n">
        <v>0</v>
      </c>
      <c r="M207" t="n">
        <v>0</v>
      </c>
      <c r="N207" t="n">
        <v>0</v>
      </c>
      <c r="O207" t="n">
        <v>0</v>
      </c>
      <c r="P207" t="n">
        <v>0</v>
      </c>
      <c r="Q207" t="n">
        <v>1</v>
      </c>
      <c r="R207" s="2" t="inlineStr">
        <is>
          <t>Mattlummer</t>
        </is>
      </c>
      <c r="S207">
        <f>HYPERLINK("https://klasma.github.io/Logging_0760/artfynd/A 49123-2022 artfynd.xlsx", "A 49123-2022")</f>
        <v/>
      </c>
      <c r="T207">
        <f>HYPERLINK("https://klasma.github.io/Logging_0760/kartor/A 49123-2022 karta.png", "A 49123-2022")</f>
        <v/>
      </c>
      <c r="V207">
        <f>HYPERLINK("https://klasma.github.io/Logging_0760/klagomål/A 49123-2022 FSC-klagomål.docx", "A 49123-2022")</f>
        <v/>
      </c>
      <c r="W207">
        <f>HYPERLINK("https://klasma.github.io/Logging_0760/klagomålsmail/A 49123-2022 FSC-klagomål mail.docx", "A 49123-2022")</f>
        <v/>
      </c>
      <c r="X207">
        <f>HYPERLINK("https://klasma.github.io/Logging_0760/tillsyn/A 49123-2022 tillsynsbegäran.docx", "A 49123-2022")</f>
        <v/>
      </c>
      <c r="Y207">
        <f>HYPERLINK("https://klasma.github.io/Logging_0760/tillsynsmail/A 49123-2022 tillsynsbegäran mail.docx", "A 49123-2022")</f>
        <v/>
      </c>
    </row>
    <row r="208" ht="15" customHeight="1">
      <c r="A208" t="inlineStr">
        <is>
          <t>A 42487-2024</t>
        </is>
      </c>
      <c r="B208" s="1" t="n">
        <v>45565.49403935186</v>
      </c>
      <c r="C208" s="1" t="n">
        <v>46103</v>
      </c>
      <c r="D208" t="inlineStr">
        <is>
          <t>KRONOBERGS LÄN</t>
        </is>
      </c>
      <c r="E208" t="inlineStr">
        <is>
          <t>TINGSRYD</t>
        </is>
      </c>
      <c r="G208" t="n">
        <v>2.9</v>
      </c>
      <c r="H208" t="n">
        <v>1</v>
      </c>
      <c r="I208" t="n">
        <v>0</v>
      </c>
      <c r="J208" t="n">
        <v>1</v>
      </c>
      <c r="K208" t="n">
        <v>0</v>
      </c>
      <c r="L208" t="n">
        <v>0</v>
      </c>
      <c r="M208" t="n">
        <v>0</v>
      </c>
      <c r="N208" t="n">
        <v>0</v>
      </c>
      <c r="O208" t="n">
        <v>1</v>
      </c>
      <c r="P208" t="n">
        <v>0</v>
      </c>
      <c r="Q208" t="n">
        <v>1</v>
      </c>
      <c r="R208" s="2" t="inlineStr">
        <is>
          <t>Spillkråka</t>
        </is>
      </c>
      <c r="S208">
        <f>HYPERLINK("https://klasma.github.io/Logging_0763/artfynd/A 42487-2024 artfynd.xlsx", "A 42487-2024")</f>
        <v/>
      </c>
      <c r="T208">
        <f>HYPERLINK("https://klasma.github.io/Logging_0763/kartor/A 42487-2024 karta.png", "A 42487-2024")</f>
        <v/>
      </c>
      <c r="V208">
        <f>HYPERLINK("https://klasma.github.io/Logging_0763/klagomål/A 42487-2024 FSC-klagomål.docx", "A 42487-2024")</f>
        <v/>
      </c>
      <c r="W208">
        <f>HYPERLINK("https://klasma.github.io/Logging_0763/klagomålsmail/A 42487-2024 FSC-klagomål mail.docx", "A 42487-2024")</f>
        <v/>
      </c>
      <c r="X208">
        <f>HYPERLINK("https://klasma.github.io/Logging_0763/tillsyn/A 42487-2024 tillsynsbegäran.docx", "A 42487-2024")</f>
        <v/>
      </c>
      <c r="Y208">
        <f>HYPERLINK("https://klasma.github.io/Logging_0763/tillsynsmail/A 42487-2024 tillsynsbegäran mail.docx", "A 42487-2024")</f>
        <v/>
      </c>
      <c r="Z208">
        <f>HYPERLINK("https://klasma.github.io/Logging_0763/fåglar/A 42487-2024 prioriterade fågelarter.docx", "A 42487-2024")</f>
        <v/>
      </c>
    </row>
    <row r="209" ht="15" customHeight="1">
      <c r="A209" t="inlineStr">
        <is>
          <t>A 4801-2025</t>
        </is>
      </c>
      <c r="B209" s="1" t="n">
        <v>45688.59202546296</v>
      </c>
      <c r="C209" s="1" t="n">
        <v>46103</v>
      </c>
      <c r="D209" t="inlineStr">
        <is>
          <t>KRONOBERGS LÄN</t>
        </is>
      </c>
      <c r="E209" t="inlineStr">
        <is>
          <t>UPPVIDINGE</t>
        </is>
      </c>
      <c r="F209" t="inlineStr">
        <is>
          <t>Sveaskog</t>
        </is>
      </c>
      <c r="G209" t="n">
        <v>2.1</v>
      </c>
      <c r="H209" t="n">
        <v>1</v>
      </c>
      <c r="I209" t="n">
        <v>0</v>
      </c>
      <c r="J209" t="n">
        <v>0</v>
      </c>
      <c r="K209" t="n">
        <v>0</v>
      </c>
      <c r="L209" t="n">
        <v>0</v>
      </c>
      <c r="M209" t="n">
        <v>0</v>
      </c>
      <c r="N209" t="n">
        <v>0</v>
      </c>
      <c r="O209" t="n">
        <v>0</v>
      </c>
      <c r="P209" t="n">
        <v>0</v>
      </c>
      <c r="Q209" t="n">
        <v>1</v>
      </c>
      <c r="R209" s="2" t="inlineStr">
        <is>
          <t>Blåsippa</t>
        </is>
      </c>
      <c r="S209">
        <f>HYPERLINK("https://klasma.github.io/Logging_0760/artfynd/A 4801-2025 artfynd.xlsx", "A 4801-2025")</f>
        <v/>
      </c>
      <c r="T209">
        <f>HYPERLINK("https://klasma.github.io/Logging_0760/kartor/A 4801-2025 karta.png", "A 4801-2025")</f>
        <v/>
      </c>
      <c r="V209">
        <f>HYPERLINK("https://klasma.github.io/Logging_0760/klagomål/A 4801-2025 FSC-klagomål.docx", "A 4801-2025")</f>
        <v/>
      </c>
      <c r="W209">
        <f>HYPERLINK("https://klasma.github.io/Logging_0760/klagomålsmail/A 4801-2025 FSC-klagomål mail.docx", "A 4801-2025")</f>
        <v/>
      </c>
      <c r="X209">
        <f>HYPERLINK("https://klasma.github.io/Logging_0760/tillsyn/A 4801-2025 tillsynsbegäran.docx", "A 4801-2025")</f>
        <v/>
      </c>
      <c r="Y209">
        <f>HYPERLINK("https://klasma.github.io/Logging_0760/tillsynsmail/A 4801-2025 tillsynsbegäran mail.docx", "A 4801-2025")</f>
        <v/>
      </c>
    </row>
    <row r="210" ht="15" customHeight="1">
      <c r="A210" t="inlineStr">
        <is>
          <t>A 36305-2023</t>
        </is>
      </c>
      <c r="B210" s="1" t="n">
        <v>45152.37778935185</v>
      </c>
      <c r="C210" s="1" t="n">
        <v>46103</v>
      </c>
      <c r="D210" t="inlineStr">
        <is>
          <t>KRONOBERGS LÄN</t>
        </is>
      </c>
      <c r="E210" t="inlineStr">
        <is>
          <t>LJUNGBY</t>
        </is>
      </c>
      <c r="G210" t="n">
        <v>5.1</v>
      </c>
      <c r="H210" t="n">
        <v>0</v>
      </c>
      <c r="I210" t="n">
        <v>1</v>
      </c>
      <c r="J210" t="n">
        <v>0</v>
      </c>
      <c r="K210" t="n">
        <v>0</v>
      </c>
      <c r="L210" t="n">
        <v>0</v>
      </c>
      <c r="M210" t="n">
        <v>0</v>
      </c>
      <c r="N210" t="n">
        <v>0</v>
      </c>
      <c r="O210" t="n">
        <v>0</v>
      </c>
      <c r="P210" t="n">
        <v>0</v>
      </c>
      <c r="Q210" t="n">
        <v>1</v>
      </c>
      <c r="R210" s="2" t="inlineStr">
        <is>
          <t>Björksplintborre</t>
        </is>
      </c>
      <c r="S210">
        <f>HYPERLINK("https://klasma.github.io/Logging_0781/artfynd/A 36305-2023 artfynd.xlsx", "A 36305-2023")</f>
        <v/>
      </c>
      <c r="T210">
        <f>HYPERLINK("https://klasma.github.io/Logging_0781/kartor/A 36305-2023 karta.png", "A 36305-2023")</f>
        <v/>
      </c>
      <c r="V210">
        <f>HYPERLINK("https://klasma.github.io/Logging_0781/klagomål/A 36305-2023 FSC-klagomål.docx", "A 36305-2023")</f>
        <v/>
      </c>
      <c r="W210">
        <f>HYPERLINK("https://klasma.github.io/Logging_0781/klagomålsmail/A 36305-2023 FSC-klagomål mail.docx", "A 36305-2023")</f>
        <v/>
      </c>
      <c r="X210">
        <f>HYPERLINK("https://klasma.github.io/Logging_0781/tillsyn/A 36305-2023 tillsynsbegäran.docx", "A 36305-2023")</f>
        <v/>
      </c>
      <c r="Y210">
        <f>HYPERLINK("https://klasma.github.io/Logging_0781/tillsynsmail/A 36305-2023 tillsynsbegäran mail.docx", "A 36305-2023")</f>
        <v/>
      </c>
    </row>
    <row r="211" ht="15" customHeight="1">
      <c r="A211" t="inlineStr">
        <is>
          <t>A 63249-2023</t>
        </is>
      </c>
      <c r="B211" s="1" t="n">
        <v>45273</v>
      </c>
      <c r="C211" s="1" t="n">
        <v>46103</v>
      </c>
      <c r="D211" t="inlineStr">
        <is>
          <t>KRONOBERGS LÄN</t>
        </is>
      </c>
      <c r="E211" t="inlineStr">
        <is>
          <t>VÄXJÖ</t>
        </is>
      </c>
      <c r="G211" t="n">
        <v>1.1</v>
      </c>
      <c r="H211" t="n">
        <v>0</v>
      </c>
      <c r="I211" t="n">
        <v>0</v>
      </c>
      <c r="J211" t="n">
        <v>1</v>
      </c>
      <c r="K211" t="n">
        <v>0</v>
      </c>
      <c r="L211" t="n">
        <v>0</v>
      </c>
      <c r="M211" t="n">
        <v>0</v>
      </c>
      <c r="N211" t="n">
        <v>0</v>
      </c>
      <c r="O211" t="n">
        <v>1</v>
      </c>
      <c r="P211" t="n">
        <v>0</v>
      </c>
      <c r="Q211" t="n">
        <v>1</v>
      </c>
      <c r="R211" s="2" t="inlineStr">
        <is>
          <t>Gropticka</t>
        </is>
      </c>
      <c r="S211">
        <f>HYPERLINK("https://klasma.github.io/Logging_0780/artfynd/A 63249-2023 artfynd.xlsx", "A 63249-2023")</f>
        <v/>
      </c>
      <c r="T211">
        <f>HYPERLINK("https://klasma.github.io/Logging_0780/kartor/A 63249-2023 karta.png", "A 63249-2023")</f>
        <v/>
      </c>
      <c r="V211">
        <f>HYPERLINK("https://klasma.github.io/Logging_0780/klagomål/A 63249-2023 FSC-klagomål.docx", "A 63249-2023")</f>
        <v/>
      </c>
      <c r="W211">
        <f>HYPERLINK("https://klasma.github.io/Logging_0780/klagomålsmail/A 63249-2023 FSC-klagomål mail.docx", "A 63249-2023")</f>
        <v/>
      </c>
      <c r="X211">
        <f>HYPERLINK("https://klasma.github.io/Logging_0780/tillsyn/A 63249-2023 tillsynsbegäran.docx", "A 63249-2023")</f>
        <v/>
      </c>
      <c r="Y211">
        <f>HYPERLINK("https://klasma.github.io/Logging_0780/tillsynsmail/A 63249-2023 tillsynsbegäran mail.docx", "A 63249-2023")</f>
        <v/>
      </c>
    </row>
    <row r="212" ht="15" customHeight="1">
      <c r="A212" t="inlineStr">
        <is>
          <t>A 73863-2021</t>
        </is>
      </c>
      <c r="B212" s="1" t="n">
        <v>44553</v>
      </c>
      <c r="C212" s="1" t="n">
        <v>46103</v>
      </c>
      <c r="D212" t="inlineStr">
        <is>
          <t>KRONOBERGS LÄN</t>
        </is>
      </c>
      <c r="E212" t="inlineStr">
        <is>
          <t>MARKARYD</t>
        </is>
      </c>
      <c r="G212" t="n">
        <v>1.4</v>
      </c>
      <c r="H212" t="n">
        <v>1</v>
      </c>
      <c r="I212" t="n">
        <v>0</v>
      </c>
      <c r="J212" t="n">
        <v>0</v>
      </c>
      <c r="K212" t="n">
        <v>0</v>
      </c>
      <c r="L212" t="n">
        <v>0</v>
      </c>
      <c r="M212" t="n">
        <v>0</v>
      </c>
      <c r="N212" t="n">
        <v>0</v>
      </c>
      <c r="O212" t="n">
        <v>0</v>
      </c>
      <c r="P212" t="n">
        <v>0</v>
      </c>
      <c r="Q212" t="n">
        <v>1</v>
      </c>
      <c r="R212" s="2" t="inlineStr">
        <is>
          <t>Lopplummer (aggregat)</t>
        </is>
      </c>
      <c r="S212">
        <f>HYPERLINK("https://klasma.github.io/Logging_0767/artfynd/A 73863-2021 artfynd.xlsx", "A 73863-2021")</f>
        <v/>
      </c>
      <c r="T212">
        <f>HYPERLINK("https://klasma.github.io/Logging_0767/kartor/A 73863-2021 karta.png", "A 73863-2021")</f>
        <v/>
      </c>
      <c r="V212">
        <f>HYPERLINK("https://klasma.github.io/Logging_0767/klagomål/A 73863-2021 FSC-klagomål.docx", "A 73863-2021")</f>
        <v/>
      </c>
      <c r="W212">
        <f>HYPERLINK("https://klasma.github.io/Logging_0767/klagomålsmail/A 73863-2021 FSC-klagomål mail.docx", "A 73863-2021")</f>
        <v/>
      </c>
      <c r="X212">
        <f>HYPERLINK("https://klasma.github.io/Logging_0767/tillsyn/A 73863-2021 tillsynsbegäran.docx", "A 73863-2021")</f>
        <v/>
      </c>
      <c r="Y212">
        <f>HYPERLINK("https://klasma.github.io/Logging_0767/tillsynsmail/A 73863-2021 tillsynsbegäran mail.docx", "A 73863-2021")</f>
        <v/>
      </c>
    </row>
    <row r="213" ht="15" customHeight="1">
      <c r="A213" t="inlineStr">
        <is>
          <t>A 64830-2023</t>
        </is>
      </c>
      <c r="B213" s="1" t="n">
        <v>45282</v>
      </c>
      <c r="C213" s="1" t="n">
        <v>46103</v>
      </c>
      <c r="D213" t="inlineStr">
        <is>
          <t>KRONOBERGS LÄN</t>
        </is>
      </c>
      <c r="E213" t="inlineStr">
        <is>
          <t>LJUNGBY</t>
        </is>
      </c>
      <c r="G213" t="n">
        <v>0.7</v>
      </c>
      <c r="H213" t="n">
        <v>1</v>
      </c>
      <c r="I213" t="n">
        <v>0</v>
      </c>
      <c r="J213" t="n">
        <v>0</v>
      </c>
      <c r="K213" t="n">
        <v>0</v>
      </c>
      <c r="L213" t="n">
        <v>0</v>
      </c>
      <c r="M213" t="n">
        <v>0</v>
      </c>
      <c r="N213" t="n">
        <v>0</v>
      </c>
      <c r="O213" t="n">
        <v>0</v>
      </c>
      <c r="P213" t="n">
        <v>0</v>
      </c>
      <c r="Q213" t="n">
        <v>1</v>
      </c>
      <c r="R213" s="2" t="inlineStr">
        <is>
          <t>Mattlummer</t>
        </is>
      </c>
      <c r="S213">
        <f>HYPERLINK("https://klasma.github.io/Logging_0781/artfynd/A 64830-2023 artfynd.xlsx", "A 64830-2023")</f>
        <v/>
      </c>
      <c r="T213">
        <f>HYPERLINK("https://klasma.github.io/Logging_0781/kartor/A 64830-2023 karta.png", "A 64830-2023")</f>
        <v/>
      </c>
      <c r="V213">
        <f>HYPERLINK("https://klasma.github.io/Logging_0781/klagomål/A 64830-2023 FSC-klagomål.docx", "A 64830-2023")</f>
        <v/>
      </c>
      <c r="W213">
        <f>HYPERLINK("https://klasma.github.io/Logging_0781/klagomålsmail/A 64830-2023 FSC-klagomål mail.docx", "A 64830-2023")</f>
        <v/>
      </c>
      <c r="X213">
        <f>HYPERLINK("https://klasma.github.io/Logging_0781/tillsyn/A 64830-2023 tillsynsbegäran.docx", "A 64830-2023")</f>
        <v/>
      </c>
      <c r="Y213">
        <f>HYPERLINK("https://klasma.github.io/Logging_0781/tillsynsmail/A 64830-2023 tillsynsbegäran mail.docx", "A 64830-2023")</f>
        <v/>
      </c>
    </row>
    <row r="214" ht="15" customHeight="1">
      <c r="A214" t="inlineStr">
        <is>
          <t>A 18079-2025</t>
        </is>
      </c>
      <c r="B214" s="1" t="n">
        <v>45761.50589120371</v>
      </c>
      <c r="C214" s="1" t="n">
        <v>46103</v>
      </c>
      <c r="D214" t="inlineStr">
        <is>
          <t>KRONOBERGS LÄN</t>
        </is>
      </c>
      <c r="E214" t="inlineStr">
        <is>
          <t>VÄXJÖ</t>
        </is>
      </c>
      <c r="G214" t="n">
        <v>2.6</v>
      </c>
      <c r="H214" t="n">
        <v>0</v>
      </c>
      <c r="I214" t="n">
        <v>1</v>
      </c>
      <c r="J214" t="n">
        <v>0</v>
      </c>
      <c r="K214" t="n">
        <v>0</v>
      </c>
      <c r="L214" t="n">
        <v>0</v>
      </c>
      <c r="M214" t="n">
        <v>0</v>
      </c>
      <c r="N214" t="n">
        <v>0</v>
      </c>
      <c r="O214" t="n">
        <v>0</v>
      </c>
      <c r="P214" t="n">
        <v>0</v>
      </c>
      <c r="Q214" t="n">
        <v>1</v>
      </c>
      <c r="R214" s="2" t="inlineStr">
        <is>
          <t>Blåmossa</t>
        </is>
      </c>
      <c r="S214">
        <f>HYPERLINK("https://klasma.github.io/Logging_0780/artfynd/A 18079-2025 artfynd.xlsx", "A 18079-2025")</f>
        <v/>
      </c>
      <c r="T214">
        <f>HYPERLINK("https://klasma.github.io/Logging_0780/kartor/A 18079-2025 karta.png", "A 18079-2025")</f>
        <v/>
      </c>
      <c r="V214">
        <f>HYPERLINK("https://klasma.github.io/Logging_0780/klagomål/A 18079-2025 FSC-klagomål.docx", "A 18079-2025")</f>
        <v/>
      </c>
      <c r="W214">
        <f>HYPERLINK("https://klasma.github.io/Logging_0780/klagomålsmail/A 18079-2025 FSC-klagomål mail.docx", "A 18079-2025")</f>
        <v/>
      </c>
      <c r="X214">
        <f>HYPERLINK("https://klasma.github.io/Logging_0780/tillsyn/A 18079-2025 tillsynsbegäran.docx", "A 18079-2025")</f>
        <v/>
      </c>
      <c r="Y214">
        <f>HYPERLINK("https://klasma.github.io/Logging_0780/tillsynsmail/A 18079-2025 tillsynsbegäran mail.docx", "A 18079-2025")</f>
        <v/>
      </c>
    </row>
    <row r="215" ht="15" customHeight="1">
      <c r="A215" t="inlineStr">
        <is>
          <t>A 54470-2022</t>
        </is>
      </c>
      <c r="B215" s="1" t="n">
        <v>44882.65143518519</v>
      </c>
      <c r="C215" s="1" t="n">
        <v>46103</v>
      </c>
      <c r="D215" t="inlineStr">
        <is>
          <t>KRONOBERGS LÄN</t>
        </is>
      </c>
      <c r="E215" t="inlineStr">
        <is>
          <t>ÄLMHULT</t>
        </is>
      </c>
      <c r="G215" t="n">
        <v>2.3</v>
      </c>
      <c r="H215" t="n">
        <v>0</v>
      </c>
      <c r="I215" t="n">
        <v>1</v>
      </c>
      <c r="J215" t="n">
        <v>0</v>
      </c>
      <c r="K215" t="n">
        <v>0</v>
      </c>
      <c r="L215" t="n">
        <v>0</v>
      </c>
      <c r="M215" t="n">
        <v>0</v>
      </c>
      <c r="N215" t="n">
        <v>0</v>
      </c>
      <c r="O215" t="n">
        <v>0</v>
      </c>
      <c r="P215" t="n">
        <v>0</v>
      </c>
      <c r="Q215" t="n">
        <v>1</v>
      </c>
      <c r="R215" s="2" t="inlineStr">
        <is>
          <t>Grönpyrola</t>
        </is>
      </c>
      <c r="S215">
        <f>HYPERLINK("https://klasma.github.io/Logging_0765/artfynd/A 54470-2022 artfynd.xlsx", "A 54470-2022")</f>
        <v/>
      </c>
      <c r="T215">
        <f>HYPERLINK("https://klasma.github.io/Logging_0765/kartor/A 54470-2022 karta.png", "A 54470-2022")</f>
        <v/>
      </c>
      <c r="V215">
        <f>HYPERLINK("https://klasma.github.io/Logging_0765/klagomål/A 54470-2022 FSC-klagomål.docx", "A 54470-2022")</f>
        <v/>
      </c>
      <c r="W215">
        <f>HYPERLINK("https://klasma.github.io/Logging_0765/klagomålsmail/A 54470-2022 FSC-klagomål mail.docx", "A 54470-2022")</f>
        <v/>
      </c>
      <c r="X215">
        <f>HYPERLINK("https://klasma.github.io/Logging_0765/tillsyn/A 54470-2022 tillsynsbegäran.docx", "A 54470-2022")</f>
        <v/>
      </c>
      <c r="Y215">
        <f>HYPERLINK("https://klasma.github.io/Logging_0765/tillsynsmail/A 54470-2022 tillsynsbegäran mail.docx", "A 54470-2022")</f>
        <v/>
      </c>
    </row>
    <row r="216" ht="15" customHeight="1">
      <c r="A216" t="inlineStr">
        <is>
          <t>A 35200-2021</t>
        </is>
      </c>
      <c r="B216" s="1" t="n">
        <v>44384</v>
      </c>
      <c r="C216" s="1" t="n">
        <v>46103</v>
      </c>
      <c r="D216" t="inlineStr">
        <is>
          <t>KRONOBERGS LÄN</t>
        </is>
      </c>
      <c r="E216" t="inlineStr">
        <is>
          <t>UPPVIDINGE</t>
        </is>
      </c>
      <c r="G216" t="n">
        <v>5.5</v>
      </c>
      <c r="H216" t="n">
        <v>0</v>
      </c>
      <c r="I216" t="n">
        <v>1</v>
      </c>
      <c r="J216" t="n">
        <v>0</v>
      </c>
      <c r="K216" t="n">
        <v>0</v>
      </c>
      <c r="L216" t="n">
        <v>0</v>
      </c>
      <c r="M216" t="n">
        <v>0</v>
      </c>
      <c r="N216" t="n">
        <v>0</v>
      </c>
      <c r="O216" t="n">
        <v>0</v>
      </c>
      <c r="P216" t="n">
        <v>0</v>
      </c>
      <c r="Q216" t="n">
        <v>1</v>
      </c>
      <c r="R216" s="2" t="inlineStr">
        <is>
          <t>Vanlig flatbagge</t>
        </is>
      </c>
      <c r="S216">
        <f>HYPERLINK("https://klasma.github.io/Logging_0760/artfynd/A 35200-2021 artfynd.xlsx", "A 35200-2021")</f>
        <v/>
      </c>
      <c r="T216">
        <f>HYPERLINK("https://klasma.github.io/Logging_0760/kartor/A 35200-2021 karta.png", "A 35200-2021")</f>
        <v/>
      </c>
      <c r="V216">
        <f>HYPERLINK("https://klasma.github.io/Logging_0760/klagomål/A 35200-2021 FSC-klagomål.docx", "A 35200-2021")</f>
        <v/>
      </c>
      <c r="W216">
        <f>HYPERLINK("https://klasma.github.io/Logging_0760/klagomålsmail/A 35200-2021 FSC-klagomål mail.docx", "A 35200-2021")</f>
        <v/>
      </c>
      <c r="X216">
        <f>HYPERLINK("https://klasma.github.io/Logging_0760/tillsyn/A 35200-2021 tillsynsbegäran.docx", "A 35200-2021")</f>
        <v/>
      </c>
      <c r="Y216">
        <f>HYPERLINK("https://klasma.github.io/Logging_0760/tillsynsmail/A 35200-2021 tillsynsbegäran mail.docx", "A 35200-2021")</f>
        <v/>
      </c>
    </row>
    <row r="217" ht="15" customHeight="1">
      <c r="A217" t="inlineStr">
        <is>
          <t>A 37936-2021</t>
        </is>
      </c>
      <c r="B217" s="1" t="n">
        <v>44403</v>
      </c>
      <c r="C217" s="1" t="n">
        <v>46103</v>
      </c>
      <c r="D217" t="inlineStr">
        <is>
          <t>KRONOBERGS LÄN</t>
        </is>
      </c>
      <c r="E217" t="inlineStr">
        <is>
          <t>LESSEBO</t>
        </is>
      </c>
      <c r="G217" t="n">
        <v>6.2</v>
      </c>
      <c r="H217" t="n">
        <v>1</v>
      </c>
      <c r="I217" t="n">
        <v>0</v>
      </c>
      <c r="J217" t="n">
        <v>0</v>
      </c>
      <c r="K217" t="n">
        <v>1</v>
      </c>
      <c r="L217" t="n">
        <v>0</v>
      </c>
      <c r="M217" t="n">
        <v>0</v>
      </c>
      <c r="N217" t="n">
        <v>0</v>
      </c>
      <c r="O217" t="n">
        <v>1</v>
      </c>
      <c r="P217" t="n">
        <v>1</v>
      </c>
      <c r="Q217" t="n">
        <v>1</v>
      </c>
      <c r="R217" s="2" t="inlineStr">
        <is>
          <t>Knärot</t>
        </is>
      </c>
      <c r="S217">
        <f>HYPERLINK("https://klasma.github.io/Logging_0761/artfynd/A 37936-2021 artfynd.xlsx", "A 37936-2021")</f>
        <v/>
      </c>
      <c r="T217">
        <f>HYPERLINK("https://klasma.github.io/Logging_0761/kartor/A 37936-2021 karta.png", "A 37936-2021")</f>
        <v/>
      </c>
      <c r="U217">
        <f>HYPERLINK("https://klasma.github.io/Logging_0761/knärot/A 37936-2021 karta knärot.png", "A 37936-2021")</f>
        <v/>
      </c>
      <c r="V217">
        <f>HYPERLINK("https://klasma.github.io/Logging_0761/klagomål/A 37936-2021 FSC-klagomål.docx", "A 37936-2021")</f>
        <v/>
      </c>
      <c r="W217">
        <f>HYPERLINK("https://klasma.github.io/Logging_0761/klagomålsmail/A 37936-2021 FSC-klagomål mail.docx", "A 37936-2021")</f>
        <v/>
      </c>
      <c r="X217">
        <f>HYPERLINK("https://klasma.github.io/Logging_0761/tillsyn/A 37936-2021 tillsynsbegäran.docx", "A 37936-2021")</f>
        <v/>
      </c>
      <c r="Y217">
        <f>HYPERLINK("https://klasma.github.io/Logging_0761/tillsynsmail/A 37936-2021 tillsynsbegäran mail.docx", "A 37936-2021")</f>
        <v/>
      </c>
    </row>
    <row r="218" ht="15" customHeight="1">
      <c r="A218" t="inlineStr">
        <is>
          <t>A 13460-2023</t>
        </is>
      </c>
      <c r="B218" s="1" t="n">
        <v>45005</v>
      </c>
      <c r="C218" s="1" t="n">
        <v>46103</v>
      </c>
      <c r="D218" t="inlineStr">
        <is>
          <t>KRONOBERGS LÄN</t>
        </is>
      </c>
      <c r="E218" t="inlineStr">
        <is>
          <t>LJUNGBY</t>
        </is>
      </c>
      <c r="G218" t="n">
        <v>5.1</v>
      </c>
      <c r="H218" t="n">
        <v>1</v>
      </c>
      <c r="I218" t="n">
        <v>0</v>
      </c>
      <c r="J218" t="n">
        <v>1</v>
      </c>
      <c r="K218" t="n">
        <v>0</v>
      </c>
      <c r="L218" t="n">
        <v>0</v>
      </c>
      <c r="M218" t="n">
        <v>0</v>
      </c>
      <c r="N218" t="n">
        <v>0</v>
      </c>
      <c r="O218" t="n">
        <v>1</v>
      </c>
      <c r="P218" t="n">
        <v>0</v>
      </c>
      <c r="Q218" t="n">
        <v>1</v>
      </c>
      <c r="R218" s="2" t="inlineStr">
        <is>
          <t>Spillkråka</t>
        </is>
      </c>
      <c r="S218">
        <f>HYPERLINK("https://klasma.github.io/Logging_0781/artfynd/A 13460-2023 artfynd.xlsx", "A 13460-2023")</f>
        <v/>
      </c>
      <c r="T218">
        <f>HYPERLINK("https://klasma.github.io/Logging_0781/kartor/A 13460-2023 karta.png", "A 13460-2023")</f>
        <v/>
      </c>
      <c r="V218">
        <f>HYPERLINK("https://klasma.github.io/Logging_0781/klagomål/A 13460-2023 FSC-klagomål.docx", "A 13460-2023")</f>
        <v/>
      </c>
      <c r="W218">
        <f>HYPERLINK("https://klasma.github.io/Logging_0781/klagomålsmail/A 13460-2023 FSC-klagomål mail.docx", "A 13460-2023")</f>
        <v/>
      </c>
      <c r="X218">
        <f>HYPERLINK("https://klasma.github.io/Logging_0781/tillsyn/A 13460-2023 tillsynsbegäran.docx", "A 13460-2023")</f>
        <v/>
      </c>
      <c r="Y218">
        <f>HYPERLINK("https://klasma.github.io/Logging_0781/tillsynsmail/A 13460-2023 tillsynsbegäran mail.docx", "A 13460-2023")</f>
        <v/>
      </c>
      <c r="Z218">
        <f>HYPERLINK("https://klasma.github.io/Logging_0781/fåglar/A 13460-2023 prioriterade fågelarter.docx", "A 13460-2023")</f>
        <v/>
      </c>
    </row>
    <row r="219" ht="15" customHeight="1">
      <c r="A219" t="inlineStr">
        <is>
          <t>A 30359-2023</t>
        </is>
      </c>
      <c r="B219" s="1" t="n">
        <v>45111</v>
      </c>
      <c r="C219" s="1" t="n">
        <v>46103</v>
      </c>
      <c r="D219" t="inlineStr">
        <is>
          <t>KRONOBERGS LÄN</t>
        </is>
      </c>
      <c r="E219" t="inlineStr">
        <is>
          <t>LJUNGBY</t>
        </is>
      </c>
      <c r="G219" t="n">
        <v>2.1</v>
      </c>
      <c r="H219" t="n">
        <v>0</v>
      </c>
      <c r="I219" t="n">
        <v>0</v>
      </c>
      <c r="J219" t="n">
        <v>1</v>
      </c>
      <c r="K219" t="n">
        <v>0</v>
      </c>
      <c r="L219" t="n">
        <v>0</v>
      </c>
      <c r="M219" t="n">
        <v>0</v>
      </c>
      <c r="N219" t="n">
        <v>0</v>
      </c>
      <c r="O219" t="n">
        <v>1</v>
      </c>
      <c r="P219" t="n">
        <v>0</v>
      </c>
      <c r="Q219" t="n">
        <v>1</v>
      </c>
      <c r="R219" s="2" t="inlineStr">
        <is>
          <t>Brunpudrad nållav</t>
        </is>
      </c>
      <c r="S219">
        <f>HYPERLINK("https://klasma.github.io/Logging_0781/artfynd/A 30359-2023 artfynd.xlsx", "A 30359-2023")</f>
        <v/>
      </c>
      <c r="T219">
        <f>HYPERLINK("https://klasma.github.io/Logging_0781/kartor/A 30359-2023 karta.png", "A 30359-2023")</f>
        <v/>
      </c>
      <c r="V219">
        <f>HYPERLINK("https://klasma.github.io/Logging_0781/klagomål/A 30359-2023 FSC-klagomål.docx", "A 30359-2023")</f>
        <v/>
      </c>
      <c r="W219">
        <f>HYPERLINK("https://klasma.github.io/Logging_0781/klagomålsmail/A 30359-2023 FSC-klagomål mail.docx", "A 30359-2023")</f>
        <v/>
      </c>
      <c r="X219">
        <f>HYPERLINK("https://klasma.github.io/Logging_0781/tillsyn/A 30359-2023 tillsynsbegäran.docx", "A 30359-2023")</f>
        <v/>
      </c>
      <c r="Y219">
        <f>HYPERLINK("https://klasma.github.io/Logging_0781/tillsynsmail/A 30359-2023 tillsynsbegäran mail.docx", "A 30359-2023")</f>
        <v/>
      </c>
    </row>
    <row r="220" ht="15" customHeight="1">
      <c r="A220" t="inlineStr">
        <is>
          <t>A 18676-2023</t>
        </is>
      </c>
      <c r="B220" s="1" t="n">
        <v>45043.58965277778</v>
      </c>
      <c r="C220" s="1" t="n">
        <v>46103</v>
      </c>
      <c r="D220" t="inlineStr">
        <is>
          <t>KRONOBERGS LÄN</t>
        </is>
      </c>
      <c r="E220" t="inlineStr">
        <is>
          <t>ALVESTA</t>
        </is>
      </c>
      <c r="G220" t="n">
        <v>1.4</v>
      </c>
      <c r="H220" t="n">
        <v>0</v>
      </c>
      <c r="I220" t="n">
        <v>1</v>
      </c>
      <c r="J220" t="n">
        <v>0</v>
      </c>
      <c r="K220" t="n">
        <v>0</v>
      </c>
      <c r="L220" t="n">
        <v>0</v>
      </c>
      <c r="M220" t="n">
        <v>0</v>
      </c>
      <c r="N220" t="n">
        <v>0</v>
      </c>
      <c r="O220" t="n">
        <v>0</v>
      </c>
      <c r="P220" t="n">
        <v>0</v>
      </c>
      <c r="Q220" t="n">
        <v>1</v>
      </c>
      <c r="R220" s="2" t="inlineStr">
        <is>
          <t>Blomkålssvamp</t>
        </is>
      </c>
      <c r="S220">
        <f>HYPERLINK("https://klasma.github.io/Logging_0764/artfynd/A 18676-2023 artfynd.xlsx", "A 18676-2023")</f>
        <v/>
      </c>
      <c r="T220">
        <f>HYPERLINK("https://klasma.github.io/Logging_0764/kartor/A 18676-2023 karta.png", "A 18676-2023")</f>
        <v/>
      </c>
      <c r="V220">
        <f>HYPERLINK("https://klasma.github.io/Logging_0764/klagomål/A 18676-2023 FSC-klagomål.docx", "A 18676-2023")</f>
        <v/>
      </c>
      <c r="W220">
        <f>HYPERLINK("https://klasma.github.io/Logging_0764/klagomålsmail/A 18676-2023 FSC-klagomål mail.docx", "A 18676-2023")</f>
        <v/>
      </c>
      <c r="X220">
        <f>HYPERLINK("https://klasma.github.io/Logging_0764/tillsyn/A 18676-2023 tillsynsbegäran.docx", "A 18676-2023")</f>
        <v/>
      </c>
      <c r="Y220">
        <f>HYPERLINK("https://klasma.github.io/Logging_0764/tillsynsmail/A 18676-2023 tillsynsbegäran mail.docx", "A 18676-2023")</f>
        <v/>
      </c>
    </row>
    <row r="221" ht="15" customHeight="1">
      <c r="A221" t="inlineStr">
        <is>
          <t>A 31667-2023</t>
        </is>
      </c>
      <c r="B221" s="1" t="n">
        <v>45098</v>
      </c>
      <c r="C221" s="1" t="n">
        <v>46103</v>
      </c>
      <c r="D221" t="inlineStr">
        <is>
          <t>KRONOBERGS LÄN</t>
        </is>
      </c>
      <c r="E221" t="inlineStr">
        <is>
          <t>VÄXJÖ</t>
        </is>
      </c>
      <c r="G221" t="n">
        <v>1.5</v>
      </c>
      <c r="H221" t="n">
        <v>1</v>
      </c>
      <c r="I221" t="n">
        <v>0</v>
      </c>
      <c r="J221" t="n">
        <v>0</v>
      </c>
      <c r="K221" t="n">
        <v>0</v>
      </c>
      <c r="L221" t="n">
        <v>0</v>
      </c>
      <c r="M221" t="n">
        <v>0</v>
      </c>
      <c r="N221" t="n">
        <v>0</v>
      </c>
      <c r="O221" t="n">
        <v>0</v>
      </c>
      <c r="P221" t="n">
        <v>0</v>
      </c>
      <c r="Q221" t="n">
        <v>1</v>
      </c>
      <c r="R221" s="2" t="inlineStr">
        <is>
          <t>Hårklomossa</t>
        </is>
      </c>
      <c r="S221">
        <f>HYPERLINK("https://klasma.github.io/Logging_0780/artfynd/A 31667-2023 artfynd.xlsx", "A 31667-2023")</f>
        <v/>
      </c>
      <c r="T221">
        <f>HYPERLINK("https://klasma.github.io/Logging_0780/kartor/A 31667-2023 karta.png", "A 31667-2023")</f>
        <v/>
      </c>
      <c r="V221">
        <f>HYPERLINK("https://klasma.github.io/Logging_0780/klagomål/A 31667-2023 FSC-klagomål.docx", "A 31667-2023")</f>
        <v/>
      </c>
      <c r="W221">
        <f>HYPERLINK("https://klasma.github.io/Logging_0780/klagomålsmail/A 31667-2023 FSC-klagomål mail.docx", "A 31667-2023")</f>
        <v/>
      </c>
      <c r="X221">
        <f>HYPERLINK("https://klasma.github.io/Logging_0780/tillsyn/A 31667-2023 tillsynsbegäran.docx", "A 31667-2023")</f>
        <v/>
      </c>
      <c r="Y221">
        <f>HYPERLINK("https://klasma.github.io/Logging_0780/tillsynsmail/A 31667-2023 tillsynsbegäran mail.docx", "A 31667-2023")</f>
        <v/>
      </c>
    </row>
    <row r="222" ht="15" customHeight="1">
      <c r="A222" t="inlineStr">
        <is>
          <t>A 34935-2024</t>
        </is>
      </c>
      <c r="B222" s="1" t="n">
        <v>45527.45695601852</v>
      </c>
      <c r="C222" s="1" t="n">
        <v>46103</v>
      </c>
      <c r="D222" t="inlineStr">
        <is>
          <t>KRONOBERGS LÄN</t>
        </is>
      </c>
      <c r="E222" t="inlineStr">
        <is>
          <t>LJUNGBY</t>
        </is>
      </c>
      <c r="G222" t="n">
        <v>0.9</v>
      </c>
      <c r="H222" t="n">
        <v>0</v>
      </c>
      <c r="I222" t="n">
        <v>0</v>
      </c>
      <c r="J222" t="n">
        <v>1</v>
      </c>
      <c r="K222" t="n">
        <v>0</v>
      </c>
      <c r="L222" t="n">
        <v>0</v>
      </c>
      <c r="M222" t="n">
        <v>0</v>
      </c>
      <c r="N222" t="n">
        <v>0</v>
      </c>
      <c r="O222" t="n">
        <v>1</v>
      </c>
      <c r="P222" t="n">
        <v>0</v>
      </c>
      <c r="Q222" t="n">
        <v>1</v>
      </c>
      <c r="R222" s="2" t="inlineStr">
        <is>
          <t>Hårginst</t>
        </is>
      </c>
      <c r="S222">
        <f>HYPERLINK("https://klasma.github.io/Logging_0781/artfynd/A 34935-2024 artfynd.xlsx", "A 34935-2024")</f>
        <v/>
      </c>
      <c r="T222">
        <f>HYPERLINK("https://klasma.github.io/Logging_0781/kartor/A 34935-2024 karta.png", "A 34935-2024")</f>
        <v/>
      </c>
      <c r="V222">
        <f>HYPERLINK("https://klasma.github.io/Logging_0781/klagomål/A 34935-2024 FSC-klagomål.docx", "A 34935-2024")</f>
        <v/>
      </c>
      <c r="W222">
        <f>HYPERLINK("https://klasma.github.io/Logging_0781/klagomålsmail/A 34935-2024 FSC-klagomål mail.docx", "A 34935-2024")</f>
        <v/>
      </c>
      <c r="X222">
        <f>HYPERLINK("https://klasma.github.io/Logging_0781/tillsyn/A 34935-2024 tillsynsbegäran.docx", "A 34935-2024")</f>
        <v/>
      </c>
      <c r="Y222">
        <f>HYPERLINK("https://klasma.github.io/Logging_0781/tillsynsmail/A 34935-2024 tillsynsbegäran mail.docx", "A 34935-2024")</f>
        <v/>
      </c>
    </row>
    <row r="223" ht="15" customHeight="1">
      <c r="A223" t="inlineStr">
        <is>
          <t>A 50486-2021</t>
        </is>
      </c>
      <c r="B223" s="1" t="n">
        <v>44459</v>
      </c>
      <c r="C223" s="1" t="n">
        <v>46103</v>
      </c>
      <c r="D223" t="inlineStr">
        <is>
          <t>KRONOBERGS LÄN</t>
        </is>
      </c>
      <c r="E223" t="inlineStr">
        <is>
          <t>ALVESTA</t>
        </is>
      </c>
      <c r="G223" t="n">
        <v>9.1</v>
      </c>
      <c r="H223" t="n">
        <v>0</v>
      </c>
      <c r="I223" t="n">
        <v>1</v>
      </c>
      <c r="J223" t="n">
        <v>0</v>
      </c>
      <c r="K223" t="n">
        <v>0</v>
      </c>
      <c r="L223" t="n">
        <v>0</v>
      </c>
      <c r="M223" t="n">
        <v>0</v>
      </c>
      <c r="N223" t="n">
        <v>0</v>
      </c>
      <c r="O223" t="n">
        <v>0</v>
      </c>
      <c r="P223" t="n">
        <v>0</v>
      </c>
      <c r="Q223" t="n">
        <v>1</v>
      </c>
      <c r="R223" s="2" t="inlineStr">
        <is>
          <t>Västlig hakmossa</t>
        </is>
      </c>
      <c r="S223">
        <f>HYPERLINK("https://klasma.github.io/Logging_0764/artfynd/A 50486-2021 artfynd.xlsx", "A 50486-2021")</f>
        <v/>
      </c>
      <c r="T223">
        <f>HYPERLINK("https://klasma.github.io/Logging_0764/kartor/A 50486-2021 karta.png", "A 50486-2021")</f>
        <v/>
      </c>
      <c r="V223">
        <f>HYPERLINK("https://klasma.github.io/Logging_0764/klagomål/A 50486-2021 FSC-klagomål.docx", "A 50486-2021")</f>
        <v/>
      </c>
      <c r="W223">
        <f>HYPERLINK("https://klasma.github.io/Logging_0764/klagomålsmail/A 50486-2021 FSC-klagomål mail.docx", "A 50486-2021")</f>
        <v/>
      </c>
      <c r="X223">
        <f>HYPERLINK("https://klasma.github.io/Logging_0764/tillsyn/A 50486-2021 tillsynsbegäran.docx", "A 50486-2021")</f>
        <v/>
      </c>
      <c r="Y223">
        <f>HYPERLINK("https://klasma.github.io/Logging_0764/tillsynsmail/A 50486-2021 tillsynsbegäran mail.docx", "A 50486-2021")</f>
        <v/>
      </c>
    </row>
    <row r="224" ht="15" customHeight="1">
      <c r="A224" t="inlineStr">
        <is>
          <t>A 3677-2023</t>
        </is>
      </c>
      <c r="B224" s="1" t="n">
        <v>44950</v>
      </c>
      <c r="C224" s="1" t="n">
        <v>46103</v>
      </c>
      <c r="D224" t="inlineStr">
        <is>
          <t>KRONOBERGS LÄN</t>
        </is>
      </c>
      <c r="E224" t="inlineStr">
        <is>
          <t>UPPVIDINGE</t>
        </is>
      </c>
      <c r="G224" t="n">
        <v>13.4</v>
      </c>
      <c r="H224" t="n">
        <v>0</v>
      </c>
      <c r="I224" t="n">
        <v>1</v>
      </c>
      <c r="J224" t="n">
        <v>0</v>
      </c>
      <c r="K224" t="n">
        <v>0</v>
      </c>
      <c r="L224" t="n">
        <v>0</v>
      </c>
      <c r="M224" t="n">
        <v>0</v>
      </c>
      <c r="N224" t="n">
        <v>0</v>
      </c>
      <c r="O224" t="n">
        <v>0</v>
      </c>
      <c r="P224" t="n">
        <v>0</v>
      </c>
      <c r="Q224" t="n">
        <v>1</v>
      </c>
      <c r="R224" s="2" t="inlineStr">
        <is>
          <t>Blomkålssvamp</t>
        </is>
      </c>
      <c r="S224">
        <f>HYPERLINK("https://klasma.github.io/Logging_0760/artfynd/A 3677-2023 artfynd.xlsx", "A 3677-2023")</f>
        <v/>
      </c>
      <c r="T224">
        <f>HYPERLINK("https://klasma.github.io/Logging_0760/kartor/A 3677-2023 karta.png", "A 3677-2023")</f>
        <v/>
      </c>
      <c r="V224">
        <f>HYPERLINK("https://klasma.github.io/Logging_0760/klagomål/A 3677-2023 FSC-klagomål.docx", "A 3677-2023")</f>
        <v/>
      </c>
      <c r="W224">
        <f>HYPERLINK("https://klasma.github.io/Logging_0760/klagomålsmail/A 3677-2023 FSC-klagomål mail.docx", "A 3677-2023")</f>
        <v/>
      </c>
      <c r="X224">
        <f>HYPERLINK("https://klasma.github.io/Logging_0760/tillsyn/A 3677-2023 tillsynsbegäran.docx", "A 3677-2023")</f>
        <v/>
      </c>
      <c r="Y224">
        <f>HYPERLINK("https://klasma.github.io/Logging_0760/tillsynsmail/A 3677-2023 tillsynsbegäran mail.docx", "A 3677-2023")</f>
        <v/>
      </c>
    </row>
    <row r="225" ht="15" customHeight="1">
      <c r="A225" t="inlineStr">
        <is>
          <t>A 6548-2024</t>
        </is>
      </c>
      <c r="B225" s="1" t="n">
        <v>45341</v>
      </c>
      <c r="C225" s="1" t="n">
        <v>46103</v>
      </c>
      <c r="D225" t="inlineStr">
        <is>
          <t>KRONOBERGS LÄN</t>
        </is>
      </c>
      <c r="E225" t="inlineStr">
        <is>
          <t>TINGSRYD</t>
        </is>
      </c>
      <c r="G225" t="n">
        <v>1.2</v>
      </c>
      <c r="H225" t="n">
        <v>1</v>
      </c>
      <c r="I225" t="n">
        <v>0</v>
      </c>
      <c r="J225" t="n">
        <v>0</v>
      </c>
      <c r="K225" t="n">
        <v>0</v>
      </c>
      <c r="L225" t="n">
        <v>0</v>
      </c>
      <c r="M225" t="n">
        <v>0</v>
      </c>
      <c r="N225" t="n">
        <v>0</v>
      </c>
      <c r="O225" t="n">
        <v>0</v>
      </c>
      <c r="P225" t="n">
        <v>0</v>
      </c>
      <c r="Q225" t="n">
        <v>1</v>
      </c>
      <c r="R225" s="2" t="inlineStr">
        <is>
          <t>Revlummer</t>
        </is>
      </c>
      <c r="S225">
        <f>HYPERLINK("https://klasma.github.io/Logging_0763/artfynd/A 6548-2024 artfynd.xlsx", "A 6548-2024")</f>
        <v/>
      </c>
      <c r="T225">
        <f>HYPERLINK("https://klasma.github.io/Logging_0763/kartor/A 6548-2024 karta.png", "A 6548-2024")</f>
        <v/>
      </c>
      <c r="V225">
        <f>HYPERLINK("https://klasma.github.io/Logging_0763/klagomål/A 6548-2024 FSC-klagomål.docx", "A 6548-2024")</f>
        <v/>
      </c>
      <c r="W225">
        <f>HYPERLINK("https://klasma.github.io/Logging_0763/klagomålsmail/A 6548-2024 FSC-klagomål mail.docx", "A 6548-2024")</f>
        <v/>
      </c>
      <c r="X225">
        <f>HYPERLINK("https://klasma.github.io/Logging_0763/tillsyn/A 6548-2024 tillsynsbegäran.docx", "A 6548-2024")</f>
        <v/>
      </c>
      <c r="Y225">
        <f>HYPERLINK("https://klasma.github.io/Logging_0763/tillsynsmail/A 6548-2024 tillsynsbegäran mail.docx", "A 6548-2024")</f>
        <v/>
      </c>
    </row>
    <row r="226" ht="15" customHeight="1">
      <c r="A226" t="inlineStr">
        <is>
          <t>A 11270-2023</t>
        </is>
      </c>
      <c r="B226" s="1" t="n">
        <v>44992.68729166667</v>
      </c>
      <c r="C226" s="1" t="n">
        <v>46103</v>
      </c>
      <c r="D226" t="inlineStr">
        <is>
          <t>KRONOBERGS LÄN</t>
        </is>
      </c>
      <c r="E226" t="inlineStr">
        <is>
          <t>TINGSRYD</t>
        </is>
      </c>
      <c r="G226" t="n">
        <v>1.5</v>
      </c>
      <c r="H226" t="n">
        <v>0</v>
      </c>
      <c r="I226" t="n">
        <v>0</v>
      </c>
      <c r="J226" t="n">
        <v>1</v>
      </c>
      <c r="K226" t="n">
        <v>0</v>
      </c>
      <c r="L226" t="n">
        <v>0</v>
      </c>
      <c r="M226" t="n">
        <v>0</v>
      </c>
      <c r="N226" t="n">
        <v>0</v>
      </c>
      <c r="O226" t="n">
        <v>1</v>
      </c>
      <c r="P226" t="n">
        <v>0</v>
      </c>
      <c r="Q226" t="n">
        <v>1</v>
      </c>
      <c r="R226" s="2" t="inlineStr">
        <is>
          <t>Brunag</t>
        </is>
      </c>
      <c r="S226">
        <f>HYPERLINK("https://klasma.github.io/Logging_0763/artfynd/A 11270-2023 artfynd.xlsx", "A 11270-2023")</f>
        <v/>
      </c>
      <c r="T226">
        <f>HYPERLINK("https://klasma.github.io/Logging_0763/kartor/A 11270-2023 karta.png", "A 11270-2023")</f>
        <v/>
      </c>
      <c r="V226">
        <f>HYPERLINK("https://klasma.github.io/Logging_0763/klagomål/A 11270-2023 FSC-klagomål.docx", "A 11270-2023")</f>
        <v/>
      </c>
      <c r="W226">
        <f>HYPERLINK("https://klasma.github.io/Logging_0763/klagomålsmail/A 11270-2023 FSC-klagomål mail.docx", "A 11270-2023")</f>
        <v/>
      </c>
      <c r="X226">
        <f>HYPERLINK("https://klasma.github.io/Logging_0763/tillsyn/A 11270-2023 tillsynsbegäran.docx", "A 11270-2023")</f>
        <v/>
      </c>
      <c r="Y226">
        <f>HYPERLINK("https://klasma.github.io/Logging_0763/tillsynsmail/A 11270-2023 tillsynsbegäran mail.docx", "A 11270-2023")</f>
        <v/>
      </c>
    </row>
    <row r="227" ht="15" customHeight="1">
      <c r="A227" t="inlineStr">
        <is>
          <t>A 43766-2023</t>
        </is>
      </c>
      <c r="B227" s="1" t="n">
        <v>45187.50584490741</v>
      </c>
      <c r="C227" s="1" t="n">
        <v>46103</v>
      </c>
      <c r="D227" t="inlineStr">
        <is>
          <t>KRONOBERGS LÄN</t>
        </is>
      </c>
      <c r="E227" t="inlineStr">
        <is>
          <t>ALVESTA</t>
        </is>
      </c>
      <c r="G227" t="n">
        <v>0.8</v>
      </c>
      <c r="H227" t="n">
        <v>0</v>
      </c>
      <c r="I227" t="n">
        <v>0</v>
      </c>
      <c r="J227" t="n">
        <v>1</v>
      </c>
      <c r="K227" t="n">
        <v>0</v>
      </c>
      <c r="L227" t="n">
        <v>0</v>
      </c>
      <c r="M227" t="n">
        <v>0</v>
      </c>
      <c r="N227" t="n">
        <v>0</v>
      </c>
      <c r="O227" t="n">
        <v>1</v>
      </c>
      <c r="P227" t="n">
        <v>0</v>
      </c>
      <c r="Q227" t="n">
        <v>1</v>
      </c>
      <c r="R227" s="2" t="inlineStr">
        <is>
          <t>Åkerkål</t>
        </is>
      </c>
      <c r="S227">
        <f>HYPERLINK("https://klasma.github.io/Logging_0764/artfynd/A 43766-2023 artfynd.xlsx", "A 43766-2023")</f>
        <v/>
      </c>
      <c r="T227">
        <f>HYPERLINK("https://klasma.github.io/Logging_0764/kartor/A 43766-2023 karta.png", "A 43766-2023")</f>
        <v/>
      </c>
      <c r="V227">
        <f>HYPERLINK("https://klasma.github.io/Logging_0764/klagomål/A 43766-2023 FSC-klagomål.docx", "A 43766-2023")</f>
        <v/>
      </c>
      <c r="W227">
        <f>HYPERLINK("https://klasma.github.io/Logging_0764/klagomålsmail/A 43766-2023 FSC-klagomål mail.docx", "A 43766-2023")</f>
        <v/>
      </c>
      <c r="X227">
        <f>HYPERLINK("https://klasma.github.io/Logging_0764/tillsyn/A 43766-2023 tillsynsbegäran.docx", "A 43766-2023")</f>
        <v/>
      </c>
      <c r="Y227">
        <f>HYPERLINK("https://klasma.github.io/Logging_0764/tillsynsmail/A 43766-2023 tillsynsbegäran mail.docx", "A 43766-2023")</f>
        <v/>
      </c>
    </row>
    <row r="228" ht="15" customHeight="1">
      <c r="A228" t="inlineStr">
        <is>
          <t>A 40560-2024</t>
        </is>
      </c>
      <c r="B228" s="1" t="n">
        <v>45555.65903935185</v>
      </c>
      <c r="C228" s="1" t="n">
        <v>46103</v>
      </c>
      <c r="D228" t="inlineStr">
        <is>
          <t>KRONOBERGS LÄN</t>
        </is>
      </c>
      <c r="E228" t="inlineStr">
        <is>
          <t>LJUNGBY</t>
        </is>
      </c>
      <c r="G228" t="n">
        <v>3.4</v>
      </c>
      <c r="H228" t="n">
        <v>1</v>
      </c>
      <c r="I228" t="n">
        <v>0</v>
      </c>
      <c r="J228" t="n">
        <v>1</v>
      </c>
      <c r="K228" t="n">
        <v>0</v>
      </c>
      <c r="L228" t="n">
        <v>0</v>
      </c>
      <c r="M228" t="n">
        <v>0</v>
      </c>
      <c r="N228" t="n">
        <v>0</v>
      </c>
      <c r="O228" t="n">
        <v>1</v>
      </c>
      <c r="P228" t="n">
        <v>0</v>
      </c>
      <c r="Q228" t="n">
        <v>1</v>
      </c>
      <c r="R228" s="2" t="inlineStr">
        <is>
          <t>Talltita</t>
        </is>
      </c>
      <c r="S228">
        <f>HYPERLINK("https://klasma.github.io/Logging_0781/artfynd/A 40560-2024 artfynd.xlsx", "A 40560-2024")</f>
        <v/>
      </c>
      <c r="T228">
        <f>HYPERLINK("https://klasma.github.io/Logging_0781/kartor/A 40560-2024 karta.png", "A 40560-2024")</f>
        <v/>
      </c>
      <c r="V228">
        <f>HYPERLINK("https://klasma.github.io/Logging_0781/klagomål/A 40560-2024 FSC-klagomål.docx", "A 40560-2024")</f>
        <v/>
      </c>
      <c r="W228">
        <f>HYPERLINK("https://klasma.github.io/Logging_0781/klagomålsmail/A 40560-2024 FSC-klagomål mail.docx", "A 40560-2024")</f>
        <v/>
      </c>
      <c r="X228">
        <f>HYPERLINK("https://klasma.github.io/Logging_0781/tillsyn/A 40560-2024 tillsynsbegäran.docx", "A 40560-2024")</f>
        <v/>
      </c>
      <c r="Y228">
        <f>HYPERLINK("https://klasma.github.io/Logging_0781/tillsynsmail/A 40560-2024 tillsynsbegäran mail.docx", "A 40560-2024")</f>
        <v/>
      </c>
      <c r="Z228">
        <f>HYPERLINK("https://klasma.github.io/Logging_0781/fåglar/A 40560-2024 prioriterade fågelarter.docx", "A 40560-2024")</f>
        <v/>
      </c>
    </row>
    <row r="229" ht="15" customHeight="1">
      <c r="A229" t="inlineStr">
        <is>
          <t>A 2015-2025</t>
        </is>
      </c>
      <c r="B229" s="1" t="n">
        <v>45672.46096064815</v>
      </c>
      <c r="C229" s="1" t="n">
        <v>46103</v>
      </c>
      <c r="D229" t="inlineStr">
        <is>
          <t>KRONOBERGS LÄN</t>
        </is>
      </c>
      <c r="E229" t="inlineStr">
        <is>
          <t>LJUNGBY</t>
        </is>
      </c>
      <c r="G229" t="n">
        <v>7</v>
      </c>
      <c r="H229" t="n">
        <v>0</v>
      </c>
      <c r="I229" t="n">
        <v>0</v>
      </c>
      <c r="J229" t="n">
        <v>1</v>
      </c>
      <c r="K229" t="n">
        <v>0</v>
      </c>
      <c r="L229" t="n">
        <v>0</v>
      </c>
      <c r="M229" t="n">
        <v>0</v>
      </c>
      <c r="N229" t="n">
        <v>0</v>
      </c>
      <c r="O229" t="n">
        <v>1</v>
      </c>
      <c r="P229" t="n">
        <v>0</v>
      </c>
      <c r="Q229" t="n">
        <v>1</v>
      </c>
      <c r="R229" s="2" t="inlineStr">
        <is>
          <t>Igelkott</t>
        </is>
      </c>
      <c r="S229">
        <f>HYPERLINK("https://klasma.github.io/Logging_0781/artfynd/A 2015-2025 artfynd.xlsx", "A 2015-2025")</f>
        <v/>
      </c>
      <c r="T229">
        <f>HYPERLINK("https://klasma.github.io/Logging_0781/kartor/A 2015-2025 karta.png", "A 2015-2025")</f>
        <v/>
      </c>
      <c r="V229">
        <f>HYPERLINK("https://klasma.github.io/Logging_0781/klagomål/A 2015-2025 FSC-klagomål.docx", "A 2015-2025")</f>
        <v/>
      </c>
      <c r="W229">
        <f>HYPERLINK("https://klasma.github.io/Logging_0781/klagomålsmail/A 2015-2025 FSC-klagomål mail.docx", "A 2015-2025")</f>
        <v/>
      </c>
      <c r="X229">
        <f>HYPERLINK("https://klasma.github.io/Logging_0781/tillsyn/A 2015-2025 tillsynsbegäran.docx", "A 2015-2025")</f>
        <v/>
      </c>
      <c r="Y229">
        <f>HYPERLINK("https://klasma.github.io/Logging_0781/tillsynsmail/A 2015-2025 tillsynsbegäran mail.docx", "A 2015-2025")</f>
        <v/>
      </c>
    </row>
    <row r="230" ht="15" customHeight="1">
      <c r="A230" t="inlineStr">
        <is>
          <t>A 14789-2025</t>
        </is>
      </c>
      <c r="B230" s="1" t="n">
        <v>45742.78724537037</v>
      </c>
      <c r="C230" s="1" t="n">
        <v>46103</v>
      </c>
      <c r="D230" t="inlineStr">
        <is>
          <t>KRONOBERGS LÄN</t>
        </is>
      </c>
      <c r="E230" t="inlineStr">
        <is>
          <t>ÄLMHULT</t>
        </is>
      </c>
      <c r="G230" t="n">
        <v>2.9</v>
      </c>
      <c r="H230" t="n">
        <v>0</v>
      </c>
      <c r="I230" t="n">
        <v>0</v>
      </c>
      <c r="J230" t="n">
        <v>0</v>
      </c>
      <c r="K230" t="n">
        <v>0</v>
      </c>
      <c r="L230" t="n">
        <v>0</v>
      </c>
      <c r="M230" t="n">
        <v>0</v>
      </c>
      <c r="N230" t="n">
        <v>1</v>
      </c>
      <c r="O230" t="n">
        <v>1</v>
      </c>
      <c r="P230" t="n">
        <v>0</v>
      </c>
      <c r="Q230" t="n">
        <v>1</v>
      </c>
      <c r="R230" s="2" t="inlineStr">
        <is>
          <t>Pimpinellros</t>
        </is>
      </c>
      <c r="S230">
        <f>HYPERLINK("https://klasma.github.io/Logging_0765/artfynd/A 14789-2025 artfynd.xlsx", "A 14789-2025")</f>
        <v/>
      </c>
      <c r="T230">
        <f>HYPERLINK("https://klasma.github.io/Logging_0765/kartor/A 14789-2025 karta.png", "A 14789-2025")</f>
        <v/>
      </c>
      <c r="V230">
        <f>HYPERLINK("https://klasma.github.io/Logging_0765/klagomål/A 14789-2025 FSC-klagomål.docx", "A 14789-2025")</f>
        <v/>
      </c>
      <c r="W230">
        <f>HYPERLINK("https://klasma.github.io/Logging_0765/klagomålsmail/A 14789-2025 FSC-klagomål mail.docx", "A 14789-2025")</f>
        <v/>
      </c>
      <c r="X230">
        <f>HYPERLINK("https://klasma.github.io/Logging_0765/tillsyn/A 14789-2025 tillsynsbegäran.docx", "A 14789-2025")</f>
        <v/>
      </c>
      <c r="Y230">
        <f>HYPERLINK("https://klasma.github.io/Logging_0765/tillsynsmail/A 14789-2025 tillsynsbegäran mail.docx", "A 14789-2025")</f>
        <v/>
      </c>
    </row>
    <row r="231" ht="15" customHeight="1">
      <c r="A231" t="inlineStr">
        <is>
          <t>A 11508-2024</t>
        </is>
      </c>
      <c r="B231" s="1" t="n">
        <v>45372.69723379629</v>
      </c>
      <c r="C231" s="1" t="n">
        <v>46103</v>
      </c>
      <c r="D231" t="inlineStr">
        <is>
          <t>KRONOBERGS LÄN</t>
        </is>
      </c>
      <c r="E231" t="inlineStr">
        <is>
          <t>LJUNGBY</t>
        </is>
      </c>
      <c r="G231" t="n">
        <v>1.5</v>
      </c>
      <c r="H231" t="n">
        <v>1</v>
      </c>
      <c r="I231" t="n">
        <v>0</v>
      </c>
      <c r="J231" t="n">
        <v>0</v>
      </c>
      <c r="K231" t="n">
        <v>0</v>
      </c>
      <c r="L231" t="n">
        <v>0</v>
      </c>
      <c r="M231" t="n">
        <v>0</v>
      </c>
      <c r="N231" t="n">
        <v>0</v>
      </c>
      <c r="O231" t="n">
        <v>0</v>
      </c>
      <c r="P231" t="n">
        <v>0</v>
      </c>
      <c r="Q231" t="n">
        <v>1</v>
      </c>
      <c r="R231" s="2" t="inlineStr">
        <is>
          <t>Fläcknycklar</t>
        </is>
      </c>
      <c r="S231">
        <f>HYPERLINK("https://klasma.github.io/Logging_0781/artfynd/A 11508-2024 artfynd.xlsx", "A 11508-2024")</f>
        <v/>
      </c>
      <c r="T231">
        <f>HYPERLINK("https://klasma.github.io/Logging_0781/kartor/A 11508-2024 karta.png", "A 11508-2024")</f>
        <v/>
      </c>
      <c r="V231">
        <f>HYPERLINK("https://klasma.github.io/Logging_0781/klagomål/A 11508-2024 FSC-klagomål.docx", "A 11508-2024")</f>
        <v/>
      </c>
      <c r="W231">
        <f>HYPERLINK("https://klasma.github.io/Logging_0781/klagomålsmail/A 11508-2024 FSC-klagomål mail.docx", "A 11508-2024")</f>
        <v/>
      </c>
      <c r="X231">
        <f>HYPERLINK("https://klasma.github.io/Logging_0781/tillsyn/A 11508-2024 tillsynsbegäran.docx", "A 11508-2024")</f>
        <v/>
      </c>
      <c r="Y231">
        <f>HYPERLINK("https://klasma.github.io/Logging_0781/tillsynsmail/A 11508-2024 tillsynsbegäran mail.docx", "A 11508-2024")</f>
        <v/>
      </c>
    </row>
    <row r="232" ht="15" customHeight="1">
      <c r="A232" t="inlineStr">
        <is>
          <t>A 59362-2024</t>
        </is>
      </c>
      <c r="B232" s="1" t="n">
        <v>45638.32918981482</v>
      </c>
      <c r="C232" s="1" t="n">
        <v>46103</v>
      </c>
      <c r="D232" t="inlineStr">
        <is>
          <t>KRONOBERGS LÄN</t>
        </is>
      </c>
      <c r="E232" t="inlineStr">
        <is>
          <t>ALVESTA</t>
        </is>
      </c>
      <c r="G232" t="n">
        <v>0.6</v>
      </c>
      <c r="H232" t="n">
        <v>0</v>
      </c>
      <c r="I232" t="n">
        <v>1</v>
      </c>
      <c r="J232" t="n">
        <v>0</v>
      </c>
      <c r="K232" t="n">
        <v>0</v>
      </c>
      <c r="L232" t="n">
        <v>0</v>
      </c>
      <c r="M232" t="n">
        <v>0</v>
      </c>
      <c r="N232" t="n">
        <v>0</v>
      </c>
      <c r="O232" t="n">
        <v>0</v>
      </c>
      <c r="P232" t="n">
        <v>0</v>
      </c>
      <c r="Q232" t="n">
        <v>1</v>
      </c>
      <c r="R232" s="2" t="inlineStr">
        <is>
          <t>Västlig hakmossa</t>
        </is>
      </c>
      <c r="S232">
        <f>HYPERLINK("https://klasma.github.io/Logging_0764/artfynd/A 59362-2024 artfynd.xlsx", "A 59362-2024")</f>
        <v/>
      </c>
      <c r="T232">
        <f>HYPERLINK("https://klasma.github.io/Logging_0764/kartor/A 59362-2024 karta.png", "A 59362-2024")</f>
        <v/>
      </c>
      <c r="V232">
        <f>HYPERLINK("https://klasma.github.io/Logging_0764/klagomål/A 59362-2024 FSC-klagomål.docx", "A 59362-2024")</f>
        <v/>
      </c>
      <c r="W232">
        <f>HYPERLINK("https://klasma.github.io/Logging_0764/klagomålsmail/A 59362-2024 FSC-klagomål mail.docx", "A 59362-2024")</f>
        <v/>
      </c>
      <c r="X232">
        <f>HYPERLINK("https://klasma.github.io/Logging_0764/tillsyn/A 59362-2024 tillsynsbegäran.docx", "A 59362-2024")</f>
        <v/>
      </c>
      <c r="Y232">
        <f>HYPERLINK("https://klasma.github.io/Logging_0764/tillsynsmail/A 59362-2024 tillsynsbegäran mail.docx", "A 59362-2024")</f>
        <v/>
      </c>
    </row>
    <row r="233" ht="15" customHeight="1">
      <c r="A233" t="inlineStr">
        <is>
          <t>A 39508-2022</t>
        </is>
      </c>
      <c r="B233" s="1" t="n">
        <v>44818</v>
      </c>
      <c r="C233" s="1" t="n">
        <v>46103</v>
      </c>
      <c r="D233" t="inlineStr">
        <is>
          <t>KRONOBERGS LÄN</t>
        </is>
      </c>
      <c r="E233" t="inlineStr">
        <is>
          <t>MARKARYD</t>
        </is>
      </c>
      <c r="F233" t="inlineStr">
        <is>
          <t>Kommuner</t>
        </is>
      </c>
      <c r="G233" t="n">
        <v>45.6</v>
      </c>
      <c r="H233" t="n">
        <v>1</v>
      </c>
      <c r="I233" t="n">
        <v>0</v>
      </c>
      <c r="J233" t="n">
        <v>1</v>
      </c>
      <c r="K233" t="n">
        <v>0</v>
      </c>
      <c r="L233" t="n">
        <v>0</v>
      </c>
      <c r="M233" t="n">
        <v>0</v>
      </c>
      <c r="N233" t="n">
        <v>0</v>
      </c>
      <c r="O233" t="n">
        <v>1</v>
      </c>
      <c r="P233" t="n">
        <v>0</v>
      </c>
      <c r="Q233" t="n">
        <v>1</v>
      </c>
      <c r="R233" s="2" t="inlineStr">
        <is>
          <t>Kråka</t>
        </is>
      </c>
      <c r="S233">
        <f>HYPERLINK("https://klasma.github.io/Logging_0767/artfynd/A 39508-2022 artfynd.xlsx", "A 39508-2022")</f>
        <v/>
      </c>
      <c r="T233">
        <f>HYPERLINK("https://klasma.github.io/Logging_0767/kartor/A 39508-2022 karta.png", "A 39508-2022")</f>
        <v/>
      </c>
      <c r="V233">
        <f>HYPERLINK("https://klasma.github.io/Logging_0767/klagomål/A 39508-2022 FSC-klagomål.docx", "A 39508-2022")</f>
        <v/>
      </c>
      <c r="W233">
        <f>HYPERLINK("https://klasma.github.io/Logging_0767/klagomålsmail/A 39508-2022 FSC-klagomål mail.docx", "A 39508-2022")</f>
        <v/>
      </c>
      <c r="X233">
        <f>HYPERLINK("https://klasma.github.io/Logging_0767/tillsyn/A 39508-2022 tillsynsbegäran.docx", "A 39508-2022")</f>
        <v/>
      </c>
      <c r="Y233">
        <f>HYPERLINK("https://klasma.github.io/Logging_0767/tillsynsmail/A 39508-2022 tillsynsbegäran mail.docx", "A 39508-2022")</f>
        <v/>
      </c>
      <c r="Z233">
        <f>HYPERLINK("https://klasma.github.io/Logging_0767/fåglar/A 39508-2022 prioriterade fågelarter.docx", "A 39508-2022")</f>
        <v/>
      </c>
    </row>
    <row r="234" ht="15" customHeight="1">
      <c r="A234" t="inlineStr">
        <is>
          <t>A 15922-2025</t>
        </is>
      </c>
      <c r="B234" s="1" t="n">
        <v>45749.46063657408</v>
      </c>
      <c r="C234" s="1" t="n">
        <v>46103</v>
      </c>
      <c r="D234" t="inlineStr">
        <is>
          <t>KRONOBERGS LÄN</t>
        </is>
      </c>
      <c r="E234" t="inlineStr">
        <is>
          <t>LJUNGBY</t>
        </is>
      </c>
      <c r="G234" t="n">
        <v>4.4</v>
      </c>
      <c r="H234" t="n">
        <v>1</v>
      </c>
      <c r="I234" t="n">
        <v>0</v>
      </c>
      <c r="J234" t="n">
        <v>1</v>
      </c>
      <c r="K234" t="n">
        <v>0</v>
      </c>
      <c r="L234" t="n">
        <v>0</v>
      </c>
      <c r="M234" t="n">
        <v>0</v>
      </c>
      <c r="N234" t="n">
        <v>0</v>
      </c>
      <c r="O234" t="n">
        <v>1</v>
      </c>
      <c r="P234" t="n">
        <v>0</v>
      </c>
      <c r="Q234" t="n">
        <v>1</v>
      </c>
      <c r="R234" s="2" t="inlineStr">
        <is>
          <t>Kungsörn</t>
        </is>
      </c>
      <c r="S234">
        <f>HYPERLINK("https://klasma.github.io/Logging_0781/artfynd/A 15922-2025 artfynd.xlsx", "A 15922-2025")</f>
        <v/>
      </c>
      <c r="T234">
        <f>HYPERLINK("https://klasma.github.io/Logging_0781/kartor/A 15922-2025 karta.png", "A 15922-2025")</f>
        <v/>
      </c>
      <c r="V234">
        <f>HYPERLINK("https://klasma.github.io/Logging_0781/klagomål/A 15922-2025 FSC-klagomål.docx", "A 15922-2025")</f>
        <v/>
      </c>
      <c r="W234">
        <f>HYPERLINK("https://klasma.github.io/Logging_0781/klagomålsmail/A 15922-2025 FSC-klagomål mail.docx", "A 15922-2025")</f>
        <v/>
      </c>
      <c r="X234">
        <f>HYPERLINK("https://klasma.github.io/Logging_0781/tillsyn/A 15922-2025 tillsynsbegäran.docx", "A 15922-2025")</f>
        <v/>
      </c>
      <c r="Y234">
        <f>HYPERLINK("https://klasma.github.io/Logging_0781/tillsynsmail/A 15922-2025 tillsynsbegäran mail.docx", "A 15922-2025")</f>
        <v/>
      </c>
      <c r="Z234">
        <f>HYPERLINK("https://klasma.github.io/Logging_0781/fåglar/A 15922-2025 prioriterade fågelarter.docx", "A 15922-2025")</f>
        <v/>
      </c>
    </row>
    <row r="235" ht="15" customHeight="1">
      <c r="A235" t="inlineStr">
        <is>
          <t>A 12184-2023</t>
        </is>
      </c>
      <c r="B235" s="1" t="n">
        <v>44998</v>
      </c>
      <c r="C235" s="1" t="n">
        <v>46103</v>
      </c>
      <c r="D235" t="inlineStr">
        <is>
          <t>KRONOBERGS LÄN</t>
        </is>
      </c>
      <c r="E235" t="inlineStr">
        <is>
          <t>UPPVIDINGE</t>
        </is>
      </c>
      <c r="G235" t="n">
        <v>0.6</v>
      </c>
      <c r="H235" t="n">
        <v>0</v>
      </c>
      <c r="I235" t="n">
        <v>1</v>
      </c>
      <c r="J235" t="n">
        <v>0</v>
      </c>
      <c r="K235" t="n">
        <v>0</v>
      </c>
      <c r="L235" t="n">
        <v>0</v>
      </c>
      <c r="M235" t="n">
        <v>0</v>
      </c>
      <c r="N235" t="n">
        <v>0</v>
      </c>
      <c r="O235" t="n">
        <v>0</v>
      </c>
      <c r="P235" t="n">
        <v>0</v>
      </c>
      <c r="Q235" t="n">
        <v>1</v>
      </c>
      <c r="R235" s="2" t="inlineStr">
        <is>
          <t>Fjällig taggsvamp s.str.</t>
        </is>
      </c>
      <c r="S235">
        <f>HYPERLINK("https://klasma.github.io/Logging_0760/artfynd/A 12184-2023 artfynd.xlsx", "A 12184-2023")</f>
        <v/>
      </c>
      <c r="T235">
        <f>HYPERLINK("https://klasma.github.io/Logging_0760/kartor/A 12184-2023 karta.png", "A 12184-2023")</f>
        <v/>
      </c>
      <c r="V235">
        <f>HYPERLINK("https://klasma.github.io/Logging_0760/klagomål/A 12184-2023 FSC-klagomål.docx", "A 12184-2023")</f>
        <v/>
      </c>
      <c r="W235">
        <f>HYPERLINK("https://klasma.github.io/Logging_0760/klagomålsmail/A 12184-2023 FSC-klagomål mail.docx", "A 12184-2023")</f>
        <v/>
      </c>
      <c r="X235">
        <f>HYPERLINK("https://klasma.github.io/Logging_0760/tillsyn/A 12184-2023 tillsynsbegäran.docx", "A 12184-2023")</f>
        <v/>
      </c>
      <c r="Y235">
        <f>HYPERLINK("https://klasma.github.io/Logging_0760/tillsynsmail/A 12184-2023 tillsynsbegäran mail.docx", "A 12184-2023")</f>
        <v/>
      </c>
    </row>
    <row r="236" ht="15" customHeight="1">
      <c r="A236" t="inlineStr">
        <is>
          <t>A 21107-2025</t>
        </is>
      </c>
      <c r="B236" s="1" t="n">
        <v>45777.67229166667</v>
      </c>
      <c r="C236" s="1" t="n">
        <v>46103</v>
      </c>
      <c r="D236" t="inlineStr">
        <is>
          <t>KRONOBERGS LÄN</t>
        </is>
      </c>
      <c r="E236" t="inlineStr">
        <is>
          <t>VÄXJÖ</t>
        </is>
      </c>
      <c r="G236" t="n">
        <v>5.6</v>
      </c>
      <c r="H236" t="n">
        <v>1</v>
      </c>
      <c r="I236" t="n">
        <v>0</v>
      </c>
      <c r="J236" t="n">
        <v>1</v>
      </c>
      <c r="K236" t="n">
        <v>0</v>
      </c>
      <c r="L236" t="n">
        <v>0</v>
      </c>
      <c r="M236" t="n">
        <v>0</v>
      </c>
      <c r="N236" t="n">
        <v>0</v>
      </c>
      <c r="O236" t="n">
        <v>1</v>
      </c>
      <c r="P236" t="n">
        <v>0</v>
      </c>
      <c r="Q236" t="n">
        <v>1</v>
      </c>
      <c r="R236" s="2" t="inlineStr">
        <is>
          <t>Fjällvråk</t>
        </is>
      </c>
      <c r="S236">
        <f>HYPERLINK("https://klasma.github.io/Logging_0780/artfynd/A 21107-2025 artfynd.xlsx", "A 21107-2025")</f>
        <v/>
      </c>
      <c r="T236">
        <f>HYPERLINK("https://klasma.github.io/Logging_0780/kartor/A 21107-2025 karta.png", "A 21107-2025")</f>
        <v/>
      </c>
      <c r="V236">
        <f>HYPERLINK("https://klasma.github.io/Logging_0780/klagomål/A 21107-2025 FSC-klagomål.docx", "A 21107-2025")</f>
        <v/>
      </c>
      <c r="W236">
        <f>HYPERLINK("https://klasma.github.io/Logging_0780/klagomålsmail/A 21107-2025 FSC-klagomål mail.docx", "A 21107-2025")</f>
        <v/>
      </c>
      <c r="X236">
        <f>HYPERLINK("https://klasma.github.io/Logging_0780/tillsyn/A 21107-2025 tillsynsbegäran.docx", "A 21107-2025")</f>
        <v/>
      </c>
      <c r="Y236">
        <f>HYPERLINK("https://klasma.github.io/Logging_0780/tillsynsmail/A 21107-2025 tillsynsbegäran mail.docx", "A 21107-2025")</f>
        <v/>
      </c>
      <c r="Z236">
        <f>HYPERLINK("https://klasma.github.io/Logging_0780/fåglar/A 21107-2025 prioriterade fågelarter.docx", "A 21107-2025")</f>
        <v/>
      </c>
    </row>
    <row r="237" ht="15" customHeight="1">
      <c r="A237" t="inlineStr">
        <is>
          <t>A 38339-2024</t>
        </is>
      </c>
      <c r="B237" s="1" t="n">
        <v>45545.68635416667</v>
      </c>
      <c r="C237" s="1" t="n">
        <v>46103</v>
      </c>
      <c r="D237" t="inlineStr">
        <is>
          <t>KRONOBERGS LÄN</t>
        </is>
      </c>
      <c r="E237" t="inlineStr">
        <is>
          <t>VÄXJÖ</t>
        </is>
      </c>
      <c r="G237" t="n">
        <v>4.9</v>
      </c>
      <c r="H237" t="n">
        <v>0</v>
      </c>
      <c r="I237" t="n">
        <v>0</v>
      </c>
      <c r="J237" t="n">
        <v>1</v>
      </c>
      <c r="K237" t="n">
        <v>0</v>
      </c>
      <c r="L237" t="n">
        <v>0</v>
      </c>
      <c r="M237" t="n">
        <v>0</v>
      </c>
      <c r="N237" t="n">
        <v>0</v>
      </c>
      <c r="O237" t="n">
        <v>1</v>
      </c>
      <c r="P237" t="n">
        <v>0</v>
      </c>
      <c r="Q237" t="n">
        <v>1</v>
      </c>
      <c r="R237" s="2" t="inlineStr">
        <is>
          <t>Tallriska</t>
        </is>
      </c>
      <c r="S237">
        <f>HYPERLINK("https://klasma.github.io/Logging_0780/artfynd/A 38339-2024 artfynd.xlsx", "A 38339-2024")</f>
        <v/>
      </c>
      <c r="T237">
        <f>HYPERLINK("https://klasma.github.io/Logging_0780/kartor/A 38339-2024 karta.png", "A 38339-2024")</f>
        <v/>
      </c>
      <c r="V237">
        <f>HYPERLINK("https://klasma.github.io/Logging_0780/klagomål/A 38339-2024 FSC-klagomål.docx", "A 38339-2024")</f>
        <v/>
      </c>
      <c r="W237">
        <f>HYPERLINK("https://klasma.github.io/Logging_0780/klagomålsmail/A 38339-2024 FSC-klagomål mail.docx", "A 38339-2024")</f>
        <v/>
      </c>
      <c r="X237">
        <f>HYPERLINK("https://klasma.github.io/Logging_0780/tillsyn/A 38339-2024 tillsynsbegäran.docx", "A 38339-2024")</f>
        <v/>
      </c>
      <c r="Y237">
        <f>HYPERLINK("https://klasma.github.io/Logging_0780/tillsynsmail/A 38339-2024 tillsynsbegäran mail.docx", "A 38339-2024")</f>
        <v/>
      </c>
    </row>
    <row r="238" ht="15" customHeight="1">
      <c r="A238" t="inlineStr">
        <is>
          <t>A 9876-2025</t>
        </is>
      </c>
      <c r="B238" s="1" t="n">
        <v>45716.65045138889</v>
      </c>
      <c r="C238" s="1" t="n">
        <v>46103</v>
      </c>
      <c r="D238" t="inlineStr">
        <is>
          <t>KRONOBERGS LÄN</t>
        </is>
      </c>
      <c r="E238" t="inlineStr">
        <is>
          <t>ÄLMHULT</t>
        </is>
      </c>
      <c r="F238" t="inlineStr">
        <is>
          <t>Sveaskog</t>
        </is>
      </c>
      <c r="G238" t="n">
        <v>4.1</v>
      </c>
      <c r="H238" t="n">
        <v>1</v>
      </c>
      <c r="I238" t="n">
        <v>0</v>
      </c>
      <c r="J238" t="n">
        <v>0</v>
      </c>
      <c r="K238" t="n">
        <v>0</v>
      </c>
      <c r="L238" t="n">
        <v>0</v>
      </c>
      <c r="M238" t="n">
        <v>0</v>
      </c>
      <c r="N238" t="n">
        <v>0</v>
      </c>
      <c r="O238" t="n">
        <v>0</v>
      </c>
      <c r="P238" t="n">
        <v>0</v>
      </c>
      <c r="Q238" t="n">
        <v>1</v>
      </c>
      <c r="R238" s="2" t="inlineStr">
        <is>
          <t>Mattlummer</t>
        </is>
      </c>
      <c r="S238">
        <f>HYPERLINK("https://klasma.github.io/Logging_0765/artfynd/A 9876-2025 artfynd.xlsx", "A 9876-2025")</f>
        <v/>
      </c>
      <c r="T238">
        <f>HYPERLINK("https://klasma.github.io/Logging_0765/kartor/A 9876-2025 karta.png", "A 9876-2025")</f>
        <v/>
      </c>
      <c r="V238">
        <f>HYPERLINK("https://klasma.github.io/Logging_0765/klagomål/A 9876-2025 FSC-klagomål.docx", "A 9876-2025")</f>
        <v/>
      </c>
      <c r="W238">
        <f>HYPERLINK("https://klasma.github.io/Logging_0765/klagomålsmail/A 9876-2025 FSC-klagomål mail.docx", "A 9876-2025")</f>
        <v/>
      </c>
      <c r="X238">
        <f>HYPERLINK("https://klasma.github.io/Logging_0765/tillsyn/A 9876-2025 tillsynsbegäran.docx", "A 9876-2025")</f>
        <v/>
      </c>
      <c r="Y238">
        <f>HYPERLINK("https://klasma.github.io/Logging_0765/tillsynsmail/A 9876-2025 tillsynsbegäran mail.docx", "A 9876-2025")</f>
        <v/>
      </c>
    </row>
    <row r="239" ht="15" customHeight="1">
      <c r="A239" t="inlineStr">
        <is>
          <t>A 21527-2025</t>
        </is>
      </c>
      <c r="B239" s="1" t="n">
        <v>45782.64805555555</v>
      </c>
      <c r="C239" s="1" t="n">
        <v>46103</v>
      </c>
      <c r="D239" t="inlineStr">
        <is>
          <t>KRONOBERGS LÄN</t>
        </is>
      </c>
      <c r="E239" t="inlineStr">
        <is>
          <t>VÄXJÖ</t>
        </is>
      </c>
      <c r="G239" t="n">
        <v>1.3</v>
      </c>
      <c r="H239" t="n">
        <v>0</v>
      </c>
      <c r="I239" t="n">
        <v>0</v>
      </c>
      <c r="J239" t="n">
        <v>1</v>
      </c>
      <c r="K239" t="n">
        <v>0</v>
      </c>
      <c r="L239" t="n">
        <v>0</v>
      </c>
      <c r="M239" t="n">
        <v>0</v>
      </c>
      <c r="N239" t="n">
        <v>0</v>
      </c>
      <c r="O239" t="n">
        <v>1</v>
      </c>
      <c r="P239" t="n">
        <v>0</v>
      </c>
      <c r="Q239" t="n">
        <v>1</v>
      </c>
      <c r="R239" s="2" t="inlineStr">
        <is>
          <t>Linmåra/småsnärjmåra</t>
        </is>
      </c>
      <c r="S239">
        <f>HYPERLINK("https://klasma.github.io/Logging_0780/artfynd/A 21527-2025 artfynd.xlsx", "A 21527-2025")</f>
        <v/>
      </c>
      <c r="T239">
        <f>HYPERLINK("https://klasma.github.io/Logging_0780/kartor/A 21527-2025 karta.png", "A 21527-2025")</f>
        <v/>
      </c>
      <c r="V239">
        <f>HYPERLINK("https://klasma.github.io/Logging_0780/klagomål/A 21527-2025 FSC-klagomål.docx", "A 21527-2025")</f>
        <v/>
      </c>
      <c r="W239">
        <f>HYPERLINK("https://klasma.github.io/Logging_0780/klagomålsmail/A 21527-2025 FSC-klagomål mail.docx", "A 21527-2025")</f>
        <v/>
      </c>
      <c r="X239">
        <f>HYPERLINK("https://klasma.github.io/Logging_0780/tillsyn/A 21527-2025 tillsynsbegäran.docx", "A 21527-2025")</f>
        <v/>
      </c>
      <c r="Y239">
        <f>HYPERLINK("https://klasma.github.io/Logging_0780/tillsynsmail/A 21527-2025 tillsynsbegäran mail.docx", "A 21527-2025")</f>
        <v/>
      </c>
    </row>
    <row r="240" ht="15" customHeight="1">
      <c r="A240" t="inlineStr">
        <is>
          <t>A 19472-2022</t>
        </is>
      </c>
      <c r="B240" s="1" t="n">
        <v>44693.45207175926</v>
      </c>
      <c r="C240" s="1" t="n">
        <v>46103</v>
      </c>
      <c r="D240" t="inlineStr">
        <is>
          <t>KRONOBERGS LÄN</t>
        </is>
      </c>
      <c r="E240" t="inlineStr">
        <is>
          <t>VÄXJÖ</t>
        </is>
      </c>
      <c r="G240" t="n">
        <v>0.7</v>
      </c>
      <c r="H240" t="n">
        <v>0</v>
      </c>
      <c r="I240" t="n">
        <v>0</v>
      </c>
      <c r="J240" t="n">
        <v>0</v>
      </c>
      <c r="K240" t="n">
        <v>0</v>
      </c>
      <c r="L240" t="n">
        <v>0</v>
      </c>
      <c r="M240" t="n">
        <v>0</v>
      </c>
      <c r="N240" t="n">
        <v>0</v>
      </c>
      <c r="O240" t="n">
        <v>0</v>
      </c>
      <c r="P240" t="n">
        <v>0</v>
      </c>
      <c r="Q240" t="n">
        <v>0</v>
      </c>
      <c r="R240" s="2" t="inlineStr"/>
    </row>
    <row r="241" ht="15" customHeight="1">
      <c r="A241" t="inlineStr">
        <is>
          <t>A 30989-2022</t>
        </is>
      </c>
      <c r="B241" s="1" t="n">
        <v>44768</v>
      </c>
      <c r="C241" s="1" t="n">
        <v>46103</v>
      </c>
      <c r="D241" t="inlineStr">
        <is>
          <t>KRONOBERGS LÄN</t>
        </is>
      </c>
      <c r="E241" t="inlineStr">
        <is>
          <t>ALVESTA</t>
        </is>
      </c>
      <c r="G241" t="n">
        <v>12.8</v>
      </c>
      <c r="H241" t="n">
        <v>0</v>
      </c>
      <c r="I241" t="n">
        <v>0</v>
      </c>
      <c r="J241" t="n">
        <v>0</v>
      </c>
      <c r="K241" t="n">
        <v>0</v>
      </c>
      <c r="L241" t="n">
        <v>0</v>
      </c>
      <c r="M241" t="n">
        <v>0</v>
      </c>
      <c r="N241" t="n">
        <v>0</v>
      </c>
      <c r="O241" t="n">
        <v>0</v>
      </c>
      <c r="P241" t="n">
        <v>0</v>
      </c>
      <c r="Q241" t="n">
        <v>0</v>
      </c>
      <c r="R241" s="2" t="inlineStr"/>
    </row>
    <row r="242" ht="15" customHeight="1">
      <c r="A242" t="inlineStr">
        <is>
          <t>A 38397-2022</t>
        </is>
      </c>
      <c r="B242" s="1" t="n">
        <v>44812</v>
      </c>
      <c r="C242" s="1" t="n">
        <v>46103</v>
      </c>
      <c r="D242" t="inlineStr">
        <is>
          <t>KRONOBERGS LÄN</t>
        </is>
      </c>
      <c r="E242" t="inlineStr">
        <is>
          <t>VÄXJÖ</t>
        </is>
      </c>
      <c r="G242" t="n">
        <v>1.2</v>
      </c>
      <c r="H242" t="n">
        <v>0</v>
      </c>
      <c r="I242" t="n">
        <v>0</v>
      </c>
      <c r="J242" t="n">
        <v>0</v>
      </c>
      <c r="K242" t="n">
        <v>0</v>
      </c>
      <c r="L242" t="n">
        <v>0</v>
      </c>
      <c r="M242" t="n">
        <v>0</v>
      </c>
      <c r="N242" t="n">
        <v>0</v>
      </c>
      <c r="O242" t="n">
        <v>0</v>
      </c>
      <c r="P242" t="n">
        <v>0</v>
      </c>
      <c r="Q242" t="n">
        <v>0</v>
      </c>
      <c r="R242" s="2" t="inlineStr"/>
    </row>
    <row r="243" ht="15" customHeight="1">
      <c r="A243" t="inlineStr">
        <is>
          <t>A 36764-2022</t>
        </is>
      </c>
      <c r="B243" s="1" t="n">
        <v>44805.45337962963</v>
      </c>
      <c r="C243" s="1" t="n">
        <v>46103</v>
      </c>
      <c r="D243" t="inlineStr">
        <is>
          <t>KRONOBERGS LÄN</t>
        </is>
      </c>
      <c r="E243" t="inlineStr">
        <is>
          <t>ALVESTA</t>
        </is>
      </c>
      <c r="G243" t="n">
        <v>0.7</v>
      </c>
      <c r="H243" t="n">
        <v>0</v>
      </c>
      <c r="I243" t="n">
        <v>0</v>
      </c>
      <c r="J243" t="n">
        <v>0</v>
      </c>
      <c r="K243" t="n">
        <v>0</v>
      </c>
      <c r="L243" t="n">
        <v>0</v>
      </c>
      <c r="M243" t="n">
        <v>0</v>
      </c>
      <c r="N243" t="n">
        <v>0</v>
      </c>
      <c r="O243" t="n">
        <v>0</v>
      </c>
      <c r="P243" t="n">
        <v>0</v>
      </c>
      <c r="Q243" t="n">
        <v>0</v>
      </c>
      <c r="R243" s="2" t="inlineStr"/>
    </row>
    <row r="244" ht="15" customHeight="1">
      <c r="A244" t="inlineStr">
        <is>
          <t>A 44576-2022</t>
        </is>
      </c>
      <c r="B244" s="1" t="n">
        <v>44840.49480324074</v>
      </c>
      <c r="C244" s="1" t="n">
        <v>46103</v>
      </c>
      <c r="D244" t="inlineStr">
        <is>
          <t>KRONOBERGS LÄN</t>
        </is>
      </c>
      <c r="E244" t="inlineStr">
        <is>
          <t>LESSEBO</t>
        </is>
      </c>
      <c r="G244" t="n">
        <v>0.6</v>
      </c>
      <c r="H244" t="n">
        <v>0</v>
      </c>
      <c r="I244" t="n">
        <v>0</v>
      </c>
      <c r="J244" t="n">
        <v>0</v>
      </c>
      <c r="K244" t="n">
        <v>0</v>
      </c>
      <c r="L244" t="n">
        <v>0</v>
      </c>
      <c r="M244" t="n">
        <v>0</v>
      </c>
      <c r="N244" t="n">
        <v>0</v>
      </c>
      <c r="O244" t="n">
        <v>0</v>
      </c>
      <c r="P244" t="n">
        <v>0</v>
      </c>
      <c r="Q244" t="n">
        <v>0</v>
      </c>
      <c r="R244" s="2" t="inlineStr"/>
    </row>
    <row r="245" ht="15" customHeight="1">
      <c r="A245" t="inlineStr">
        <is>
          <t>A 23634-2021</t>
        </is>
      </c>
      <c r="B245" s="1" t="n">
        <v>44334</v>
      </c>
      <c r="C245" s="1" t="n">
        <v>46103</v>
      </c>
      <c r="D245" t="inlineStr">
        <is>
          <t>KRONOBERGS LÄN</t>
        </is>
      </c>
      <c r="E245" t="inlineStr">
        <is>
          <t>VÄXJÖ</t>
        </is>
      </c>
      <c r="G245" t="n">
        <v>0.1</v>
      </c>
      <c r="H245" t="n">
        <v>0</v>
      </c>
      <c r="I245" t="n">
        <v>0</v>
      </c>
      <c r="J245" t="n">
        <v>0</v>
      </c>
      <c r="K245" t="n">
        <v>0</v>
      </c>
      <c r="L245" t="n">
        <v>0</v>
      </c>
      <c r="M245" t="n">
        <v>0</v>
      </c>
      <c r="N245" t="n">
        <v>0</v>
      </c>
      <c r="O245" t="n">
        <v>0</v>
      </c>
      <c r="P245" t="n">
        <v>0</v>
      </c>
      <c r="Q245" t="n">
        <v>0</v>
      </c>
      <c r="R245" s="2" t="inlineStr"/>
    </row>
    <row r="246" ht="15" customHeight="1">
      <c r="A246" t="inlineStr">
        <is>
          <t>A 18630-2021</t>
        </is>
      </c>
      <c r="B246" s="1" t="n">
        <v>44306</v>
      </c>
      <c r="C246" s="1" t="n">
        <v>46103</v>
      </c>
      <c r="D246" t="inlineStr">
        <is>
          <t>KRONOBERGS LÄN</t>
        </is>
      </c>
      <c r="E246" t="inlineStr">
        <is>
          <t>LESSEBO</t>
        </is>
      </c>
      <c r="G246" t="n">
        <v>0.6</v>
      </c>
      <c r="H246" t="n">
        <v>0</v>
      </c>
      <c r="I246" t="n">
        <v>0</v>
      </c>
      <c r="J246" t="n">
        <v>0</v>
      </c>
      <c r="K246" t="n">
        <v>0</v>
      </c>
      <c r="L246" t="n">
        <v>0</v>
      </c>
      <c r="M246" t="n">
        <v>0</v>
      </c>
      <c r="N246" t="n">
        <v>0</v>
      </c>
      <c r="O246" t="n">
        <v>0</v>
      </c>
      <c r="P246" t="n">
        <v>0</v>
      </c>
      <c r="Q246" t="n">
        <v>0</v>
      </c>
      <c r="R246" s="2" t="inlineStr"/>
    </row>
    <row r="247" ht="15" customHeight="1">
      <c r="A247" t="inlineStr">
        <is>
          <t>A 55602-2022</t>
        </is>
      </c>
      <c r="B247" s="1" t="n">
        <v>44888.43023148148</v>
      </c>
      <c r="C247" s="1" t="n">
        <v>46103</v>
      </c>
      <c r="D247" t="inlineStr">
        <is>
          <t>KRONOBERGS LÄN</t>
        </is>
      </c>
      <c r="E247" t="inlineStr">
        <is>
          <t>TINGSRYD</t>
        </is>
      </c>
      <c r="G247" t="n">
        <v>0.5</v>
      </c>
      <c r="H247" t="n">
        <v>0</v>
      </c>
      <c r="I247" t="n">
        <v>0</v>
      </c>
      <c r="J247" t="n">
        <v>0</v>
      </c>
      <c r="K247" t="n">
        <v>0</v>
      </c>
      <c r="L247" t="n">
        <v>0</v>
      </c>
      <c r="M247" t="n">
        <v>0</v>
      </c>
      <c r="N247" t="n">
        <v>0</v>
      </c>
      <c r="O247" t="n">
        <v>0</v>
      </c>
      <c r="P247" t="n">
        <v>0</v>
      </c>
      <c r="Q247" t="n">
        <v>0</v>
      </c>
      <c r="R247" s="2" t="inlineStr"/>
    </row>
    <row r="248" ht="15" customHeight="1">
      <c r="A248" t="inlineStr">
        <is>
          <t>A 15578-2021</t>
        </is>
      </c>
      <c r="B248" s="1" t="n">
        <v>44285.63270833333</v>
      </c>
      <c r="C248" s="1" t="n">
        <v>46103</v>
      </c>
      <c r="D248" t="inlineStr">
        <is>
          <t>KRONOBERGS LÄN</t>
        </is>
      </c>
      <c r="E248" t="inlineStr">
        <is>
          <t>TINGSRYD</t>
        </is>
      </c>
      <c r="G248" t="n">
        <v>1.3</v>
      </c>
      <c r="H248" t="n">
        <v>0</v>
      </c>
      <c r="I248" t="n">
        <v>0</v>
      </c>
      <c r="J248" t="n">
        <v>0</v>
      </c>
      <c r="K248" t="n">
        <v>0</v>
      </c>
      <c r="L248" t="n">
        <v>0</v>
      </c>
      <c r="M248" t="n">
        <v>0</v>
      </c>
      <c r="N248" t="n">
        <v>0</v>
      </c>
      <c r="O248" t="n">
        <v>0</v>
      </c>
      <c r="P248" t="n">
        <v>0</v>
      </c>
      <c r="Q248" t="n">
        <v>0</v>
      </c>
      <c r="R248" s="2" t="inlineStr"/>
    </row>
    <row r="249" ht="15" customHeight="1">
      <c r="A249" t="inlineStr">
        <is>
          <t>A 23624-2021</t>
        </is>
      </c>
      <c r="B249" s="1" t="n">
        <v>44334</v>
      </c>
      <c r="C249" s="1" t="n">
        <v>46103</v>
      </c>
      <c r="D249" t="inlineStr">
        <is>
          <t>KRONOBERGS LÄN</t>
        </is>
      </c>
      <c r="E249" t="inlineStr">
        <is>
          <t>TINGSRYD</t>
        </is>
      </c>
      <c r="G249" t="n">
        <v>1.1</v>
      </c>
      <c r="H249" t="n">
        <v>0</v>
      </c>
      <c r="I249" t="n">
        <v>0</v>
      </c>
      <c r="J249" t="n">
        <v>0</v>
      </c>
      <c r="K249" t="n">
        <v>0</v>
      </c>
      <c r="L249" t="n">
        <v>0</v>
      </c>
      <c r="M249" t="n">
        <v>0</v>
      </c>
      <c r="N249" t="n">
        <v>0</v>
      </c>
      <c r="O249" t="n">
        <v>0</v>
      </c>
      <c r="P249" t="n">
        <v>0</v>
      </c>
      <c r="Q249" t="n">
        <v>0</v>
      </c>
      <c r="R249" s="2" t="inlineStr"/>
    </row>
    <row r="250" ht="15" customHeight="1">
      <c r="A250" t="inlineStr">
        <is>
          <t>A 28644-2021</t>
        </is>
      </c>
      <c r="B250" s="1" t="n">
        <v>44357.34326388889</v>
      </c>
      <c r="C250" s="1" t="n">
        <v>46103</v>
      </c>
      <c r="D250" t="inlineStr">
        <is>
          <t>KRONOBERGS LÄN</t>
        </is>
      </c>
      <c r="E250" t="inlineStr">
        <is>
          <t>LJUNGBY</t>
        </is>
      </c>
      <c r="G250" t="n">
        <v>0.9</v>
      </c>
      <c r="H250" t="n">
        <v>0</v>
      </c>
      <c r="I250" t="n">
        <v>0</v>
      </c>
      <c r="J250" t="n">
        <v>0</v>
      </c>
      <c r="K250" t="n">
        <v>0</v>
      </c>
      <c r="L250" t="n">
        <v>0</v>
      </c>
      <c r="M250" t="n">
        <v>0</v>
      </c>
      <c r="N250" t="n">
        <v>0</v>
      </c>
      <c r="O250" t="n">
        <v>0</v>
      </c>
      <c r="P250" t="n">
        <v>0</v>
      </c>
      <c r="Q250" t="n">
        <v>0</v>
      </c>
      <c r="R250" s="2" t="inlineStr"/>
    </row>
    <row r="251" ht="15" customHeight="1">
      <c r="A251" t="inlineStr">
        <is>
          <t>A 29297-2021</t>
        </is>
      </c>
      <c r="B251" s="1" t="n">
        <v>44361</v>
      </c>
      <c r="C251" s="1" t="n">
        <v>46103</v>
      </c>
      <c r="D251" t="inlineStr">
        <is>
          <t>KRONOBERGS LÄN</t>
        </is>
      </c>
      <c r="E251" t="inlineStr">
        <is>
          <t>VÄXJÖ</t>
        </is>
      </c>
      <c r="G251" t="n">
        <v>3.9</v>
      </c>
      <c r="H251" t="n">
        <v>0</v>
      </c>
      <c r="I251" t="n">
        <v>0</v>
      </c>
      <c r="J251" t="n">
        <v>0</v>
      </c>
      <c r="K251" t="n">
        <v>0</v>
      </c>
      <c r="L251" t="n">
        <v>0</v>
      </c>
      <c r="M251" t="n">
        <v>0</v>
      </c>
      <c r="N251" t="n">
        <v>0</v>
      </c>
      <c r="O251" t="n">
        <v>0</v>
      </c>
      <c r="P251" t="n">
        <v>0</v>
      </c>
      <c r="Q251" t="n">
        <v>0</v>
      </c>
      <c r="R251" s="2" t="inlineStr"/>
    </row>
    <row r="252" ht="15" customHeight="1">
      <c r="A252" t="inlineStr">
        <is>
          <t>A 36433-2021</t>
        </is>
      </c>
      <c r="B252" s="1" t="n">
        <v>44390</v>
      </c>
      <c r="C252" s="1" t="n">
        <v>46103</v>
      </c>
      <c r="D252" t="inlineStr">
        <is>
          <t>KRONOBERGS LÄN</t>
        </is>
      </c>
      <c r="E252" t="inlineStr">
        <is>
          <t>ALVESTA</t>
        </is>
      </c>
      <c r="G252" t="n">
        <v>0.6</v>
      </c>
      <c r="H252" t="n">
        <v>0</v>
      </c>
      <c r="I252" t="n">
        <v>0</v>
      </c>
      <c r="J252" t="n">
        <v>0</v>
      </c>
      <c r="K252" t="n">
        <v>0</v>
      </c>
      <c r="L252" t="n">
        <v>0</v>
      </c>
      <c r="M252" t="n">
        <v>0</v>
      </c>
      <c r="N252" t="n">
        <v>0</v>
      </c>
      <c r="O252" t="n">
        <v>0</v>
      </c>
      <c r="P252" t="n">
        <v>0</v>
      </c>
      <c r="Q252" t="n">
        <v>0</v>
      </c>
      <c r="R252" s="2" t="inlineStr"/>
    </row>
    <row r="253" ht="15" customHeight="1">
      <c r="A253" t="inlineStr">
        <is>
          <t>A 52962-2021</t>
        </is>
      </c>
      <c r="B253" s="1" t="n">
        <v>44467.6135300926</v>
      </c>
      <c r="C253" s="1" t="n">
        <v>46103</v>
      </c>
      <c r="D253" t="inlineStr">
        <is>
          <t>KRONOBERGS LÄN</t>
        </is>
      </c>
      <c r="E253" t="inlineStr">
        <is>
          <t>LJUNGBY</t>
        </is>
      </c>
      <c r="G253" t="n">
        <v>1.9</v>
      </c>
      <c r="H253" t="n">
        <v>0</v>
      </c>
      <c r="I253" t="n">
        <v>0</v>
      </c>
      <c r="J253" t="n">
        <v>0</v>
      </c>
      <c r="K253" t="n">
        <v>0</v>
      </c>
      <c r="L253" t="n">
        <v>0</v>
      </c>
      <c r="M253" t="n">
        <v>0</v>
      </c>
      <c r="N253" t="n">
        <v>0</v>
      </c>
      <c r="O253" t="n">
        <v>0</v>
      </c>
      <c r="P253" t="n">
        <v>0</v>
      </c>
      <c r="Q253" t="n">
        <v>0</v>
      </c>
      <c r="R253" s="2" t="inlineStr"/>
    </row>
    <row r="254" ht="15" customHeight="1">
      <c r="A254" t="inlineStr">
        <is>
          <t>A 50240-2021</t>
        </is>
      </c>
      <c r="B254" s="1" t="n">
        <v>44458.3855787037</v>
      </c>
      <c r="C254" s="1" t="n">
        <v>46103</v>
      </c>
      <c r="D254" t="inlineStr">
        <is>
          <t>KRONOBERGS LÄN</t>
        </is>
      </c>
      <c r="E254" t="inlineStr">
        <is>
          <t>VÄXJÖ</t>
        </is>
      </c>
      <c r="G254" t="n">
        <v>1.9</v>
      </c>
      <c r="H254" t="n">
        <v>0</v>
      </c>
      <c r="I254" t="n">
        <v>0</v>
      </c>
      <c r="J254" t="n">
        <v>0</v>
      </c>
      <c r="K254" t="n">
        <v>0</v>
      </c>
      <c r="L254" t="n">
        <v>0</v>
      </c>
      <c r="M254" t="n">
        <v>0</v>
      </c>
      <c r="N254" t="n">
        <v>0</v>
      </c>
      <c r="O254" t="n">
        <v>0</v>
      </c>
      <c r="P254" t="n">
        <v>0</v>
      </c>
      <c r="Q254" t="n">
        <v>0</v>
      </c>
      <c r="R254" s="2" t="inlineStr"/>
    </row>
    <row r="255" ht="15" customHeight="1">
      <c r="A255" t="inlineStr">
        <is>
          <t>A 69006-2021</t>
        </is>
      </c>
      <c r="B255" s="1" t="n">
        <v>44530.58934027778</v>
      </c>
      <c r="C255" s="1" t="n">
        <v>46103</v>
      </c>
      <c r="D255" t="inlineStr">
        <is>
          <t>KRONOBERGS LÄN</t>
        </is>
      </c>
      <c r="E255" t="inlineStr">
        <is>
          <t>ALVESTA</t>
        </is>
      </c>
      <c r="G255" t="n">
        <v>1.4</v>
      </c>
      <c r="H255" t="n">
        <v>0</v>
      </c>
      <c r="I255" t="n">
        <v>0</v>
      </c>
      <c r="J255" t="n">
        <v>0</v>
      </c>
      <c r="K255" t="n">
        <v>0</v>
      </c>
      <c r="L255" t="n">
        <v>0</v>
      </c>
      <c r="M255" t="n">
        <v>0</v>
      </c>
      <c r="N255" t="n">
        <v>0</v>
      </c>
      <c r="O255" t="n">
        <v>0</v>
      </c>
      <c r="P255" t="n">
        <v>0</v>
      </c>
      <c r="Q255" t="n">
        <v>0</v>
      </c>
      <c r="R255" s="2" t="inlineStr"/>
    </row>
    <row r="256" ht="15" customHeight="1">
      <c r="A256" t="inlineStr">
        <is>
          <t>A 74041-2021</t>
        </is>
      </c>
      <c r="B256" s="1" t="n">
        <v>44557.47803240741</v>
      </c>
      <c r="C256" s="1" t="n">
        <v>46103</v>
      </c>
      <c r="D256" t="inlineStr">
        <is>
          <t>KRONOBERGS LÄN</t>
        </is>
      </c>
      <c r="E256" t="inlineStr">
        <is>
          <t>TINGSRYD</t>
        </is>
      </c>
      <c r="G256" t="n">
        <v>0.4</v>
      </c>
      <c r="H256" t="n">
        <v>0</v>
      </c>
      <c r="I256" t="n">
        <v>0</v>
      </c>
      <c r="J256" t="n">
        <v>0</v>
      </c>
      <c r="K256" t="n">
        <v>0</v>
      </c>
      <c r="L256" t="n">
        <v>0</v>
      </c>
      <c r="M256" t="n">
        <v>0</v>
      </c>
      <c r="N256" t="n">
        <v>0</v>
      </c>
      <c r="O256" t="n">
        <v>0</v>
      </c>
      <c r="P256" t="n">
        <v>0</v>
      </c>
      <c r="Q256" t="n">
        <v>0</v>
      </c>
      <c r="R256" s="2" t="inlineStr"/>
    </row>
    <row r="257" ht="15" customHeight="1">
      <c r="A257" t="inlineStr">
        <is>
          <t>A 35777-2021</t>
        </is>
      </c>
      <c r="B257" s="1" t="n">
        <v>44386</v>
      </c>
      <c r="C257" s="1" t="n">
        <v>46103</v>
      </c>
      <c r="D257" t="inlineStr">
        <is>
          <t>KRONOBERGS LÄN</t>
        </is>
      </c>
      <c r="E257" t="inlineStr">
        <is>
          <t>UPPVIDINGE</t>
        </is>
      </c>
      <c r="G257" t="n">
        <v>2.5</v>
      </c>
      <c r="H257" t="n">
        <v>0</v>
      </c>
      <c r="I257" t="n">
        <v>0</v>
      </c>
      <c r="J257" t="n">
        <v>0</v>
      </c>
      <c r="K257" t="n">
        <v>0</v>
      </c>
      <c r="L257" t="n">
        <v>0</v>
      </c>
      <c r="M257" t="n">
        <v>0</v>
      </c>
      <c r="N257" t="n">
        <v>0</v>
      </c>
      <c r="O257" t="n">
        <v>0</v>
      </c>
      <c r="P257" t="n">
        <v>0</v>
      </c>
      <c r="Q257" t="n">
        <v>0</v>
      </c>
      <c r="R257" s="2" t="inlineStr"/>
    </row>
    <row r="258" ht="15" customHeight="1">
      <c r="A258" t="inlineStr">
        <is>
          <t>A 35778-2021</t>
        </is>
      </c>
      <c r="B258" s="1" t="n">
        <v>44386</v>
      </c>
      <c r="C258" s="1" t="n">
        <v>46103</v>
      </c>
      <c r="D258" t="inlineStr">
        <is>
          <t>KRONOBERGS LÄN</t>
        </is>
      </c>
      <c r="E258" t="inlineStr">
        <is>
          <t>UPPVIDINGE</t>
        </is>
      </c>
      <c r="G258" t="n">
        <v>1.2</v>
      </c>
      <c r="H258" t="n">
        <v>0</v>
      </c>
      <c r="I258" t="n">
        <v>0</v>
      </c>
      <c r="J258" t="n">
        <v>0</v>
      </c>
      <c r="K258" t="n">
        <v>0</v>
      </c>
      <c r="L258" t="n">
        <v>0</v>
      </c>
      <c r="M258" t="n">
        <v>0</v>
      </c>
      <c r="N258" t="n">
        <v>0</v>
      </c>
      <c r="O258" t="n">
        <v>0</v>
      </c>
      <c r="P258" t="n">
        <v>0</v>
      </c>
      <c r="Q258" t="n">
        <v>0</v>
      </c>
      <c r="R258" s="2" t="inlineStr"/>
    </row>
    <row r="259" ht="15" customHeight="1">
      <c r="A259" t="inlineStr">
        <is>
          <t>A 74452-2021</t>
        </is>
      </c>
      <c r="B259" s="1" t="n">
        <v>44560</v>
      </c>
      <c r="C259" s="1" t="n">
        <v>46103</v>
      </c>
      <c r="D259" t="inlineStr">
        <is>
          <t>KRONOBERGS LÄN</t>
        </is>
      </c>
      <c r="E259" t="inlineStr">
        <is>
          <t>MARKARYD</t>
        </is>
      </c>
      <c r="G259" t="n">
        <v>2.6</v>
      </c>
      <c r="H259" t="n">
        <v>0</v>
      </c>
      <c r="I259" t="n">
        <v>0</v>
      </c>
      <c r="J259" t="n">
        <v>0</v>
      </c>
      <c r="K259" t="n">
        <v>0</v>
      </c>
      <c r="L259" t="n">
        <v>0</v>
      </c>
      <c r="M259" t="n">
        <v>0</v>
      </c>
      <c r="N259" t="n">
        <v>0</v>
      </c>
      <c r="O259" t="n">
        <v>0</v>
      </c>
      <c r="P259" t="n">
        <v>0</v>
      </c>
      <c r="Q259" t="n">
        <v>0</v>
      </c>
      <c r="R259" s="2" t="inlineStr"/>
    </row>
    <row r="260" ht="15" customHeight="1">
      <c r="A260" t="inlineStr">
        <is>
          <t>A 19370-2021</t>
        </is>
      </c>
      <c r="B260" s="1" t="n">
        <v>44309.65885416666</v>
      </c>
      <c r="C260" s="1" t="n">
        <v>46103</v>
      </c>
      <c r="D260" t="inlineStr">
        <is>
          <t>KRONOBERGS LÄN</t>
        </is>
      </c>
      <c r="E260" t="inlineStr">
        <is>
          <t>LJUNGBY</t>
        </is>
      </c>
      <c r="G260" t="n">
        <v>1.5</v>
      </c>
      <c r="H260" t="n">
        <v>0</v>
      </c>
      <c r="I260" t="n">
        <v>0</v>
      </c>
      <c r="J260" t="n">
        <v>0</v>
      </c>
      <c r="K260" t="n">
        <v>0</v>
      </c>
      <c r="L260" t="n">
        <v>0</v>
      </c>
      <c r="M260" t="n">
        <v>0</v>
      </c>
      <c r="N260" t="n">
        <v>0</v>
      </c>
      <c r="O260" t="n">
        <v>0</v>
      </c>
      <c r="P260" t="n">
        <v>0</v>
      </c>
      <c r="Q260" t="n">
        <v>0</v>
      </c>
      <c r="R260" s="2" t="inlineStr"/>
    </row>
    <row r="261" ht="15" customHeight="1">
      <c r="A261" t="inlineStr">
        <is>
          <t>A 8060-2022</t>
        </is>
      </c>
      <c r="B261" s="1" t="n">
        <v>44609.47314814815</v>
      </c>
      <c r="C261" s="1" t="n">
        <v>46103</v>
      </c>
      <c r="D261" t="inlineStr">
        <is>
          <t>KRONOBERGS LÄN</t>
        </is>
      </c>
      <c r="E261" t="inlineStr">
        <is>
          <t>ÄLMHULT</t>
        </is>
      </c>
      <c r="G261" t="n">
        <v>0.4</v>
      </c>
      <c r="H261" t="n">
        <v>0</v>
      </c>
      <c r="I261" t="n">
        <v>0</v>
      </c>
      <c r="J261" t="n">
        <v>0</v>
      </c>
      <c r="K261" t="n">
        <v>0</v>
      </c>
      <c r="L261" t="n">
        <v>0</v>
      </c>
      <c r="M261" t="n">
        <v>0</v>
      </c>
      <c r="N261" t="n">
        <v>0</v>
      </c>
      <c r="O261" t="n">
        <v>0</v>
      </c>
      <c r="P261" t="n">
        <v>0</v>
      </c>
      <c r="Q261" t="n">
        <v>0</v>
      </c>
      <c r="R261" s="2" t="inlineStr"/>
    </row>
    <row r="262" ht="15" customHeight="1">
      <c r="A262" t="inlineStr">
        <is>
          <t>A 66328-2021</t>
        </is>
      </c>
      <c r="B262" s="1" t="n">
        <v>44518.520625</v>
      </c>
      <c r="C262" s="1" t="n">
        <v>46103</v>
      </c>
      <c r="D262" t="inlineStr">
        <is>
          <t>KRONOBERGS LÄN</t>
        </is>
      </c>
      <c r="E262" t="inlineStr">
        <is>
          <t>VÄXJÖ</t>
        </is>
      </c>
      <c r="G262" t="n">
        <v>1</v>
      </c>
      <c r="H262" t="n">
        <v>0</v>
      </c>
      <c r="I262" t="n">
        <v>0</v>
      </c>
      <c r="J262" t="n">
        <v>0</v>
      </c>
      <c r="K262" t="n">
        <v>0</v>
      </c>
      <c r="L262" t="n">
        <v>0</v>
      </c>
      <c r="M262" t="n">
        <v>0</v>
      </c>
      <c r="N262" t="n">
        <v>0</v>
      </c>
      <c r="O262" t="n">
        <v>0</v>
      </c>
      <c r="P262" t="n">
        <v>0</v>
      </c>
      <c r="Q262" t="n">
        <v>0</v>
      </c>
      <c r="R262" s="2" t="inlineStr"/>
    </row>
    <row r="263" ht="15" customHeight="1">
      <c r="A263" t="inlineStr">
        <is>
          <t>A 1032-2022</t>
        </is>
      </c>
      <c r="B263" s="1" t="n">
        <v>44571.63828703704</v>
      </c>
      <c r="C263" s="1" t="n">
        <v>46103</v>
      </c>
      <c r="D263" t="inlineStr">
        <is>
          <t>KRONOBERGS LÄN</t>
        </is>
      </c>
      <c r="E263" t="inlineStr">
        <is>
          <t>LJUNGBY</t>
        </is>
      </c>
      <c r="G263" t="n">
        <v>0.7</v>
      </c>
      <c r="H263" t="n">
        <v>0</v>
      </c>
      <c r="I263" t="n">
        <v>0</v>
      </c>
      <c r="J263" t="n">
        <v>0</v>
      </c>
      <c r="K263" t="n">
        <v>0</v>
      </c>
      <c r="L263" t="n">
        <v>0</v>
      </c>
      <c r="M263" t="n">
        <v>0</v>
      </c>
      <c r="N263" t="n">
        <v>0</v>
      </c>
      <c r="O263" t="n">
        <v>0</v>
      </c>
      <c r="P263" t="n">
        <v>0</v>
      </c>
      <c r="Q263" t="n">
        <v>0</v>
      </c>
      <c r="R263" s="2" t="inlineStr"/>
    </row>
    <row r="264" ht="15" customHeight="1">
      <c r="A264" t="inlineStr">
        <is>
          <t>A 43141-2021</t>
        </is>
      </c>
      <c r="B264" s="1" t="n">
        <v>44431</v>
      </c>
      <c r="C264" s="1" t="n">
        <v>46103</v>
      </c>
      <c r="D264" t="inlineStr">
        <is>
          <t>KRONOBERGS LÄN</t>
        </is>
      </c>
      <c r="E264" t="inlineStr">
        <is>
          <t>LJUNGBY</t>
        </is>
      </c>
      <c r="F264" t="inlineStr">
        <is>
          <t>Bergvik skog väst AB</t>
        </is>
      </c>
      <c r="G264" t="n">
        <v>1.6</v>
      </c>
      <c r="H264" t="n">
        <v>0</v>
      </c>
      <c r="I264" t="n">
        <v>0</v>
      </c>
      <c r="J264" t="n">
        <v>0</v>
      </c>
      <c r="K264" t="n">
        <v>0</v>
      </c>
      <c r="L264" t="n">
        <v>0</v>
      </c>
      <c r="M264" t="n">
        <v>0</v>
      </c>
      <c r="N264" t="n">
        <v>0</v>
      </c>
      <c r="O264" t="n">
        <v>0</v>
      </c>
      <c r="P264" t="n">
        <v>0</v>
      </c>
      <c r="Q264" t="n">
        <v>0</v>
      </c>
      <c r="R264" s="2" t="inlineStr"/>
    </row>
    <row r="265" ht="15" customHeight="1">
      <c r="A265" t="inlineStr">
        <is>
          <t>A 22796-2022</t>
        </is>
      </c>
      <c r="B265" s="1" t="n">
        <v>44715.33956018519</v>
      </c>
      <c r="C265" s="1" t="n">
        <v>46103</v>
      </c>
      <c r="D265" t="inlineStr">
        <is>
          <t>KRONOBERGS LÄN</t>
        </is>
      </c>
      <c r="E265" t="inlineStr">
        <is>
          <t>LJUNGBY</t>
        </is>
      </c>
      <c r="G265" t="n">
        <v>0</v>
      </c>
      <c r="H265" t="n">
        <v>0</v>
      </c>
      <c r="I265" t="n">
        <v>0</v>
      </c>
      <c r="J265" t="n">
        <v>0</v>
      </c>
      <c r="K265" t="n">
        <v>0</v>
      </c>
      <c r="L265" t="n">
        <v>0</v>
      </c>
      <c r="M265" t="n">
        <v>0</v>
      </c>
      <c r="N265" t="n">
        <v>0</v>
      </c>
      <c r="O265" t="n">
        <v>0</v>
      </c>
      <c r="P265" t="n">
        <v>0</v>
      </c>
      <c r="Q265" t="n">
        <v>0</v>
      </c>
      <c r="R265" s="2" t="inlineStr"/>
    </row>
    <row r="266" ht="15" customHeight="1">
      <c r="A266" t="inlineStr">
        <is>
          <t>A 70395-2021</t>
        </is>
      </c>
      <c r="B266" s="1" t="n">
        <v>44536.54855324074</v>
      </c>
      <c r="C266" s="1" t="n">
        <v>46103</v>
      </c>
      <c r="D266" t="inlineStr">
        <is>
          <t>KRONOBERGS LÄN</t>
        </is>
      </c>
      <c r="E266" t="inlineStr">
        <is>
          <t>VÄXJÖ</t>
        </is>
      </c>
      <c r="G266" t="n">
        <v>0.4</v>
      </c>
      <c r="H266" t="n">
        <v>0</v>
      </c>
      <c r="I266" t="n">
        <v>0</v>
      </c>
      <c r="J266" t="n">
        <v>0</v>
      </c>
      <c r="K266" t="n">
        <v>0</v>
      </c>
      <c r="L266" t="n">
        <v>0</v>
      </c>
      <c r="M266" t="n">
        <v>0</v>
      </c>
      <c r="N266" t="n">
        <v>0</v>
      </c>
      <c r="O266" t="n">
        <v>0</v>
      </c>
      <c r="P266" t="n">
        <v>0</v>
      </c>
      <c r="Q266" t="n">
        <v>0</v>
      </c>
      <c r="R266" s="2" t="inlineStr"/>
    </row>
    <row r="267" ht="15" customHeight="1">
      <c r="A267" t="inlineStr">
        <is>
          <t>A 25399-2022</t>
        </is>
      </c>
      <c r="B267" s="1" t="n">
        <v>44732</v>
      </c>
      <c r="C267" s="1" t="n">
        <v>46103</v>
      </c>
      <c r="D267" t="inlineStr">
        <is>
          <t>KRONOBERGS LÄN</t>
        </is>
      </c>
      <c r="E267" t="inlineStr">
        <is>
          <t>TINGSRYD</t>
        </is>
      </c>
      <c r="G267" t="n">
        <v>1.5</v>
      </c>
      <c r="H267" t="n">
        <v>0</v>
      </c>
      <c r="I267" t="n">
        <v>0</v>
      </c>
      <c r="J267" t="n">
        <v>0</v>
      </c>
      <c r="K267" t="n">
        <v>0</v>
      </c>
      <c r="L267" t="n">
        <v>0</v>
      </c>
      <c r="M267" t="n">
        <v>0</v>
      </c>
      <c r="N267" t="n">
        <v>0</v>
      </c>
      <c r="O267" t="n">
        <v>0</v>
      </c>
      <c r="P267" t="n">
        <v>0</v>
      </c>
      <c r="Q267" t="n">
        <v>0</v>
      </c>
      <c r="R267" s="2" t="inlineStr"/>
    </row>
    <row r="268" ht="15" customHeight="1">
      <c r="A268" t="inlineStr">
        <is>
          <t>A 44896-2022</t>
        </is>
      </c>
      <c r="B268" s="1" t="n">
        <v>44841.49872685185</v>
      </c>
      <c r="C268" s="1" t="n">
        <v>46103</v>
      </c>
      <c r="D268" t="inlineStr">
        <is>
          <t>KRONOBERGS LÄN</t>
        </is>
      </c>
      <c r="E268" t="inlineStr">
        <is>
          <t>TINGSRYD</t>
        </is>
      </c>
      <c r="G268" t="n">
        <v>0.7</v>
      </c>
      <c r="H268" t="n">
        <v>0</v>
      </c>
      <c r="I268" t="n">
        <v>0</v>
      </c>
      <c r="J268" t="n">
        <v>0</v>
      </c>
      <c r="K268" t="n">
        <v>0</v>
      </c>
      <c r="L268" t="n">
        <v>0</v>
      </c>
      <c r="M268" t="n">
        <v>0</v>
      </c>
      <c r="N268" t="n">
        <v>0</v>
      </c>
      <c r="O268" t="n">
        <v>0</v>
      </c>
      <c r="P268" t="n">
        <v>0</v>
      </c>
      <c r="Q268" t="n">
        <v>0</v>
      </c>
      <c r="R268" s="2" t="inlineStr"/>
    </row>
    <row r="269" ht="15" customHeight="1">
      <c r="A269" t="inlineStr">
        <is>
          <t>A 38060-2022</t>
        </is>
      </c>
      <c r="B269" s="1" t="n">
        <v>44811.66311342592</v>
      </c>
      <c r="C269" s="1" t="n">
        <v>46103</v>
      </c>
      <c r="D269" t="inlineStr">
        <is>
          <t>KRONOBERGS LÄN</t>
        </is>
      </c>
      <c r="E269" t="inlineStr">
        <is>
          <t>LJUNGBY</t>
        </is>
      </c>
      <c r="G269" t="n">
        <v>2.2</v>
      </c>
      <c r="H269" t="n">
        <v>0</v>
      </c>
      <c r="I269" t="n">
        <v>0</v>
      </c>
      <c r="J269" t="n">
        <v>0</v>
      </c>
      <c r="K269" t="n">
        <v>0</v>
      </c>
      <c r="L269" t="n">
        <v>0</v>
      </c>
      <c r="M269" t="n">
        <v>0</v>
      </c>
      <c r="N269" t="n">
        <v>0</v>
      </c>
      <c r="O269" t="n">
        <v>0</v>
      </c>
      <c r="P269" t="n">
        <v>0</v>
      </c>
      <c r="Q269" t="n">
        <v>0</v>
      </c>
      <c r="R269" s="2" t="inlineStr"/>
    </row>
    <row r="270" ht="15" customHeight="1">
      <c r="A270" t="inlineStr">
        <is>
          <t>A 67867-2021</t>
        </is>
      </c>
      <c r="B270" s="1" t="n">
        <v>44525.50052083333</v>
      </c>
      <c r="C270" s="1" t="n">
        <v>46103</v>
      </c>
      <c r="D270" t="inlineStr">
        <is>
          <t>KRONOBERGS LÄN</t>
        </is>
      </c>
      <c r="E270" t="inlineStr">
        <is>
          <t>ÄLMHULT</t>
        </is>
      </c>
      <c r="G270" t="n">
        <v>1.9</v>
      </c>
      <c r="H270" t="n">
        <v>0</v>
      </c>
      <c r="I270" t="n">
        <v>0</v>
      </c>
      <c r="J270" t="n">
        <v>0</v>
      </c>
      <c r="K270" t="n">
        <v>0</v>
      </c>
      <c r="L270" t="n">
        <v>0</v>
      </c>
      <c r="M270" t="n">
        <v>0</v>
      </c>
      <c r="N270" t="n">
        <v>0</v>
      </c>
      <c r="O270" t="n">
        <v>0</v>
      </c>
      <c r="P270" t="n">
        <v>0</v>
      </c>
      <c r="Q270" t="n">
        <v>0</v>
      </c>
      <c r="R270" s="2" t="inlineStr"/>
    </row>
    <row r="271" ht="15" customHeight="1">
      <c r="A271" t="inlineStr">
        <is>
          <t>A 663-2022</t>
        </is>
      </c>
      <c r="B271" s="1" t="n">
        <v>44568</v>
      </c>
      <c r="C271" s="1" t="n">
        <v>46103</v>
      </c>
      <c r="D271" t="inlineStr">
        <is>
          <t>KRONOBERGS LÄN</t>
        </is>
      </c>
      <c r="E271" t="inlineStr">
        <is>
          <t>LJUNGBY</t>
        </is>
      </c>
      <c r="G271" t="n">
        <v>1.6</v>
      </c>
      <c r="H271" t="n">
        <v>0</v>
      </c>
      <c r="I271" t="n">
        <v>0</v>
      </c>
      <c r="J271" t="n">
        <v>0</v>
      </c>
      <c r="K271" t="n">
        <v>0</v>
      </c>
      <c r="L271" t="n">
        <v>0</v>
      </c>
      <c r="M271" t="n">
        <v>0</v>
      </c>
      <c r="N271" t="n">
        <v>0</v>
      </c>
      <c r="O271" t="n">
        <v>0</v>
      </c>
      <c r="P271" t="n">
        <v>0</v>
      </c>
      <c r="Q271" t="n">
        <v>0</v>
      </c>
      <c r="R271" s="2" t="inlineStr"/>
    </row>
    <row r="272" ht="15" customHeight="1">
      <c r="A272" t="inlineStr">
        <is>
          <t>A 36856-2022</t>
        </is>
      </c>
      <c r="B272" s="1" t="n">
        <v>44805</v>
      </c>
      <c r="C272" s="1" t="n">
        <v>46103</v>
      </c>
      <c r="D272" t="inlineStr">
        <is>
          <t>KRONOBERGS LÄN</t>
        </is>
      </c>
      <c r="E272" t="inlineStr">
        <is>
          <t>ALVESTA</t>
        </is>
      </c>
      <c r="F272" t="inlineStr">
        <is>
          <t>Kyrkan</t>
        </is>
      </c>
      <c r="G272" t="n">
        <v>0.8</v>
      </c>
      <c r="H272" t="n">
        <v>0</v>
      </c>
      <c r="I272" t="n">
        <v>0</v>
      </c>
      <c r="J272" t="n">
        <v>0</v>
      </c>
      <c r="K272" t="n">
        <v>0</v>
      </c>
      <c r="L272" t="n">
        <v>0</v>
      </c>
      <c r="M272" t="n">
        <v>0</v>
      </c>
      <c r="N272" t="n">
        <v>0</v>
      </c>
      <c r="O272" t="n">
        <v>0</v>
      </c>
      <c r="P272" t="n">
        <v>0</v>
      </c>
      <c r="Q272" t="n">
        <v>0</v>
      </c>
      <c r="R272" s="2" t="inlineStr"/>
    </row>
    <row r="273" ht="15" customHeight="1">
      <c r="A273" t="inlineStr">
        <is>
          <t>A 53489-2022</t>
        </is>
      </c>
      <c r="B273" s="1" t="n">
        <v>44875</v>
      </c>
      <c r="C273" s="1" t="n">
        <v>46103</v>
      </c>
      <c r="D273" t="inlineStr">
        <is>
          <t>KRONOBERGS LÄN</t>
        </is>
      </c>
      <c r="E273" t="inlineStr">
        <is>
          <t>TINGSRYD</t>
        </is>
      </c>
      <c r="G273" t="n">
        <v>2.1</v>
      </c>
      <c r="H273" t="n">
        <v>0</v>
      </c>
      <c r="I273" t="n">
        <v>0</v>
      </c>
      <c r="J273" t="n">
        <v>0</v>
      </c>
      <c r="K273" t="n">
        <v>0</v>
      </c>
      <c r="L273" t="n">
        <v>0</v>
      </c>
      <c r="M273" t="n">
        <v>0</v>
      </c>
      <c r="N273" t="n">
        <v>0</v>
      </c>
      <c r="O273" t="n">
        <v>0</v>
      </c>
      <c r="P273" t="n">
        <v>0</v>
      </c>
      <c r="Q273" t="n">
        <v>0</v>
      </c>
      <c r="R273" s="2" t="inlineStr"/>
    </row>
    <row r="274" ht="15" customHeight="1">
      <c r="A274" t="inlineStr">
        <is>
          <t>A 44772-2021</t>
        </is>
      </c>
      <c r="B274" s="1" t="n">
        <v>44438</v>
      </c>
      <c r="C274" s="1" t="n">
        <v>46103</v>
      </c>
      <c r="D274" t="inlineStr">
        <is>
          <t>KRONOBERGS LÄN</t>
        </is>
      </c>
      <c r="E274" t="inlineStr">
        <is>
          <t>VÄXJÖ</t>
        </is>
      </c>
      <c r="G274" t="n">
        <v>1.2</v>
      </c>
      <c r="H274" t="n">
        <v>0</v>
      </c>
      <c r="I274" t="n">
        <v>0</v>
      </c>
      <c r="J274" t="n">
        <v>0</v>
      </c>
      <c r="K274" t="n">
        <v>0</v>
      </c>
      <c r="L274" t="n">
        <v>0</v>
      </c>
      <c r="M274" t="n">
        <v>0</v>
      </c>
      <c r="N274" t="n">
        <v>0</v>
      </c>
      <c r="O274" t="n">
        <v>0</v>
      </c>
      <c r="P274" t="n">
        <v>0</v>
      </c>
      <c r="Q274" t="n">
        <v>0</v>
      </c>
      <c r="R274" s="2" t="inlineStr"/>
    </row>
    <row r="275" ht="15" customHeight="1">
      <c r="A275" t="inlineStr">
        <is>
          <t>A 9863-2022</t>
        </is>
      </c>
      <c r="B275" s="1" t="n">
        <v>44620.55424768518</v>
      </c>
      <c r="C275" s="1" t="n">
        <v>46103</v>
      </c>
      <c r="D275" t="inlineStr">
        <is>
          <t>KRONOBERGS LÄN</t>
        </is>
      </c>
      <c r="E275" t="inlineStr">
        <is>
          <t>TINGSRYD</t>
        </is>
      </c>
      <c r="F275" t="inlineStr">
        <is>
          <t>Kommuner</t>
        </is>
      </c>
      <c r="G275" t="n">
        <v>3.3</v>
      </c>
      <c r="H275" t="n">
        <v>0</v>
      </c>
      <c r="I275" t="n">
        <v>0</v>
      </c>
      <c r="J275" t="n">
        <v>0</v>
      </c>
      <c r="K275" t="n">
        <v>0</v>
      </c>
      <c r="L275" t="n">
        <v>0</v>
      </c>
      <c r="M275" t="n">
        <v>0</v>
      </c>
      <c r="N275" t="n">
        <v>0</v>
      </c>
      <c r="O275" t="n">
        <v>0</v>
      </c>
      <c r="P275" t="n">
        <v>0</v>
      </c>
      <c r="Q275" t="n">
        <v>0</v>
      </c>
      <c r="R275" s="2" t="inlineStr"/>
    </row>
    <row r="276" ht="15" customHeight="1">
      <c r="A276" t="inlineStr">
        <is>
          <t>A 9868-2022</t>
        </is>
      </c>
      <c r="B276" s="1" t="n">
        <v>44620.56054398148</v>
      </c>
      <c r="C276" s="1" t="n">
        <v>46103</v>
      </c>
      <c r="D276" t="inlineStr">
        <is>
          <t>KRONOBERGS LÄN</t>
        </is>
      </c>
      <c r="E276" t="inlineStr">
        <is>
          <t>TINGSRYD</t>
        </is>
      </c>
      <c r="F276" t="inlineStr">
        <is>
          <t>Kommuner</t>
        </is>
      </c>
      <c r="G276" t="n">
        <v>0.5</v>
      </c>
      <c r="H276" t="n">
        <v>0</v>
      </c>
      <c r="I276" t="n">
        <v>0</v>
      </c>
      <c r="J276" t="n">
        <v>0</v>
      </c>
      <c r="K276" t="n">
        <v>0</v>
      </c>
      <c r="L276" t="n">
        <v>0</v>
      </c>
      <c r="M276" t="n">
        <v>0</v>
      </c>
      <c r="N276" t="n">
        <v>0</v>
      </c>
      <c r="O276" t="n">
        <v>0</v>
      </c>
      <c r="P276" t="n">
        <v>0</v>
      </c>
      <c r="Q276" t="n">
        <v>0</v>
      </c>
      <c r="R276" s="2" t="inlineStr"/>
    </row>
    <row r="277" ht="15" customHeight="1">
      <c r="A277" t="inlineStr">
        <is>
          <t>A 47398-2022</t>
        </is>
      </c>
      <c r="B277" s="1" t="n">
        <v>44853.50333333333</v>
      </c>
      <c r="C277" s="1" t="n">
        <v>46103</v>
      </c>
      <c r="D277" t="inlineStr">
        <is>
          <t>KRONOBERGS LÄN</t>
        </is>
      </c>
      <c r="E277" t="inlineStr">
        <is>
          <t>LJUNGBY</t>
        </is>
      </c>
      <c r="G277" t="n">
        <v>0.3</v>
      </c>
      <c r="H277" t="n">
        <v>0</v>
      </c>
      <c r="I277" t="n">
        <v>0</v>
      </c>
      <c r="J277" t="n">
        <v>0</v>
      </c>
      <c r="K277" t="n">
        <v>0</v>
      </c>
      <c r="L277" t="n">
        <v>0</v>
      </c>
      <c r="M277" t="n">
        <v>0</v>
      </c>
      <c r="N277" t="n">
        <v>0</v>
      </c>
      <c r="O277" t="n">
        <v>0</v>
      </c>
      <c r="P277" t="n">
        <v>0</v>
      </c>
      <c r="Q277" t="n">
        <v>0</v>
      </c>
      <c r="R277" s="2" t="inlineStr"/>
    </row>
    <row r="278" ht="15" customHeight="1">
      <c r="A278" t="inlineStr">
        <is>
          <t>A 49530-2021</t>
        </is>
      </c>
      <c r="B278" s="1" t="n">
        <v>44455</v>
      </c>
      <c r="C278" s="1" t="n">
        <v>46103</v>
      </c>
      <c r="D278" t="inlineStr">
        <is>
          <t>KRONOBERGS LÄN</t>
        </is>
      </c>
      <c r="E278" t="inlineStr">
        <is>
          <t>ALVESTA</t>
        </is>
      </c>
      <c r="G278" t="n">
        <v>0.5</v>
      </c>
      <c r="H278" t="n">
        <v>0</v>
      </c>
      <c r="I278" t="n">
        <v>0</v>
      </c>
      <c r="J278" t="n">
        <v>0</v>
      </c>
      <c r="K278" t="n">
        <v>0</v>
      </c>
      <c r="L278" t="n">
        <v>0</v>
      </c>
      <c r="M278" t="n">
        <v>0</v>
      </c>
      <c r="N278" t="n">
        <v>0</v>
      </c>
      <c r="O278" t="n">
        <v>0</v>
      </c>
      <c r="P278" t="n">
        <v>0</v>
      </c>
      <c r="Q278" t="n">
        <v>0</v>
      </c>
      <c r="R278" s="2" t="inlineStr"/>
    </row>
    <row r="279" ht="15" customHeight="1">
      <c r="A279" t="inlineStr">
        <is>
          <t>A 21167-2021</t>
        </is>
      </c>
      <c r="B279" s="1" t="n">
        <v>44320.42899305555</v>
      </c>
      <c r="C279" s="1" t="n">
        <v>46103</v>
      </c>
      <c r="D279" t="inlineStr">
        <is>
          <t>KRONOBERGS LÄN</t>
        </is>
      </c>
      <c r="E279" t="inlineStr">
        <is>
          <t>UPPVIDINGE</t>
        </is>
      </c>
      <c r="G279" t="n">
        <v>0.4</v>
      </c>
      <c r="H279" t="n">
        <v>0</v>
      </c>
      <c r="I279" t="n">
        <v>0</v>
      </c>
      <c r="J279" t="n">
        <v>0</v>
      </c>
      <c r="K279" t="n">
        <v>0</v>
      </c>
      <c r="L279" t="n">
        <v>0</v>
      </c>
      <c r="M279" t="n">
        <v>0</v>
      </c>
      <c r="N279" t="n">
        <v>0</v>
      </c>
      <c r="O279" t="n">
        <v>0</v>
      </c>
      <c r="P279" t="n">
        <v>0</v>
      </c>
      <c r="Q279" t="n">
        <v>0</v>
      </c>
      <c r="R279" s="2" t="inlineStr"/>
    </row>
    <row r="280" ht="15" customHeight="1">
      <c r="A280" t="inlineStr">
        <is>
          <t>A 21323-2021</t>
        </is>
      </c>
      <c r="B280" s="1" t="n">
        <v>44320</v>
      </c>
      <c r="C280" s="1" t="n">
        <v>46103</v>
      </c>
      <c r="D280" t="inlineStr">
        <is>
          <t>KRONOBERGS LÄN</t>
        </is>
      </c>
      <c r="E280" t="inlineStr">
        <is>
          <t>ÄLMHULT</t>
        </is>
      </c>
      <c r="G280" t="n">
        <v>1.1</v>
      </c>
      <c r="H280" t="n">
        <v>0</v>
      </c>
      <c r="I280" t="n">
        <v>0</v>
      </c>
      <c r="J280" t="n">
        <v>0</v>
      </c>
      <c r="K280" t="n">
        <v>0</v>
      </c>
      <c r="L280" t="n">
        <v>0</v>
      </c>
      <c r="M280" t="n">
        <v>0</v>
      </c>
      <c r="N280" t="n">
        <v>0</v>
      </c>
      <c r="O280" t="n">
        <v>0</v>
      </c>
      <c r="P280" t="n">
        <v>0</v>
      </c>
      <c r="Q280" t="n">
        <v>0</v>
      </c>
      <c r="R280" s="2" t="inlineStr"/>
    </row>
    <row r="281" ht="15" customHeight="1">
      <c r="A281" t="inlineStr">
        <is>
          <t>A 30757-2022</t>
        </is>
      </c>
      <c r="B281" s="1" t="n">
        <v>44764.50403935185</v>
      </c>
      <c r="C281" s="1" t="n">
        <v>46103</v>
      </c>
      <c r="D281" t="inlineStr">
        <is>
          <t>KRONOBERGS LÄN</t>
        </is>
      </c>
      <c r="E281" t="inlineStr">
        <is>
          <t>VÄXJÖ</t>
        </is>
      </c>
      <c r="G281" t="n">
        <v>0.5</v>
      </c>
      <c r="H281" t="n">
        <v>0</v>
      </c>
      <c r="I281" t="n">
        <v>0</v>
      </c>
      <c r="J281" t="n">
        <v>0</v>
      </c>
      <c r="K281" t="n">
        <v>0</v>
      </c>
      <c r="L281" t="n">
        <v>0</v>
      </c>
      <c r="M281" t="n">
        <v>0</v>
      </c>
      <c r="N281" t="n">
        <v>0</v>
      </c>
      <c r="O281" t="n">
        <v>0</v>
      </c>
      <c r="P281" t="n">
        <v>0</v>
      </c>
      <c r="Q281" t="n">
        <v>0</v>
      </c>
      <c r="R281" s="2" t="inlineStr"/>
    </row>
    <row r="282" ht="15" customHeight="1">
      <c r="A282" t="inlineStr">
        <is>
          <t>A 50146-2022</t>
        </is>
      </c>
      <c r="B282" s="1" t="n">
        <v>44865.57608796296</v>
      </c>
      <c r="C282" s="1" t="n">
        <v>46103</v>
      </c>
      <c r="D282" t="inlineStr">
        <is>
          <t>KRONOBERGS LÄN</t>
        </is>
      </c>
      <c r="E282" t="inlineStr">
        <is>
          <t>UPPVIDINGE</t>
        </is>
      </c>
      <c r="G282" t="n">
        <v>1.6</v>
      </c>
      <c r="H282" t="n">
        <v>0</v>
      </c>
      <c r="I282" t="n">
        <v>0</v>
      </c>
      <c r="J282" t="n">
        <v>0</v>
      </c>
      <c r="K282" t="n">
        <v>0</v>
      </c>
      <c r="L282" t="n">
        <v>0</v>
      </c>
      <c r="M282" t="n">
        <v>0</v>
      </c>
      <c r="N282" t="n">
        <v>0</v>
      </c>
      <c r="O282" t="n">
        <v>0</v>
      </c>
      <c r="P282" t="n">
        <v>0</v>
      </c>
      <c r="Q282" t="n">
        <v>0</v>
      </c>
      <c r="R282" s="2" t="inlineStr"/>
    </row>
    <row r="283" ht="15" customHeight="1">
      <c r="A283" t="inlineStr">
        <is>
          <t>A 33401-2022</t>
        </is>
      </c>
      <c r="B283" s="1" t="n">
        <v>44785</v>
      </c>
      <c r="C283" s="1" t="n">
        <v>46103</v>
      </c>
      <c r="D283" t="inlineStr">
        <is>
          <t>KRONOBERGS LÄN</t>
        </is>
      </c>
      <c r="E283" t="inlineStr">
        <is>
          <t>ÄLMHULT</t>
        </is>
      </c>
      <c r="G283" t="n">
        <v>1.1</v>
      </c>
      <c r="H283" t="n">
        <v>0</v>
      </c>
      <c r="I283" t="n">
        <v>0</v>
      </c>
      <c r="J283" t="n">
        <v>0</v>
      </c>
      <c r="K283" t="n">
        <v>0</v>
      </c>
      <c r="L283" t="n">
        <v>0</v>
      </c>
      <c r="M283" t="n">
        <v>0</v>
      </c>
      <c r="N283" t="n">
        <v>0</v>
      </c>
      <c r="O283" t="n">
        <v>0</v>
      </c>
      <c r="P283" t="n">
        <v>0</v>
      </c>
      <c r="Q283" t="n">
        <v>0</v>
      </c>
      <c r="R283" s="2" t="inlineStr"/>
    </row>
    <row r="284" ht="15" customHeight="1">
      <c r="A284" t="inlineStr">
        <is>
          <t>A 33406-2022</t>
        </is>
      </c>
      <c r="B284" s="1" t="n">
        <v>44785</v>
      </c>
      <c r="C284" s="1" t="n">
        <v>46103</v>
      </c>
      <c r="D284" t="inlineStr">
        <is>
          <t>KRONOBERGS LÄN</t>
        </is>
      </c>
      <c r="E284" t="inlineStr">
        <is>
          <t>ÄLMHULT</t>
        </is>
      </c>
      <c r="G284" t="n">
        <v>2.1</v>
      </c>
      <c r="H284" t="n">
        <v>0</v>
      </c>
      <c r="I284" t="n">
        <v>0</v>
      </c>
      <c r="J284" t="n">
        <v>0</v>
      </c>
      <c r="K284" t="n">
        <v>0</v>
      </c>
      <c r="L284" t="n">
        <v>0</v>
      </c>
      <c r="M284" t="n">
        <v>0</v>
      </c>
      <c r="N284" t="n">
        <v>0</v>
      </c>
      <c r="O284" t="n">
        <v>0</v>
      </c>
      <c r="P284" t="n">
        <v>0</v>
      </c>
      <c r="Q284" t="n">
        <v>0</v>
      </c>
      <c r="R284" s="2" t="inlineStr"/>
    </row>
    <row r="285" ht="15" customHeight="1">
      <c r="A285" t="inlineStr">
        <is>
          <t>A 33410-2022</t>
        </is>
      </c>
      <c r="B285" s="1" t="n">
        <v>44785</v>
      </c>
      <c r="C285" s="1" t="n">
        <v>46103</v>
      </c>
      <c r="D285" t="inlineStr">
        <is>
          <t>KRONOBERGS LÄN</t>
        </is>
      </c>
      <c r="E285" t="inlineStr">
        <is>
          <t>ÄLMHULT</t>
        </is>
      </c>
      <c r="G285" t="n">
        <v>0.6</v>
      </c>
      <c r="H285" t="n">
        <v>0</v>
      </c>
      <c r="I285" t="n">
        <v>0</v>
      </c>
      <c r="J285" t="n">
        <v>0</v>
      </c>
      <c r="K285" t="n">
        <v>0</v>
      </c>
      <c r="L285" t="n">
        <v>0</v>
      </c>
      <c r="M285" t="n">
        <v>0</v>
      </c>
      <c r="N285" t="n">
        <v>0</v>
      </c>
      <c r="O285" t="n">
        <v>0</v>
      </c>
      <c r="P285" t="n">
        <v>0</v>
      </c>
      <c r="Q285" t="n">
        <v>0</v>
      </c>
      <c r="R285" s="2" t="inlineStr"/>
    </row>
    <row r="286" ht="15" customHeight="1">
      <c r="A286" t="inlineStr">
        <is>
          <t>A 49033-2021</t>
        </is>
      </c>
      <c r="B286" s="1" t="n">
        <v>44453.56091435185</v>
      </c>
      <c r="C286" s="1" t="n">
        <v>46103</v>
      </c>
      <c r="D286" t="inlineStr">
        <is>
          <t>KRONOBERGS LÄN</t>
        </is>
      </c>
      <c r="E286" t="inlineStr">
        <is>
          <t>TINGSRYD</t>
        </is>
      </c>
      <c r="G286" t="n">
        <v>5</v>
      </c>
      <c r="H286" t="n">
        <v>0</v>
      </c>
      <c r="I286" t="n">
        <v>0</v>
      </c>
      <c r="J286" t="n">
        <v>0</v>
      </c>
      <c r="K286" t="n">
        <v>0</v>
      </c>
      <c r="L286" t="n">
        <v>0</v>
      </c>
      <c r="M286" t="n">
        <v>0</v>
      </c>
      <c r="N286" t="n">
        <v>0</v>
      </c>
      <c r="O286" t="n">
        <v>0</v>
      </c>
      <c r="P286" t="n">
        <v>0</v>
      </c>
      <c r="Q286" t="n">
        <v>0</v>
      </c>
      <c r="R286" s="2" t="inlineStr"/>
    </row>
    <row r="287" ht="15" customHeight="1">
      <c r="A287" t="inlineStr">
        <is>
          <t>A 56145-2021</t>
        </is>
      </c>
      <c r="B287" s="1" t="n">
        <v>44477</v>
      </c>
      <c r="C287" s="1" t="n">
        <v>46103</v>
      </c>
      <c r="D287" t="inlineStr">
        <is>
          <t>KRONOBERGS LÄN</t>
        </is>
      </c>
      <c r="E287" t="inlineStr">
        <is>
          <t>ÄLMHULT</t>
        </is>
      </c>
      <c r="G287" t="n">
        <v>0.7</v>
      </c>
      <c r="H287" t="n">
        <v>0</v>
      </c>
      <c r="I287" t="n">
        <v>0</v>
      </c>
      <c r="J287" t="n">
        <v>0</v>
      </c>
      <c r="K287" t="n">
        <v>0</v>
      </c>
      <c r="L287" t="n">
        <v>0</v>
      </c>
      <c r="M287" t="n">
        <v>0</v>
      </c>
      <c r="N287" t="n">
        <v>0</v>
      </c>
      <c r="O287" t="n">
        <v>0</v>
      </c>
      <c r="P287" t="n">
        <v>0</v>
      </c>
      <c r="Q287" t="n">
        <v>0</v>
      </c>
      <c r="R287" s="2" t="inlineStr"/>
    </row>
    <row r="288" ht="15" customHeight="1">
      <c r="A288" t="inlineStr">
        <is>
          <t>A 37696-2022</t>
        </is>
      </c>
      <c r="B288" s="1" t="n">
        <v>44810.51231481481</v>
      </c>
      <c r="C288" s="1" t="n">
        <v>46103</v>
      </c>
      <c r="D288" t="inlineStr">
        <is>
          <t>KRONOBERGS LÄN</t>
        </is>
      </c>
      <c r="E288" t="inlineStr">
        <is>
          <t>ALVESTA</t>
        </is>
      </c>
      <c r="F288" t="inlineStr">
        <is>
          <t>Kyrkan</t>
        </is>
      </c>
      <c r="G288" t="n">
        <v>3</v>
      </c>
      <c r="H288" t="n">
        <v>0</v>
      </c>
      <c r="I288" t="n">
        <v>0</v>
      </c>
      <c r="J288" t="n">
        <v>0</v>
      </c>
      <c r="K288" t="n">
        <v>0</v>
      </c>
      <c r="L288" t="n">
        <v>0</v>
      </c>
      <c r="M288" t="n">
        <v>0</v>
      </c>
      <c r="N288" t="n">
        <v>0</v>
      </c>
      <c r="O288" t="n">
        <v>0</v>
      </c>
      <c r="P288" t="n">
        <v>0</v>
      </c>
      <c r="Q288" t="n">
        <v>0</v>
      </c>
      <c r="R288" s="2" t="inlineStr"/>
    </row>
    <row r="289" ht="15" customHeight="1">
      <c r="A289" t="inlineStr">
        <is>
          <t>A 38460-2022</t>
        </is>
      </c>
      <c r="B289" s="1" t="n">
        <v>44813</v>
      </c>
      <c r="C289" s="1" t="n">
        <v>46103</v>
      </c>
      <c r="D289" t="inlineStr">
        <is>
          <t>KRONOBERGS LÄN</t>
        </is>
      </c>
      <c r="E289" t="inlineStr">
        <is>
          <t>TINGSRYD</t>
        </is>
      </c>
      <c r="G289" t="n">
        <v>1.6</v>
      </c>
      <c r="H289" t="n">
        <v>0</v>
      </c>
      <c r="I289" t="n">
        <v>0</v>
      </c>
      <c r="J289" t="n">
        <v>0</v>
      </c>
      <c r="K289" t="n">
        <v>0</v>
      </c>
      <c r="L289" t="n">
        <v>0</v>
      </c>
      <c r="M289" t="n">
        <v>0</v>
      </c>
      <c r="N289" t="n">
        <v>0</v>
      </c>
      <c r="O289" t="n">
        <v>0</v>
      </c>
      <c r="P289" t="n">
        <v>0</v>
      </c>
      <c r="Q289" t="n">
        <v>0</v>
      </c>
      <c r="R289" s="2" t="inlineStr"/>
    </row>
    <row r="290" ht="15" customHeight="1">
      <c r="A290" t="inlineStr">
        <is>
          <t>A 54722-2021</t>
        </is>
      </c>
      <c r="B290" s="1" t="n">
        <v>44473.81864583334</v>
      </c>
      <c r="C290" s="1" t="n">
        <v>46103</v>
      </c>
      <c r="D290" t="inlineStr">
        <is>
          <t>KRONOBERGS LÄN</t>
        </is>
      </c>
      <c r="E290" t="inlineStr">
        <is>
          <t>ÄLMHULT</t>
        </is>
      </c>
      <c r="G290" t="n">
        <v>0.8</v>
      </c>
      <c r="H290" t="n">
        <v>0</v>
      </c>
      <c r="I290" t="n">
        <v>0</v>
      </c>
      <c r="J290" t="n">
        <v>0</v>
      </c>
      <c r="K290" t="n">
        <v>0</v>
      </c>
      <c r="L290" t="n">
        <v>0</v>
      </c>
      <c r="M290" t="n">
        <v>0</v>
      </c>
      <c r="N290" t="n">
        <v>0</v>
      </c>
      <c r="O290" t="n">
        <v>0</v>
      </c>
      <c r="P290" t="n">
        <v>0</v>
      </c>
      <c r="Q290" t="n">
        <v>0</v>
      </c>
      <c r="R290" s="2" t="inlineStr"/>
    </row>
    <row r="291" ht="15" customHeight="1">
      <c r="A291" t="inlineStr">
        <is>
          <t>A 63572-2021</t>
        </is>
      </c>
      <c r="B291" s="1" t="n">
        <v>44508.83615740741</v>
      </c>
      <c r="C291" s="1" t="n">
        <v>46103</v>
      </c>
      <c r="D291" t="inlineStr">
        <is>
          <t>KRONOBERGS LÄN</t>
        </is>
      </c>
      <c r="E291" t="inlineStr">
        <is>
          <t>TINGSRYD</t>
        </is>
      </c>
      <c r="G291" t="n">
        <v>1.4</v>
      </c>
      <c r="H291" t="n">
        <v>0</v>
      </c>
      <c r="I291" t="n">
        <v>0</v>
      </c>
      <c r="J291" t="n">
        <v>0</v>
      </c>
      <c r="K291" t="n">
        <v>0</v>
      </c>
      <c r="L291" t="n">
        <v>0</v>
      </c>
      <c r="M291" t="n">
        <v>0</v>
      </c>
      <c r="N291" t="n">
        <v>0</v>
      </c>
      <c r="O291" t="n">
        <v>0</v>
      </c>
      <c r="P291" t="n">
        <v>0</v>
      </c>
      <c r="Q291" t="n">
        <v>0</v>
      </c>
      <c r="R291" s="2" t="inlineStr"/>
    </row>
    <row r="292" ht="15" customHeight="1">
      <c r="A292" t="inlineStr">
        <is>
          <t>A 46552-2021</t>
        </is>
      </c>
      <c r="B292" s="1" t="n">
        <v>44445</v>
      </c>
      <c r="C292" s="1" t="n">
        <v>46103</v>
      </c>
      <c r="D292" t="inlineStr">
        <is>
          <t>KRONOBERGS LÄN</t>
        </is>
      </c>
      <c r="E292" t="inlineStr">
        <is>
          <t>ÄLMHULT</t>
        </is>
      </c>
      <c r="G292" t="n">
        <v>2.3</v>
      </c>
      <c r="H292" t="n">
        <v>0</v>
      </c>
      <c r="I292" t="n">
        <v>0</v>
      </c>
      <c r="J292" t="n">
        <v>0</v>
      </c>
      <c r="K292" t="n">
        <v>0</v>
      </c>
      <c r="L292" t="n">
        <v>0</v>
      </c>
      <c r="M292" t="n">
        <v>0</v>
      </c>
      <c r="N292" t="n">
        <v>0</v>
      </c>
      <c r="O292" t="n">
        <v>0</v>
      </c>
      <c r="P292" t="n">
        <v>0</v>
      </c>
      <c r="Q292" t="n">
        <v>0</v>
      </c>
      <c r="R292" s="2" t="inlineStr"/>
    </row>
    <row r="293" ht="15" customHeight="1">
      <c r="A293" t="inlineStr">
        <is>
          <t>A 52849-2022</t>
        </is>
      </c>
      <c r="B293" s="1" t="n">
        <v>44875.47472222222</v>
      </c>
      <c r="C293" s="1" t="n">
        <v>46103</v>
      </c>
      <c r="D293" t="inlineStr">
        <is>
          <t>KRONOBERGS LÄN</t>
        </is>
      </c>
      <c r="E293" t="inlineStr">
        <is>
          <t>TINGSRYD</t>
        </is>
      </c>
      <c r="G293" t="n">
        <v>0</v>
      </c>
      <c r="H293" t="n">
        <v>0</v>
      </c>
      <c r="I293" t="n">
        <v>0</v>
      </c>
      <c r="J293" t="n">
        <v>0</v>
      </c>
      <c r="K293" t="n">
        <v>0</v>
      </c>
      <c r="L293" t="n">
        <v>0</v>
      </c>
      <c r="M293" t="n">
        <v>0</v>
      </c>
      <c r="N293" t="n">
        <v>0</v>
      </c>
      <c r="O293" t="n">
        <v>0</v>
      </c>
      <c r="P293" t="n">
        <v>0</v>
      </c>
      <c r="Q293" t="n">
        <v>0</v>
      </c>
      <c r="R293" s="2" t="inlineStr"/>
    </row>
    <row r="294" ht="15" customHeight="1">
      <c r="A294" t="inlineStr">
        <is>
          <t>A 43984-2021</t>
        </is>
      </c>
      <c r="B294" s="1" t="n">
        <v>44434</v>
      </c>
      <c r="C294" s="1" t="n">
        <v>46103</v>
      </c>
      <c r="D294" t="inlineStr">
        <is>
          <t>KRONOBERGS LÄN</t>
        </is>
      </c>
      <c r="E294" t="inlineStr">
        <is>
          <t>VÄXJÖ</t>
        </is>
      </c>
      <c r="G294" t="n">
        <v>1.1</v>
      </c>
      <c r="H294" t="n">
        <v>0</v>
      </c>
      <c r="I294" t="n">
        <v>0</v>
      </c>
      <c r="J294" t="n">
        <v>0</v>
      </c>
      <c r="K294" t="n">
        <v>0</v>
      </c>
      <c r="L294" t="n">
        <v>0</v>
      </c>
      <c r="M294" t="n">
        <v>0</v>
      </c>
      <c r="N294" t="n">
        <v>0</v>
      </c>
      <c r="O294" t="n">
        <v>0</v>
      </c>
      <c r="P294" t="n">
        <v>0</v>
      </c>
      <c r="Q294" t="n">
        <v>0</v>
      </c>
      <c r="R294" s="2" t="inlineStr"/>
    </row>
    <row r="295" ht="15" customHeight="1">
      <c r="A295" t="inlineStr">
        <is>
          <t>A 55322-2022</t>
        </is>
      </c>
      <c r="B295" s="1" t="n">
        <v>44887.42784722222</v>
      </c>
      <c r="C295" s="1" t="n">
        <v>46103</v>
      </c>
      <c r="D295" t="inlineStr">
        <is>
          <t>KRONOBERGS LÄN</t>
        </is>
      </c>
      <c r="E295" t="inlineStr">
        <is>
          <t>UPPVIDINGE</t>
        </is>
      </c>
      <c r="G295" t="n">
        <v>1.7</v>
      </c>
      <c r="H295" t="n">
        <v>0</v>
      </c>
      <c r="I295" t="n">
        <v>0</v>
      </c>
      <c r="J295" t="n">
        <v>0</v>
      </c>
      <c r="K295" t="n">
        <v>0</v>
      </c>
      <c r="L295" t="n">
        <v>0</v>
      </c>
      <c r="M295" t="n">
        <v>0</v>
      </c>
      <c r="N295" t="n">
        <v>0</v>
      </c>
      <c r="O295" t="n">
        <v>0</v>
      </c>
      <c r="P295" t="n">
        <v>0</v>
      </c>
      <c r="Q295" t="n">
        <v>0</v>
      </c>
      <c r="R295" s="2" t="inlineStr"/>
    </row>
    <row r="296" ht="15" customHeight="1">
      <c r="A296" t="inlineStr">
        <is>
          <t>A 55324-2022</t>
        </is>
      </c>
      <c r="B296" s="1" t="n">
        <v>44887.42950231482</v>
      </c>
      <c r="C296" s="1" t="n">
        <v>46103</v>
      </c>
      <c r="D296" t="inlineStr">
        <is>
          <t>KRONOBERGS LÄN</t>
        </is>
      </c>
      <c r="E296" t="inlineStr">
        <is>
          <t>UPPVIDINGE</t>
        </is>
      </c>
      <c r="G296" t="n">
        <v>1.9</v>
      </c>
      <c r="H296" t="n">
        <v>0</v>
      </c>
      <c r="I296" t="n">
        <v>0</v>
      </c>
      <c r="J296" t="n">
        <v>0</v>
      </c>
      <c r="K296" t="n">
        <v>0</v>
      </c>
      <c r="L296" t="n">
        <v>0</v>
      </c>
      <c r="M296" t="n">
        <v>0</v>
      </c>
      <c r="N296" t="n">
        <v>0</v>
      </c>
      <c r="O296" t="n">
        <v>0</v>
      </c>
      <c r="P296" t="n">
        <v>0</v>
      </c>
      <c r="Q296" t="n">
        <v>0</v>
      </c>
      <c r="R296" s="2" t="inlineStr"/>
    </row>
    <row r="297" ht="15" customHeight="1">
      <c r="A297" t="inlineStr">
        <is>
          <t>A 52036-2021</t>
        </is>
      </c>
      <c r="B297" s="1" t="n">
        <v>44463.35791666667</v>
      </c>
      <c r="C297" s="1" t="n">
        <v>46103</v>
      </c>
      <c r="D297" t="inlineStr">
        <is>
          <t>KRONOBERGS LÄN</t>
        </is>
      </c>
      <c r="E297" t="inlineStr">
        <is>
          <t>ÄLMHULT</t>
        </is>
      </c>
      <c r="G297" t="n">
        <v>0.5</v>
      </c>
      <c r="H297" t="n">
        <v>0</v>
      </c>
      <c r="I297" t="n">
        <v>0</v>
      </c>
      <c r="J297" t="n">
        <v>0</v>
      </c>
      <c r="K297" t="n">
        <v>0</v>
      </c>
      <c r="L297" t="n">
        <v>0</v>
      </c>
      <c r="M297" t="n">
        <v>0</v>
      </c>
      <c r="N297" t="n">
        <v>0</v>
      </c>
      <c r="O297" t="n">
        <v>0</v>
      </c>
      <c r="P297" t="n">
        <v>0</v>
      </c>
      <c r="Q297" t="n">
        <v>0</v>
      </c>
      <c r="R297" s="2" t="inlineStr"/>
    </row>
    <row r="298" ht="15" customHeight="1">
      <c r="A298" t="inlineStr">
        <is>
          <t>A 52038-2021</t>
        </is>
      </c>
      <c r="B298" s="1" t="n">
        <v>44463.35908564815</v>
      </c>
      <c r="C298" s="1" t="n">
        <v>46103</v>
      </c>
      <c r="D298" t="inlineStr">
        <is>
          <t>KRONOBERGS LÄN</t>
        </is>
      </c>
      <c r="E298" t="inlineStr">
        <is>
          <t>VÄXJÖ</t>
        </is>
      </c>
      <c r="G298" t="n">
        <v>0.7</v>
      </c>
      <c r="H298" t="n">
        <v>0</v>
      </c>
      <c r="I298" t="n">
        <v>0</v>
      </c>
      <c r="J298" t="n">
        <v>0</v>
      </c>
      <c r="K298" t="n">
        <v>0</v>
      </c>
      <c r="L298" t="n">
        <v>0</v>
      </c>
      <c r="M298" t="n">
        <v>0</v>
      </c>
      <c r="N298" t="n">
        <v>0</v>
      </c>
      <c r="O298" t="n">
        <v>0</v>
      </c>
      <c r="P298" t="n">
        <v>0</v>
      </c>
      <c r="Q298" t="n">
        <v>0</v>
      </c>
      <c r="R298" s="2" t="inlineStr"/>
    </row>
    <row r="299" ht="15" customHeight="1">
      <c r="A299" t="inlineStr">
        <is>
          <t>A 52040-2021</t>
        </is>
      </c>
      <c r="B299" s="1" t="n">
        <v>44463.35958333333</v>
      </c>
      <c r="C299" s="1" t="n">
        <v>46103</v>
      </c>
      <c r="D299" t="inlineStr">
        <is>
          <t>KRONOBERGS LÄN</t>
        </is>
      </c>
      <c r="E299" t="inlineStr">
        <is>
          <t>ÄLMHULT</t>
        </is>
      </c>
      <c r="G299" t="n">
        <v>1.1</v>
      </c>
      <c r="H299" t="n">
        <v>0</v>
      </c>
      <c r="I299" t="n">
        <v>0</v>
      </c>
      <c r="J299" t="n">
        <v>0</v>
      </c>
      <c r="K299" t="n">
        <v>0</v>
      </c>
      <c r="L299" t="n">
        <v>0</v>
      </c>
      <c r="M299" t="n">
        <v>0</v>
      </c>
      <c r="N299" t="n">
        <v>0</v>
      </c>
      <c r="O299" t="n">
        <v>0</v>
      </c>
      <c r="P299" t="n">
        <v>0</v>
      </c>
      <c r="Q299" t="n">
        <v>0</v>
      </c>
      <c r="R299" s="2" t="inlineStr"/>
    </row>
    <row r="300" ht="15" customHeight="1">
      <c r="A300" t="inlineStr">
        <is>
          <t>A 10295-2022</t>
        </is>
      </c>
      <c r="B300" s="1" t="n">
        <v>44622</v>
      </c>
      <c r="C300" s="1" t="n">
        <v>46103</v>
      </c>
      <c r="D300" t="inlineStr">
        <is>
          <t>KRONOBERGS LÄN</t>
        </is>
      </c>
      <c r="E300" t="inlineStr">
        <is>
          <t>LJUNGBY</t>
        </is>
      </c>
      <c r="G300" t="n">
        <v>1.2</v>
      </c>
      <c r="H300" t="n">
        <v>0</v>
      </c>
      <c r="I300" t="n">
        <v>0</v>
      </c>
      <c r="J300" t="n">
        <v>0</v>
      </c>
      <c r="K300" t="n">
        <v>0</v>
      </c>
      <c r="L300" t="n">
        <v>0</v>
      </c>
      <c r="M300" t="n">
        <v>0</v>
      </c>
      <c r="N300" t="n">
        <v>0</v>
      </c>
      <c r="O300" t="n">
        <v>0</v>
      </c>
      <c r="P300" t="n">
        <v>0</v>
      </c>
      <c r="Q300" t="n">
        <v>0</v>
      </c>
      <c r="R300" s="2" t="inlineStr"/>
    </row>
    <row r="301" ht="15" customHeight="1">
      <c r="A301" t="inlineStr">
        <is>
          <t>A 53481-2022</t>
        </is>
      </c>
      <c r="B301" s="1" t="n">
        <v>44879</v>
      </c>
      <c r="C301" s="1" t="n">
        <v>46103</v>
      </c>
      <c r="D301" t="inlineStr">
        <is>
          <t>KRONOBERGS LÄN</t>
        </is>
      </c>
      <c r="E301" t="inlineStr">
        <is>
          <t>MARKARYD</t>
        </is>
      </c>
      <c r="G301" t="n">
        <v>0.4</v>
      </c>
      <c r="H301" t="n">
        <v>0</v>
      </c>
      <c r="I301" t="n">
        <v>0</v>
      </c>
      <c r="J301" t="n">
        <v>0</v>
      </c>
      <c r="K301" t="n">
        <v>0</v>
      </c>
      <c r="L301" t="n">
        <v>0</v>
      </c>
      <c r="M301" t="n">
        <v>0</v>
      </c>
      <c r="N301" t="n">
        <v>0</v>
      </c>
      <c r="O301" t="n">
        <v>0</v>
      </c>
      <c r="P301" t="n">
        <v>0</v>
      </c>
      <c r="Q301" t="n">
        <v>0</v>
      </c>
      <c r="R301" s="2" t="inlineStr"/>
    </row>
    <row r="302" ht="15" customHeight="1">
      <c r="A302" t="inlineStr">
        <is>
          <t>A 64777-2021</t>
        </is>
      </c>
      <c r="B302" s="1" t="n">
        <v>44512.46798611111</v>
      </c>
      <c r="C302" s="1" t="n">
        <v>46103</v>
      </c>
      <c r="D302" t="inlineStr">
        <is>
          <t>KRONOBERGS LÄN</t>
        </is>
      </c>
      <c r="E302" t="inlineStr">
        <is>
          <t>ALVESTA</t>
        </is>
      </c>
      <c r="G302" t="n">
        <v>0.5</v>
      </c>
      <c r="H302" t="n">
        <v>0</v>
      </c>
      <c r="I302" t="n">
        <v>0</v>
      </c>
      <c r="J302" t="n">
        <v>0</v>
      </c>
      <c r="K302" t="n">
        <v>0</v>
      </c>
      <c r="L302" t="n">
        <v>0</v>
      </c>
      <c r="M302" t="n">
        <v>0</v>
      </c>
      <c r="N302" t="n">
        <v>0</v>
      </c>
      <c r="O302" t="n">
        <v>0</v>
      </c>
      <c r="P302" t="n">
        <v>0</v>
      </c>
      <c r="Q302" t="n">
        <v>0</v>
      </c>
      <c r="R302" s="2" t="inlineStr"/>
    </row>
    <row r="303" ht="15" customHeight="1">
      <c r="A303" t="inlineStr">
        <is>
          <t>A 18753-2021</t>
        </is>
      </c>
      <c r="B303" s="1" t="n">
        <v>44307.45770833334</v>
      </c>
      <c r="C303" s="1" t="n">
        <v>46103</v>
      </c>
      <c r="D303" t="inlineStr">
        <is>
          <t>KRONOBERGS LÄN</t>
        </is>
      </c>
      <c r="E303" t="inlineStr">
        <is>
          <t>UPPVIDINGE</t>
        </is>
      </c>
      <c r="G303" t="n">
        <v>1.5</v>
      </c>
      <c r="H303" t="n">
        <v>0</v>
      </c>
      <c r="I303" t="n">
        <v>0</v>
      </c>
      <c r="J303" t="n">
        <v>0</v>
      </c>
      <c r="K303" t="n">
        <v>0</v>
      </c>
      <c r="L303" t="n">
        <v>0</v>
      </c>
      <c r="M303" t="n">
        <v>0</v>
      </c>
      <c r="N303" t="n">
        <v>0</v>
      </c>
      <c r="O303" t="n">
        <v>0</v>
      </c>
      <c r="P303" t="n">
        <v>0</v>
      </c>
      <c r="Q303" t="n">
        <v>0</v>
      </c>
      <c r="R303" s="2" t="inlineStr"/>
    </row>
    <row r="304" ht="15" customHeight="1">
      <c r="A304" t="inlineStr">
        <is>
          <t>A 63296-2021</t>
        </is>
      </c>
      <c r="B304" s="1" t="n">
        <v>44508.43092592592</v>
      </c>
      <c r="C304" s="1" t="n">
        <v>46103</v>
      </c>
      <c r="D304" t="inlineStr">
        <is>
          <t>KRONOBERGS LÄN</t>
        </is>
      </c>
      <c r="E304" t="inlineStr">
        <is>
          <t>LJUNGBY</t>
        </is>
      </c>
      <c r="F304" t="inlineStr">
        <is>
          <t>Sveaskog</t>
        </is>
      </c>
      <c r="G304" t="n">
        <v>1.7</v>
      </c>
      <c r="H304" t="n">
        <v>0</v>
      </c>
      <c r="I304" t="n">
        <v>0</v>
      </c>
      <c r="J304" t="n">
        <v>0</v>
      </c>
      <c r="K304" t="n">
        <v>0</v>
      </c>
      <c r="L304" t="n">
        <v>0</v>
      </c>
      <c r="M304" t="n">
        <v>0</v>
      </c>
      <c r="N304" t="n">
        <v>0</v>
      </c>
      <c r="O304" t="n">
        <v>0</v>
      </c>
      <c r="P304" t="n">
        <v>0</v>
      </c>
      <c r="Q304" t="n">
        <v>0</v>
      </c>
      <c r="R304" s="2" t="inlineStr"/>
    </row>
    <row r="305" ht="15" customHeight="1">
      <c r="A305" t="inlineStr">
        <is>
          <t>A 63305-2021</t>
        </is>
      </c>
      <c r="B305" s="1" t="n">
        <v>44508</v>
      </c>
      <c r="C305" s="1" t="n">
        <v>46103</v>
      </c>
      <c r="D305" t="inlineStr">
        <is>
          <t>KRONOBERGS LÄN</t>
        </is>
      </c>
      <c r="E305" t="inlineStr">
        <is>
          <t>UPPVIDINGE</t>
        </is>
      </c>
      <c r="G305" t="n">
        <v>1.7</v>
      </c>
      <c r="H305" t="n">
        <v>0</v>
      </c>
      <c r="I305" t="n">
        <v>0</v>
      </c>
      <c r="J305" t="n">
        <v>0</v>
      </c>
      <c r="K305" t="n">
        <v>0</v>
      </c>
      <c r="L305" t="n">
        <v>0</v>
      </c>
      <c r="M305" t="n">
        <v>0</v>
      </c>
      <c r="N305" t="n">
        <v>0</v>
      </c>
      <c r="O305" t="n">
        <v>0</v>
      </c>
      <c r="P305" t="n">
        <v>0</v>
      </c>
      <c r="Q305" t="n">
        <v>0</v>
      </c>
      <c r="R305" s="2" t="inlineStr"/>
    </row>
    <row r="306" ht="15" customHeight="1">
      <c r="A306" t="inlineStr">
        <is>
          <t>A 18763-2021</t>
        </is>
      </c>
      <c r="B306" s="1" t="n">
        <v>44307.481875</v>
      </c>
      <c r="C306" s="1" t="n">
        <v>46103</v>
      </c>
      <c r="D306" t="inlineStr">
        <is>
          <t>KRONOBERGS LÄN</t>
        </is>
      </c>
      <c r="E306" t="inlineStr">
        <is>
          <t>LJUNGBY</t>
        </is>
      </c>
      <c r="G306" t="n">
        <v>2.5</v>
      </c>
      <c r="H306" t="n">
        <v>0</v>
      </c>
      <c r="I306" t="n">
        <v>0</v>
      </c>
      <c r="J306" t="n">
        <v>0</v>
      </c>
      <c r="K306" t="n">
        <v>0</v>
      </c>
      <c r="L306" t="n">
        <v>0</v>
      </c>
      <c r="M306" t="n">
        <v>0</v>
      </c>
      <c r="N306" t="n">
        <v>0</v>
      </c>
      <c r="O306" t="n">
        <v>0</v>
      </c>
      <c r="P306" t="n">
        <v>0</v>
      </c>
      <c r="Q306" t="n">
        <v>0</v>
      </c>
      <c r="R306" s="2" t="inlineStr"/>
    </row>
    <row r="307" ht="15" customHeight="1">
      <c r="A307" t="inlineStr">
        <is>
          <t>A 14612-2021</t>
        </is>
      </c>
      <c r="B307" s="1" t="n">
        <v>44280</v>
      </c>
      <c r="C307" s="1" t="n">
        <v>46103</v>
      </c>
      <c r="D307" t="inlineStr">
        <is>
          <t>KRONOBERGS LÄN</t>
        </is>
      </c>
      <c r="E307" t="inlineStr">
        <is>
          <t>ÄLMHULT</t>
        </is>
      </c>
      <c r="G307" t="n">
        <v>2.3</v>
      </c>
      <c r="H307" t="n">
        <v>0</v>
      </c>
      <c r="I307" t="n">
        <v>0</v>
      </c>
      <c r="J307" t="n">
        <v>0</v>
      </c>
      <c r="K307" t="n">
        <v>0</v>
      </c>
      <c r="L307" t="n">
        <v>0</v>
      </c>
      <c r="M307" t="n">
        <v>0</v>
      </c>
      <c r="N307" t="n">
        <v>0</v>
      </c>
      <c r="O307" t="n">
        <v>0</v>
      </c>
      <c r="P307" t="n">
        <v>0</v>
      </c>
      <c r="Q307" t="n">
        <v>0</v>
      </c>
      <c r="R307" s="2" t="inlineStr"/>
    </row>
    <row r="308" ht="15" customHeight="1">
      <c r="A308" t="inlineStr">
        <is>
          <t>A 66677-2021</t>
        </is>
      </c>
      <c r="B308" s="1" t="n">
        <v>44519.62116898148</v>
      </c>
      <c r="C308" s="1" t="n">
        <v>46103</v>
      </c>
      <c r="D308" t="inlineStr">
        <is>
          <t>KRONOBERGS LÄN</t>
        </is>
      </c>
      <c r="E308" t="inlineStr">
        <is>
          <t>VÄXJÖ</t>
        </is>
      </c>
      <c r="G308" t="n">
        <v>0.8</v>
      </c>
      <c r="H308" t="n">
        <v>0</v>
      </c>
      <c r="I308" t="n">
        <v>0</v>
      </c>
      <c r="J308" t="n">
        <v>0</v>
      </c>
      <c r="K308" t="n">
        <v>0</v>
      </c>
      <c r="L308" t="n">
        <v>0</v>
      </c>
      <c r="M308" t="n">
        <v>0</v>
      </c>
      <c r="N308" t="n">
        <v>0</v>
      </c>
      <c r="O308" t="n">
        <v>0</v>
      </c>
      <c r="P308" t="n">
        <v>0</v>
      </c>
      <c r="Q308" t="n">
        <v>0</v>
      </c>
      <c r="R308" s="2" t="inlineStr"/>
    </row>
    <row r="309" ht="15" customHeight="1">
      <c r="A309" t="inlineStr">
        <is>
          <t>A 28391-2021</t>
        </is>
      </c>
      <c r="B309" s="1" t="n">
        <v>44356.46040509259</v>
      </c>
      <c r="C309" s="1" t="n">
        <v>46103</v>
      </c>
      <c r="D309" t="inlineStr">
        <is>
          <t>KRONOBERGS LÄN</t>
        </is>
      </c>
      <c r="E309" t="inlineStr">
        <is>
          <t>TINGSRYD</t>
        </is>
      </c>
      <c r="G309" t="n">
        <v>1.1</v>
      </c>
      <c r="H309" t="n">
        <v>0</v>
      </c>
      <c r="I309" t="n">
        <v>0</v>
      </c>
      <c r="J309" t="n">
        <v>0</v>
      </c>
      <c r="K309" t="n">
        <v>0</v>
      </c>
      <c r="L309" t="n">
        <v>0</v>
      </c>
      <c r="M309" t="n">
        <v>0</v>
      </c>
      <c r="N309" t="n">
        <v>0</v>
      </c>
      <c r="O309" t="n">
        <v>0</v>
      </c>
      <c r="P309" t="n">
        <v>0</v>
      </c>
      <c r="Q309" t="n">
        <v>0</v>
      </c>
      <c r="R309" s="2" t="inlineStr"/>
    </row>
    <row r="310" ht="15" customHeight="1">
      <c r="A310" t="inlineStr">
        <is>
          <t>A 49400-2021</t>
        </is>
      </c>
      <c r="B310" s="1" t="n">
        <v>44454</v>
      </c>
      <c r="C310" s="1" t="n">
        <v>46103</v>
      </c>
      <c r="D310" t="inlineStr">
        <is>
          <t>KRONOBERGS LÄN</t>
        </is>
      </c>
      <c r="E310" t="inlineStr">
        <is>
          <t>ALVESTA</t>
        </is>
      </c>
      <c r="G310" t="n">
        <v>3.8</v>
      </c>
      <c r="H310" t="n">
        <v>0</v>
      </c>
      <c r="I310" t="n">
        <v>0</v>
      </c>
      <c r="J310" t="n">
        <v>0</v>
      </c>
      <c r="K310" t="n">
        <v>0</v>
      </c>
      <c r="L310" t="n">
        <v>0</v>
      </c>
      <c r="M310" t="n">
        <v>0</v>
      </c>
      <c r="N310" t="n">
        <v>0</v>
      </c>
      <c r="O310" t="n">
        <v>0</v>
      </c>
      <c r="P310" t="n">
        <v>0</v>
      </c>
      <c r="Q310" t="n">
        <v>0</v>
      </c>
      <c r="R310" s="2" t="inlineStr"/>
    </row>
    <row r="311" ht="15" customHeight="1">
      <c r="A311" t="inlineStr">
        <is>
          <t>A 27404-2021</t>
        </is>
      </c>
      <c r="B311" s="1" t="n">
        <v>44351.48209490741</v>
      </c>
      <c r="C311" s="1" t="n">
        <v>46103</v>
      </c>
      <c r="D311" t="inlineStr">
        <is>
          <t>KRONOBERGS LÄN</t>
        </is>
      </c>
      <c r="E311" t="inlineStr">
        <is>
          <t>ÄLMHULT</t>
        </is>
      </c>
      <c r="G311" t="n">
        <v>1.2</v>
      </c>
      <c r="H311" t="n">
        <v>0</v>
      </c>
      <c r="I311" t="n">
        <v>0</v>
      </c>
      <c r="J311" t="n">
        <v>0</v>
      </c>
      <c r="K311" t="n">
        <v>0</v>
      </c>
      <c r="L311" t="n">
        <v>0</v>
      </c>
      <c r="M311" t="n">
        <v>0</v>
      </c>
      <c r="N311" t="n">
        <v>0</v>
      </c>
      <c r="O311" t="n">
        <v>0</v>
      </c>
      <c r="P311" t="n">
        <v>0</v>
      </c>
      <c r="Q311" t="n">
        <v>0</v>
      </c>
      <c r="R311" s="2" t="inlineStr"/>
    </row>
    <row r="312" ht="15" customHeight="1">
      <c r="A312" t="inlineStr">
        <is>
          <t>A 22616-2021</t>
        </is>
      </c>
      <c r="B312" s="1" t="n">
        <v>44326</v>
      </c>
      <c r="C312" s="1" t="n">
        <v>46103</v>
      </c>
      <c r="D312" t="inlineStr">
        <is>
          <t>KRONOBERGS LÄN</t>
        </is>
      </c>
      <c r="E312" t="inlineStr">
        <is>
          <t>TINGSRYD</t>
        </is>
      </c>
      <c r="G312" t="n">
        <v>6.9</v>
      </c>
      <c r="H312" t="n">
        <v>0</v>
      </c>
      <c r="I312" t="n">
        <v>0</v>
      </c>
      <c r="J312" t="n">
        <v>0</v>
      </c>
      <c r="K312" t="n">
        <v>0</v>
      </c>
      <c r="L312" t="n">
        <v>0</v>
      </c>
      <c r="M312" t="n">
        <v>0</v>
      </c>
      <c r="N312" t="n">
        <v>0</v>
      </c>
      <c r="O312" t="n">
        <v>0</v>
      </c>
      <c r="P312" t="n">
        <v>0</v>
      </c>
      <c r="Q312" t="n">
        <v>0</v>
      </c>
      <c r="R312" s="2" t="inlineStr"/>
    </row>
    <row r="313" ht="15" customHeight="1">
      <c r="A313" t="inlineStr">
        <is>
          <t>A 22623-2021</t>
        </is>
      </c>
      <c r="B313" s="1" t="n">
        <v>44327.46094907408</v>
      </c>
      <c r="C313" s="1" t="n">
        <v>46103</v>
      </c>
      <c r="D313" t="inlineStr">
        <is>
          <t>KRONOBERGS LÄN</t>
        </is>
      </c>
      <c r="E313" t="inlineStr">
        <is>
          <t>LESSEBO</t>
        </is>
      </c>
      <c r="F313" t="inlineStr">
        <is>
          <t>Kommuner</t>
        </is>
      </c>
      <c r="G313" t="n">
        <v>1.2</v>
      </c>
      <c r="H313" t="n">
        <v>0</v>
      </c>
      <c r="I313" t="n">
        <v>0</v>
      </c>
      <c r="J313" t="n">
        <v>0</v>
      </c>
      <c r="K313" t="n">
        <v>0</v>
      </c>
      <c r="L313" t="n">
        <v>0</v>
      </c>
      <c r="M313" t="n">
        <v>0</v>
      </c>
      <c r="N313" t="n">
        <v>0</v>
      </c>
      <c r="O313" t="n">
        <v>0</v>
      </c>
      <c r="P313" t="n">
        <v>0</v>
      </c>
      <c r="Q313" t="n">
        <v>0</v>
      </c>
      <c r="R313" s="2" t="inlineStr"/>
    </row>
    <row r="314" ht="15" customHeight="1">
      <c r="A314" t="inlineStr">
        <is>
          <t>A 22639-2021</t>
        </is>
      </c>
      <c r="B314" s="1" t="n">
        <v>44327.4812037037</v>
      </c>
      <c r="C314" s="1" t="n">
        <v>46103</v>
      </c>
      <c r="D314" t="inlineStr">
        <is>
          <t>KRONOBERGS LÄN</t>
        </is>
      </c>
      <c r="E314" t="inlineStr">
        <is>
          <t>LESSEBO</t>
        </is>
      </c>
      <c r="F314" t="inlineStr">
        <is>
          <t>Kommuner</t>
        </is>
      </c>
      <c r="G314" t="n">
        <v>0.6</v>
      </c>
      <c r="H314" t="n">
        <v>0</v>
      </c>
      <c r="I314" t="n">
        <v>0</v>
      </c>
      <c r="J314" t="n">
        <v>0</v>
      </c>
      <c r="K314" t="n">
        <v>0</v>
      </c>
      <c r="L314" t="n">
        <v>0</v>
      </c>
      <c r="M314" t="n">
        <v>0</v>
      </c>
      <c r="N314" t="n">
        <v>0</v>
      </c>
      <c r="O314" t="n">
        <v>0</v>
      </c>
      <c r="P314" t="n">
        <v>0</v>
      </c>
      <c r="Q314" t="n">
        <v>0</v>
      </c>
      <c r="R314" s="2" t="inlineStr"/>
    </row>
    <row r="315" ht="15" customHeight="1">
      <c r="A315" t="inlineStr">
        <is>
          <t>A 15630-2021</t>
        </is>
      </c>
      <c r="B315" s="1" t="n">
        <v>44285</v>
      </c>
      <c r="C315" s="1" t="n">
        <v>46103</v>
      </c>
      <c r="D315" t="inlineStr">
        <is>
          <t>KRONOBERGS LÄN</t>
        </is>
      </c>
      <c r="E315" t="inlineStr">
        <is>
          <t>UPPVIDINGE</t>
        </is>
      </c>
      <c r="G315" t="n">
        <v>1.3</v>
      </c>
      <c r="H315" t="n">
        <v>0</v>
      </c>
      <c r="I315" t="n">
        <v>0</v>
      </c>
      <c r="J315" t="n">
        <v>0</v>
      </c>
      <c r="K315" t="n">
        <v>0</v>
      </c>
      <c r="L315" t="n">
        <v>0</v>
      </c>
      <c r="M315" t="n">
        <v>0</v>
      </c>
      <c r="N315" t="n">
        <v>0</v>
      </c>
      <c r="O315" t="n">
        <v>0</v>
      </c>
      <c r="P315" t="n">
        <v>0</v>
      </c>
      <c r="Q315" t="n">
        <v>0</v>
      </c>
      <c r="R315" s="2" t="inlineStr"/>
    </row>
    <row r="316" ht="15" customHeight="1">
      <c r="A316" t="inlineStr">
        <is>
          <t>A 18643-2021</t>
        </is>
      </c>
      <c r="B316" s="1" t="n">
        <v>44306.68837962963</v>
      </c>
      <c r="C316" s="1" t="n">
        <v>46103</v>
      </c>
      <c r="D316" t="inlineStr">
        <is>
          <t>KRONOBERGS LÄN</t>
        </is>
      </c>
      <c r="E316" t="inlineStr">
        <is>
          <t>ÄLMHULT</t>
        </is>
      </c>
      <c r="G316" t="n">
        <v>1.3</v>
      </c>
      <c r="H316" t="n">
        <v>0</v>
      </c>
      <c r="I316" t="n">
        <v>0</v>
      </c>
      <c r="J316" t="n">
        <v>0</v>
      </c>
      <c r="K316" t="n">
        <v>0</v>
      </c>
      <c r="L316" t="n">
        <v>0</v>
      </c>
      <c r="M316" t="n">
        <v>0</v>
      </c>
      <c r="N316" t="n">
        <v>0</v>
      </c>
      <c r="O316" t="n">
        <v>0</v>
      </c>
      <c r="P316" t="n">
        <v>0</v>
      </c>
      <c r="Q316" t="n">
        <v>0</v>
      </c>
      <c r="R316" s="2" t="inlineStr"/>
    </row>
    <row r="317" ht="15" customHeight="1">
      <c r="A317" t="inlineStr">
        <is>
          <t>A 21850-2021</t>
        </is>
      </c>
      <c r="B317" s="1" t="n">
        <v>44322</v>
      </c>
      <c r="C317" s="1" t="n">
        <v>46103</v>
      </c>
      <c r="D317" t="inlineStr">
        <is>
          <t>KRONOBERGS LÄN</t>
        </is>
      </c>
      <c r="E317" t="inlineStr">
        <is>
          <t>VÄXJÖ</t>
        </is>
      </c>
      <c r="G317" t="n">
        <v>0.9</v>
      </c>
      <c r="H317" t="n">
        <v>0</v>
      </c>
      <c r="I317" t="n">
        <v>0</v>
      </c>
      <c r="J317" t="n">
        <v>0</v>
      </c>
      <c r="K317" t="n">
        <v>0</v>
      </c>
      <c r="L317" t="n">
        <v>0</v>
      </c>
      <c r="M317" t="n">
        <v>0</v>
      </c>
      <c r="N317" t="n">
        <v>0</v>
      </c>
      <c r="O317" t="n">
        <v>0</v>
      </c>
      <c r="P317" t="n">
        <v>0</v>
      </c>
      <c r="Q317" t="n">
        <v>0</v>
      </c>
      <c r="R317" s="2" t="inlineStr"/>
    </row>
    <row r="318" ht="15" customHeight="1">
      <c r="A318" t="inlineStr">
        <is>
          <t>A 15554-2021</t>
        </is>
      </c>
      <c r="B318" s="1" t="n">
        <v>44285.5874537037</v>
      </c>
      <c r="C318" s="1" t="n">
        <v>46103</v>
      </c>
      <c r="D318" t="inlineStr">
        <is>
          <t>KRONOBERGS LÄN</t>
        </is>
      </c>
      <c r="E318" t="inlineStr">
        <is>
          <t>LJUNGBY</t>
        </is>
      </c>
      <c r="G318" t="n">
        <v>0.7</v>
      </c>
      <c r="H318" t="n">
        <v>0</v>
      </c>
      <c r="I318" t="n">
        <v>0</v>
      </c>
      <c r="J318" t="n">
        <v>0</v>
      </c>
      <c r="K318" t="n">
        <v>0</v>
      </c>
      <c r="L318" t="n">
        <v>0</v>
      </c>
      <c r="M318" t="n">
        <v>0</v>
      </c>
      <c r="N318" t="n">
        <v>0</v>
      </c>
      <c r="O318" t="n">
        <v>0</v>
      </c>
      <c r="P318" t="n">
        <v>0</v>
      </c>
      <c r="Q318" t="n">
        <v>0</v>
      </c>
      <c r="R318" s="2" t="inlineStr"/>
    </row>
    <row r="319" ht="15" customHeight="1">
      <c r="A319" t="inlineStr">
        <is>
          <t>A 22614-2021</t>
        </is>
      </c>
      <c r="B319" s="1" t="n">
        <v>44327</v>
      </c>
      <c r="C319" s="1" t="n">
        <v>46103</v>
      </c>
      <c r="D319" t="inlineStr">
        <is>
          <t>KRONOBERGS LÄN</t>
        </is>
      </c>
      <c r="E319" t="inlineStr">
        <is>
          <t>VÄXJÖ</t>
        </is>
      </c>
      <c r="G319" t="n">
        <v>1</v>
      </c>
      <c r="H319" t="n">
        <v>0</v>
      </c>
      <c r="I319" t="n">
        <v>0</v>
      </c>
      <c r="J319" t="n">
        <v>0</v>
      </c>
      <c r="K319" t="n">
        <v>0</v>
      </c>
      <c r="L319" t="n">
        <v>0</v>
      </c>
      <c r="M319" t="n">
        <v>0</v>
      </c>
      <c r="N319" t="n">
        <v>0</v>
      </c>
      <c r="O319" t="n">
        <v>0</v>
      </c>
      <c r="P319" t="n">
        <v>0</v>
      </c>
      <c r="Q319" t="n">
        <v>0</v>
      </c>
      <c r="R319" s="2" t="inlineStr"/>
    </row>
    <row r="320" ht="15" customHeight="1">
      <c r="A320" t="inlineStr">
        <is>
          <t>A 22678-2021</t>
        </is>
      </c>
      <c r="B320" s="1" t="n">
        <v>44327.57842592592</v>
      </c>
      <c r="C320" s="1" t="n">
        <v>46103</v>
      </c>
      <c r="D320" t="inlineStr">
        <is>
          <t>KRONOBERGS LÄN</t>
        </is>
      </c>
      <c r="E320" t="inlineStr">
        <is>
          <t>ÄLMHULT</t>
        </is>
      </c>
      <c r="G320" t="n">
        <v>1.4</v>
      </c>
      <c r="H320" t="n">
        <v>0</v>
      </c>
      <c r="I320" t="n">
        <v>0</v>
      </c>
      <c r="J320" t="n">
        <v>0</v>
      </c>
      <c r="K320" t="n">
        <v>0</v>
      </c>
      <c r="L320" t="n">
        <v>0</v>
      </c>
      <c r="M320" t="n">
        <v>0</v>
      </c>
      <c r="N320" t="n">
        <v>0</v>
      </c>
      <c r="O320" t="n">
        <v>0</v>
      </c>
      <c r="P320" t="n">
        <v>0</v>
      </c>
      <c r="Q320" t="n">
        <v>0</v>
      </c>
      <c r="R320" s="2" t="inlineStr"/>
    </row>
    <row r="321" ht="15" customHeight="1">
      <c r="A321" t="inlineStr">
        <is>
          <t>A 20364-2021</t>
        </is>
      </c>
      <c r="B321" s="1" t="n">
        <v>44315</v>
      </c>
      <c r="C321" s="1" t="n">
        <v>46103</v>
      </c>
      <c r="D321" t="inlineStr">
        <is>
          <t>KRONOBERGS LÄN</t>
        </is>
      </c>
      <c r="E321" t="inlineStr">
        <is>
          <t>ÄLMHULT</t>
        </is>
      </c>
      <c r="G321" t="n">
        <v>2.5</v>
      </c>
      <c r="H321" t="n">
        <v>0</v>
      </c>
      <c r="I321" t="n">
        <v>0</v>
      </c>
      <c r="J321" t="n">
        <v>0</v>
      </c>
      <c r="K321" t="n">
        <v>0</v>
      </c>
      <c r="L321" t="n">
        <v>0</v>
      </c>
      <c r="M321" t="n">
        <v>0</v>
      </c>
      <c r="N321" t="n">
        <v>0</v>
      </c>
      <c r="O321" t="n">
        <v>0</v>
      </c>
      <c r="P321" t="n">
        <v>0</v>
      </c>
      <c r="Q321" t="n">
        <v>0</v>
      </c>
      <c r="R321" s="2" t="inlineStr"/>
    </row>
    <row r="322" ht="15" customHeight="1">
      <c r="A322" t="inlineStr">
        <is>
          <t>A 22695-2021</t>
        </is>
      </c>
      <c r="B322" s="1" t="n">
        <v>44327.59131944444</v>
      </c>
      <c r="C322" s="1" t="n">
        <v>46103</v>
      </c>
      <c r="D322" t="inlineStr">
        <is>
          <t>KRONOBERGS LÄN</t>
        </is>
      </c>
      <c r="E322" t="inlineStr">
        <is>
          <t>LJUNGBY</t>
        </is>
      </c>
      <c r="G322" t="n">
        <v>0.4</v>
      </c>
      <c r="H322" t="n">
        <v>0</v>
      </c>
      <c r="I322" t="n">
        <v>0</v>
      </c>
      <c r="J322" t="n">
        <v>0</v>
      </c>
      <c r="K322" t="n">
        <v>0</v>
      </c>
      <c r="L322" t="n">
        <v>0</v>
      </c>
      <c r="M322" t="n">
        <v>0</v>
      </c>
      <c r="N322" t="n">
        <v>0</v>
      </c>
      <c r="O322" t="n">
        <v>0</v>
      </c>
      <c r="P322" t="n">
        <v>0</v>
      </c>
      <c r="Q322" t="n">
        <v>0</v>
      </c>
      <c r="R322" s="2" t="inlineStr"/>
    </row>
    <row r="323" ht="15" customHeight="1">
      <c r="A323" t="inlineStr">
        <is>
          <t>A 67427-2021</t>
        </is>
      </c>
      <c r="B323" s="1" t="n">
        <v>44524.32766203704</v>
      </c>
      <c r="C323" s="1" t="n">
        <v>46103</v>
      </c>
      <c r="D323" t="inlineStr">
        <is>
          <t>KRONOBERGS LÄN</t>
        </is>
      </c>
      <c r="E323" t="inlineStr">
        <is>
          <t>UPPVIDINGE</t>
        </is>
      </c>
      <c r="G323" t="n">
        <v>0.9</v>
      </c>
      <c r="H323" t="n">
        <v>0</v>
      </c>
      <c r="I323" t="n">
        <v>0</v>
      </c>
      <c r="J323" t="n">
        <v>0</v>
      </c>
      <c r="K323" t="n">
        <v>0</v>
      </c>
      <c r="L323" t="n">
        <v>0</v>
      </c>
      <c r="M323" t="n">
        <v>0</v>
      </c>
      <c r="N323" t="n">
        <v>0</v>
      </c>
      <c r="O323" t="n">
        <v>0</v>
      </c>
      <c r="P323" t="n">
        <v>0</v>
      </c>
      <c r="Q323" t="n">
        <v>0</v>
      </c>
      <c r="R323" s="2" t="inlineStr"/>
    </row>
    <row r="324" ht="15" customHeight="1">
      <c r="A324" t="inlineStr">
        <is>
          <t>A 48639-2021</t>
        </is>
      </c>
      <c r="B324" s="1" t="n">
        <v>44452</v>
      </c>
      <c r="C324" s="1" t="n">
        <v>46103</v>
      </c>
      <c r="D324" t="inlineStr">
        <is>
          <t>KRONOBERGS LÄN</t>
        </is>
      </c>
      <c r="E324" t="inlineStr">
        <is>
          <t>TINGSRYD</t>
        </is>
      </c>
      <c r="G324" t="n">
        <v>1.3</v>
      </c>
      <c r="H324" t="n">
        <v>0</v>
      </c>
      <c r="I324" t="n">
        <v>0</v>
      </c>
      <c r="J324" t="n">
        <v>0</v>
      </c>
      <c r="K324" t="n">
        <v>0</v>
      </c>
      <c r="L324" t="n">
        <v>0</v>
      </c>
      <c r="M324" t="n">
        <v>0</v>
      </c>
      <c r="N324" t="n">
        <v>0</v>
      </c>
      <c r="O324" t="n">
        <v>0</v>
      </c>
      <c r="P324" t="n">
        <v>0</v>
      </c>
      <c r="Q324" t="n">
        <v>0</v>
      </c>
      <c r="R324" s="2" t="inlineStr"/>
    </row>
    <row r="325" ht="15" customHeight="1">
      <c r="A325" t="inlineStr">
        <is>
          <t>A 26878-2021</t>
        </is>
      </c>
      <c r="B325" s="1" t="n">
        <v>44349.62545138889</v>
      </c>
      <c r="C325" s="1" t="n">
        <v>46103</v>
      </c>
      <c r="D325" t="inlineStr">
        <is>
          <t>KRONOBERGS LÄN</t>
        </is>
      </c>
      <c r="E325" t="inlineStr">
        <is>
          <t>MARKARYD</t>
        </is>
      </c>
      <c r="G325" t="n">
        <v>1.1</v>
      </c>
      <c r="H325" t="n">
        <v>0</v>
      </c>
      <c r="I325" t="n">
        <v>0</v>
      </c>
      <c r="J325" t="n">
        <v>0</v>
      </c>
      <c r="K325" t="n">
        <v>0</v>
      </c>
      <c r="L325" t="n">
        <v>0</v>
      </c>
      <c r="M325" t="n">
        <v>0</v>
      </c>
      <c r="N325" t="n">
        <v>0</v>
      </c>
      <c r="O325" t="n">
        <v>0</v>
      </c>
      <c r="P325" t="n">
        <v>0</v>
      </c>
      <c r="Q325" t="n">
        <v>0</v>
      </c>
      <c r="R325" s="2" t="inlineStr"/>
    </row>
    <row r="326" ht="15" customHeight="1">
      <c r="A326" t="inlineStr">
        <is>
          <t>A 49239-2021</t>
        </is>
      </c>
      <c r="B326" s="1" t="n">
        <v>44454</v>
      </c>
      <c r="C326" s="1" t="n">
        <v>46103</v>
      </c>
      <c r="D326" t="inlineStr">
        <is>
          <t>KRONOBERGS LÄN</t>
        </is>
      </c>
      <c r="E326" t="inlineStr">
        <is>
          <t>MARKARYD</t>
        </is>
      </c>
      <c r="F326" t="inlineStr">
        <is>
          <t>Kommuner</t>
        </is>
      </c>
      <c r="G326" t="n">
        <v>0.6</v>
      </c>
      <c r="H326" t="n">
        <v>0</v>
      </c>
      <c r="I326" t="n">
        <v>0</v>
      </c>
      <c r="J326" t="n">
        <v>0</v>
      </c>
      <c r="K326" t="n">
        <v>0</v>
      </c>
      <c r="L326" t="n">
        <v>0</v>
      </c>
      <c r="M326" t="n">
        <v>0</v>
      </c>
      <c r="N326" t="n">
        <v>0</v>
      </c>
      <c r="O326" t="n">
        <v>0</v>
      </c>
      <c r="P326" t="n">
        <v>0</v>
      </c>
      <c r="Q326" t="n">
        <v>0</v>
      </c>
      <c r="R326" s="2" t="inlineStr"/>
    </row>
    <row r="327" ht="15" customHeight="1">
      <c r="A327" t="inlineStr">
        <is>
          <t>A 17340-2021</t>
        </is>
      </c>
      <c r="B327" s="1" t="n">
        <v>44298</v>
      </c>
      <c r="C327" s="1" t="n">
        <v>46103</v>
      </c>
      <c r="D327" t="inlineStr">
        <is>
          <t>KRONOBERGS LÄN</t>
        </is>
      </c>
      <c r="E327" t="inlineStr">
        <is>
          <t>TINGSRYD</t>
        </is>
      </c>
      <c r="G327" t="n">
        <v>0.6</v>
      </c>
      <c r="H327" t="n">
        <v>0</v>
      </c>
      <c r="I327" t="n">
        <v>0</v>
      </c>
      <c r="J327" t="n">
        <v>0</v>
      </c>
      <c r="K327" t="n">
        <v>0</v>
      </c>
      <c r="L327" t="n">
        <v>0</v>
      </c>
      <c r="M327" t="n">
        <v>0</v>
      </c>
      <c r="N327" t="n">
        <v>0</v>
      </c>
      <c r="O327" t="n">
        <v>0</v>
      </c>
      <c r="P327" t="n">
        <v>0</v>
      </c>
      <c r="Q327" t="n">
        <v>0</v>
      </c>
      <c r="R327" s="2" t="inlineStr"/>
    </row>
    <row r="328" ht="15" customHeight="1">
      <c r="A328" t="inlineStr">
        <is>
          <t>A 17485-2021</t>
        </is>
      </c>
      <c r="B328" s="1" t="n">
        <v>44299</v>
      </c>
      <c r="C328" s="1" t="n">
        <v>46103</v>
      </c>
      <c r="D328" t="inlineStr">
        <is>
          <t>KRONOBERGS LÄN</t>
        </is>
      </c>
      <c r="E328" t="inlineStr">
        <is>
          <t>VÄXJÖ</t>
        </is>
      </c>
      <c r="G328" t="n">
        <v>1.9</v>
      </c>
      <c r="H328" t="n">
        <v>0</v>
      </c>
      <c r="I328" t="n">
        <v>0</v>
      </c>
      <c r="J328" t="n">
        <v>0</v>
      </c>
      <c r="K328" t="n">
        <v>0</v>
      </c>
      <c r="L328" t="n">
        <v>0</v>
      </c>
      <c r="M328" t="n">
        <v>0</v>
      </c>
      <c r="N328" t="n">
        <v>0</v>
      </c>
      <c r="O328" t="n">
        <v>0</v>
      </c>
      <c r="P328" t="n">
        <v>0</v>
      </c>
      <c r="Q328" t="n">
        <v>0</v>
      </c>
      <c r="R328" s="2" t="inlineStr"/>
    </row>
    <row r="329" ht="15" customHeight="1">
      <c r="A329" t="inlineStr">
        <is>
          <t>A 50855-2021</t>
        </is>
      </c>
      <c r="B329" s="1" t="n">
        <v>44460.54369212963</v>
      </c>
      <c r="C329" s="1" t="n">
        <v>46103</v>
      </c>
      <c r="D329" t="inlineStr">
        <is>
          <t>KRONOBERGS LÄN</t>
        </is>
      </c>
      <c r="E329" t="inlineStr">
        <is>
          <t>TINGSRYD</t>
        </is>
      </c>
      <c r="G329" t="n">
        <v>0.7</v>
      </c>
      <c r="H329" t="n">
        <v>0</v>
      </c>
      <c r="I329" t="n">
        <v>0</v>
      </c>
      <c r="J329" t="n">
        <v>0</v>
      </c>
      <c r="K329" t="n">
        <v>0</v>
      </c>
      <c r="L329" t="n">
        <v>0</v>
      </c>
      <c r="M329" t="n">
        <v>0</v>
      </c>
      <c r="N329" t="n">
        <v>0</v>
      </c>
      <c r="O329" t="n">
        <v>0</v>
      </c>
      <c r="P329" t="n">
        <v>0</v>
      </c>
      <c r="Q329" t="n">
        <v>0</v>
      </c>
      <c r="R329" s="2" t="inlineStr"/>
    </row>
    <row r="330" ht="15" customHeight="1">
      <c r="A330" t="inlineStr">
        <is>
          <t>A 60357-2021</t>
        </is>
      </c>
      <c r="B330" s="1" t="n">
        <v>44501</v>
      </c>
      <c r="C330" s="1" t="n">
        <v>46103</v>
      </c>
      <c r="D330" t="inlineStr">
        <is>
          <t>KRONOBERGS LÄN</t>
        </is>
      </c>
      <c r="E330" t="inlineStr">
        <is>
          <t>VÄXJÖ</t>
        </is>
      </c>
      <c r="G330" t="n">
        <v>0.7</v>
      </c>
      <c r="H330" t="n">
        <v>0</v>
      </c>
      <c r="I330" t="n">
        <v>0</v>
      </c>
      <c r="J330" t="n">
        <v>0</v>
      </c>
      <c r="K330" t="n">
        <v>0</v>
      </c>
      <c r="L330" t="n">
        <v>0</v>
      </c>
      <c r="M330" t="n">
        <v>0</v>
      </c>
      <c r="N330" t="n">
        <v>0</v>
      </c>
      <c r="O330" t="n">
        <v>0</v>
      </c>
      <c r="P330" t="n">
        <v>0</v>
      </c>
      <c r="Q330" t="n">
        <v>0</v>
      </c>
      <c r="R330" s="2" t="inlineStr"/>
    </row>
    <row r="331" ht="15" customHeight="1">
      <c r="A331" t="inlineStr">
        <is>
          <t>A 28658-2021</t>
        </is>
      </c>
      <c r="B331" s="1" t="n">
        <v>44357</v>
      </c>
      <c r="C331" s="1" t="n">
        <v>46103</v>
      </c>
      <c r="D331" t="inlineStr">
        <is>
          <t>KRONOBERGS LÄN</t>
        </is>
      </c>
      <c r="E331" t="inlineStr">
        <is>
          <t>LJUNGBY</t>
        </is>
      </c>
      <c r="G331" t="n">
        <v>3.6</v>
      </c>
      <c r="H331" t="n">
        <v>0</v>
      </c>
      <c r="I331" t="n">
        <v>0</v>
      </c>
      <c r="J331" t="n">
        <v>0</v>
      </c>
      <c r="K331" t="n">
        <v>0</v>
      </c>
      <c r="L331" t="n">
        <v>0</v>
      </c>
      <c r="M331" t="n">
        <v>0</v>
      </c>
      <c r="N331" t="n">
        <v>0</v>
      </c>
      <c r="O331" t="n">
        <v>0</v>
      </c>
      <c r="P331" t="n">
        <v>0</v>
      </c>
      <c r="Q331" t="n">
        <v>0</v>
      </c>
      <c r="R331" s="2" t="inlineStr"/>
    </row>
    <row r="332" ht="15" customHeight="1">
      <c r="A332" t="inlineStr">
        <is>
          <t>A 8652-2022</t>
        </is>
      </c>
      <c r="B332" s="1" t="n">
        <v>44613.65383101852</v>
      </c>
      <c r="C332" s="1" t="n">
        <v>46103</v>
      </c>
      <c r="D332" t="inlineStr">
        <is>
          <t>KRONOBERGS LÄN</t>
        </is>
      </c>
      <c r="E332" t="inlineStr">
        <is>
          <t>UPPVIDINGE</t>
        </is>
      </c>
      <c r="G332" t="n">
        <v>0.4</v>
      </c>
      <c r="H332" t="n">
        <v>0</v>
      </c>
      <c r="I332" t="n">
        <v>0</v>
      </c>
      <c r="J332" t="n">
        <v>0</v>
      </c>
      <c r="K332" t="n">
        <v>0</v>
      </c>
      <c r="L332" t="n">
        <v>0</v>
      </c>
      <c r="M332" t="n">
        <v>0</v>
      </c>
      <c r="N332" t="n">
        <v>0</v>
      </c>
      <c r="O332" t="n">
        <v>0</v>
      </c>
      <c r="P332" t="n">
        <v>0</v>
      </c>
      <c r="Q332" t="n">
        <v>0</v>
      </c>
      <c r="R332" s="2" t="inlineStr"/>
    </row>
    <row r="333" ht="15" customHeight="1">
      <c r="A333" t="inlineStr">
        <is>
          <t>A 5917-2022</t>
        </is>
      </c>
      <c r="B333" s="1" t="n">
        <v>44597</v>
      </c>
      <c r="C333" s="1" t="n">
        <v>46103</v>
      </c>
      <c r="D333" t="inlineStr">
        <is>
          <t>KRONOBERGS LÄN</t>
        </is>
      </c>
      <c r="E333" t="inlineStr">
        <is>
          <t>ALVESTA</t>
        </is>
      </c>
      <c r="G333" t="n">
        <v>0.5</v>
      </c>
      <c r="H333" t="n">
        <v>0</v>
      </c>
      <c r="I333" t="n">
        <v>0</v>
      </c>
      <c r="J333" t="n">
        <v>0</v>
      </c>
      <c r="K333" t="n">
        <v>0</v>
      </c>
      <c r="L333" t="n">
        <v>0</v>
      </c>
      <c r="M333" t="n">
        <v>0</v>
      </c>
      <c r="N333" t="n">
        <v>0</v>
      </c>
      <c r="O333" t="n">
        <v>0</v>
      </c>
      <c r="P333" t="n">
        <v>0</v>
      </c>
      <c r="Q333" t="n">
        <v>0</v>
      </c>
      <c r="R333" s="2" t="inlineStr"/>
    </row>
    <row r="334" ht="15" customHeight="1">
      <c r="A334" t="inlineStr">
        <is>
          <t>A 57305-2021</t>
        </is>
      </c>
      <c r="B334" s="1" t="n">
        <v>44483.4240625</v>
      </c>
      <c r="C334" s="1" t="n">
        <v>46103</v>
      </c>
      <c r="D334" t="inlineStr">
        <is>
          <t>KRONOBERGS LÄN</t>
        </is>
      </c>
      <c r="E334" t="inlineStr">
        <is>
          <t>UPPVIDINGE</t>
        </is>
      </c>
      <c r="G334" t="n">
        <v>3.5</v>
      </c>
      <c r="H334" t="n">
        <v>0</v>
      </c>
      <c r="I334" t="n">
        <v>0</v>
      </c>
      <c r="J334" t="n">
        <v>0</v>
      </c>
      <c r="K334" t="n">
        <v>0</v>
      </c>
      <c r="L334" t="n">
        <v>0</v>
      </c>
      <c r="M334" t="n">
        <v>0</v>
      </c>
      <c r="N334" t="n">
        <v>0</v>
      </c>
      <c r="O334" t="n">
        <v>0</v>
      </c>
      <c r="P334" t="n">
        <v>0</v>
      </c>
      <c r="Q334" t="n">
        <v>0</v>
      </c>
      <c r="R334" s="2" t="inlineStr"/>
    </row>
    <row r="335" ht="15" customHeight="1">
      <c r="A335" t="inlineStr">
        <is>
          <t>A 71126-2021</t>
        </is>
      </c>
      <c r="B335" s="1" t="n">
        <v>44539.38949074074</v>
      </c>
      <c r="C335" s="1" t="n">
        <v>46103</v>
      </c>
      <c r="D335" t="inlineStr">
        <is>
          <t>KRONOBERGS LÄN</t>
        </is>
      </c>
      <c r="E335" t="inlineStr">
        <is>
          <t>TINGSRYD</t>
        </is>
      </c>
      <c r="G335" t="n">
        <v>3.7</v>
      </c>
      <c r="H335" t="n">
        <v>0</v>
      </c>
      <c r="I335" t="n">
        <v>0</v>
      </c>
      <c r="J335" t="n">
        <v>0</v>
      </c>
      <c r="K335" t="n">
        <v>0</v>
      </c>
      <c r="L335" t="n">
        <v>0</v>
      </c>
      <c r="M335" t="n">
        <v>0</v>
      </c>
      <c r="N335" t="n">
        <v>0</v>
      </c>
      <c r="O335" t="n">
        <v>0</v>
      </c>
      <c r="P335" t="n">
        <v>0</v>
      </c>
      <c r="Q335" t="n">
        <v>0</v>
      </c>
      <c r="R335" s="2" t="inlineStr"/>
    </row>
    <row r="336" ht="15" customHeight="1">
      <c r="A336" t="inlineStr">
        <is>
          <t>A 29698-2022</t>
        </is>
      </c>
      <c r="B336" s="1" t="n">
        <v>44755</v>
      </c>
      <c r="C336" s="1" t="n">
        <v>46103</v>
      </c>
      <c r="D336" t="inlineStr">
        <is>
          <t>KRONOBERGS LÄN</t>
        </is>
      </c>
      <c r="E336" t="inlineStr">
        <is>
          <t>TINGSRYD</t>
        </is>
      </c>
      <c r="G336" t="n">
        <v>0.5</v>
      </c>
      <c r="H336" t="n">
        <v>0</v>
      </c>
      <c r="I336" t="n">
        <v>0</v>
      </c>
      <c r="J336" t="n">
        <v>0</v>
      </c>
      <c r="K336" t="n">
        <v>0</v>
      </c>
      <c r="L336" t="n">
        <v>0</v>
      </c>
      <c r="M336" t="n">
        <v>0</v>
      </c>
      <c r="N336" t="n">
        <v>0</v>
      </c>
      <c r="O336" t="n">
        <v>0</v>
      </c>
      <c r="P336" t="n">
        <v>0</v>
      </c>
      <c r="Q336" t="n">
        <v>0</v>
      </c>
      <c r="R336" s="2" t="inlineStr"/>
    </row>
    <row r="337" ht="15" customHeight="1">
      <c r="A337" t="inlineStr">
        <is>
          <t>A 22384-2022</t>
        </is>
      </c>
      <c r="B337" s="1" t="n">
        <v>44713</v>
      </c>
      <c r="C337" s="1" t="n">
        <v>46103</v>
      </c>
      <c r="D337" t="inlineStr">
        <is>
          <t>KRONOBERGS LÄN</t>
        </is>
      </c>
      <c r="E337" t="inlineStr">
        <is>
          <t>TINGSRYD</t>
        </is>
      </c>
      <c r="G337" t="n">
        <v>0.8</v>
      </c>
      <c r="H337" t="n">
        <v>0</v>
      </c>
      <c r="I337" t="n">
        <v>0</v>
      </c>
      <c r="J337" t="n">
        <v>0</v>
      </c>
      <c r="K337" t="n">
        <v>0</v>
      </c>
      <c r="L337" t="n">
        <v>0</v>
      </c>
      <c r="M337" t="n">
        <v>0</v>
      </c>
      <c r="N337" t="n">
        <v>0</v>
      </c>
      <c r="O337" t="n">
        <v>0</v>
      </c>
      <c r="P337" t="n">
        <v>0</v>
      </c>
      <c r="Q337" t="n">
        <v>0</v>
      </c>
      <c r="R337" s="2" t="inlineStr"/>
    </row>
    <row r="338" ht="15" customHeight="1">
      <c r="A338" t="inlineStr">
        <is>
          <t>A 28387-2021</t>
        </is>
      </c>
      <c r="B338" s="1" t="n">
        <v>44356.4577662037</v>
      </c>
      <c r="C338" s="1" t="n">
        <v>46103</v>
      </c>
      <c r="D338" t="inlineStr">
        <is>
          <t>KRONOBERGS LÄN</t>
        </is>
      </c>
      <c r="E338" t="inlineStr">
        <is>
          <t>TINGSRYD</t>
        </is>
      </c>
      <c r="G338" t="n">
        <v>0.7</v>
      </c>
      <c r="H338" t="n">
        <v>0</v>
      </c>
      <c r="I338" t="n">
        <v>0</v>
      </c>
      <c r="J338" t="n">
        <v>0</v>
      </c>
      <c r="K338" t="n">
        <v>0</v>
      </c>
      <c r="L338" t="n">
        <v>0</v>
      </c>
      <c r="M338" t="n">
        <v>0</v>
      </c>
      <c r="N338" t="n">
        <v>0</v>
      </c>
      <c r="O338" t="n">
        <v>0</v>
      </c>
      <c r="P338" t="n">
        <v>0</v>
      </c>
      <c r="Q338" t="n">
        <v>0</v>
      </c>
      <c r="R338" s="2" t="inlineStr"/>
    </row>
    <row r="339" ht="15" customHeight="1">
      <c r="A339" t="inlineStr">
        <is>
          <t>A 38691-2022</t>
        </is>
      </c>
      <c r="B339" s="1" t="n">
        <v>44814</v>
      </c>
      <c r="C339" s="1" t="n">
        <v>46103</v>
      </c>
      <c r="D339" t="inlineStr">
        <is>
          <t>KRONOBERGS LÄN</t>
        </is>
      </c>
      <c r="E339" t="inlineStr">
        <is>
          <t>VÄXJÖ</t>
        </is>
      </c>
      <c r="G339" t="n">
        <v>1.2</v>
      </c>
      <c r="H339" t="n">
        <v>0</v>
      </c>
      <c r="I339" t="n">
        <v>0</v>
      </c>
      <c r="J339" t="n">
        <v>0</v>
      </c>
      <c r="K339" t="n">
        <v>0</v>
      </c>
      <c r="L339" t="n">
        <v>0</v>
      </c>
      <c r="M339" t="n">
        <v>0</v>
      </c>
      <c r="N339" t="n">
        <v>0</v>
      </c>
      <c r="O339" t="n">
        <v>0</v>
      </c>
      <c r="P339" t="n">
        <v>0</v>
      </c>
      <c r="Q339" t="n">
        <v>0</v>
      </c>
      <c r="R339" s="2" t="inlineStr"/>
    </row>
    <row r="340" ht="15" customHeight="1">
      <c r="A340" t="inlineStr">
        <is>
          <t>A 41399-2021</t>
        </is>
      </c>
      <c r="B340" s="1" t="n">
        <v>44424</v>
      </c>
      <c r="C340" s="1" t="n">
        <v>46103</v>
      </c>
      <c r="D340" t="inlineStr">
        <is>
          <t>KRONOBERGS LÄN</t>
        </is>
      </c>
      <c r="E340" t="inlineStr">
        <is>
          <t>TINGSRYD</t>
        </is>
      </c>
      <c r="G340" t="n">
        <v>0.5</v>
      </c>
      <c r="H340" t="n">
        <v>0</v>
      </c>
      <c r="I340" t="n">
        <v>0</v>
      </c>
      <c r="J340" t="n">
        <v>0</v>
      </c>
      <c r="K340" t="n">
        <v>0</v>
      </c>
      <c r="L340" t="n">
        <v>0</v>
      </c>
      <c r="M340" t="n">
        <v>0</v>
      </c>
      <c r="N340" t="n">
        <v>0</v>
      </c>
      <c r="O340" t="n">
        <v>0</v>
      </c>
      <c r="P340" t="n">
        <v>0</v>
      </c>
      <c r="Q340" t="n">
        <v>0</v>
      </c>
      <c r="R340" s="2" t="inlineStr"/>
    </row>
    <row r="341" ht="15" customHeight="1">
      <c r="A341" t="inlineStr">
        <is>
          <t>A 13379-2022</t>
        </is>
      </c>
      <c r="B341" s="1" t="n">
        <v>44645.46194444445</v>
      </c>
      <c r="C341" s="1" t="n">
        <v>46103</v>
      </c>
      <c r="D341" t="inlineStr">
        <is>
          <t>KRONOBERGS LÄN</t>
        </is>
      </c>
      <c r="E341" t="inlineStr">
        <is>
          <t>VÄXJÖ</t>
        </is>
      </c>
      <c r="G341" t="n">
        <v>0.5</v>
      </c>
      <c r="H341" t="n">
        <v>0</v>
      </c>
      <c r="I341" t="n">
        <v>0</v>
      </c>
      <c r="J341" t="n">
        <v>0</v>
      </c>
      <c r="K341" t="n">
        <v>0</v>
      </c>
      <c r="L341" t="n">
        <v>0</v>
      </c>
      <c r="M341" t="n">
        <v>0</v>
      </c>
      <c r="N341" t="n">
        <v>0</v>
      </c>
      <c r="O341" t="n">
        <v>0</v>
      </c>
      <c r="P341" t="n">
        <v>0</v>
      </c>
      <c r="Q341" t="n">
        <v>0</v>
      </c>
      <c r="R341" s="2" t="inlineStr"/>
    </row>
    <row r="342" ht="15" customHeight="1">
      <c r="A342" t="inlineStr">
        <is>
          <t>A 45748-2021</t>
        </is>
      </c>
      <c r="B342" s="1" t="n">
        <v>44441</v>
      </c>
      <c r="C342" s="1" t="n">
        <v>46103</v>
      </c>
      <c r="D342" t="inlineStr">
        <is>
          <t>KRONOBERGS LÄN</t>
        </is>
      </c>
      <c r="E342" t="inlineStr">
        <is>
          <t>LJUNGBY</t>
        </is>
      </c>
      <c r="G342" t="n">
        <v>0.6</v>
      </c>
      <c r="H342" t="n">
        <v>0</v>
      </c>
      <c r="I342" t="n">
        <v>0</v>
      </c>
      <c r="J342" t="n">
        <v>0</v>
      </c>
      <c r="K342" t="n">
        <v>0</v>
      </c>
      <c r="L342" t="n">
        <v>0</v>
      </c>
      <c r="M342" t="n">
        <v>0</v>
      </c>
      <c r="N342" t="n">
        <v>0</v>
      </c>
      <c r="O342" t="n">
        <v>0</v>
      </c>
      <c r="P342" t="n">
        <v>0</v>
      </c>
      <c r="Q342" t="n">
        <v>0</v>
      </c>
      <c r="R342" s="2" t="inlineStr"/>
    </row>
    <row r="343" ht="15" customHeight="1">
      <c r="A343" t="inlineStr">
        <is>
          <t>A 44757-2021</t>
        </is>
      </c>
      <c r="B343" s="1" t="n">
        <v>44438</v>
      </c>
      <c r="C343" s="1" t="n">
        <v>46103</v>
      </c>
      <c r="D343" t="inlineStr">
        <is>
          <t>KRONOBERGS LÄN</t>
        </is>
      </c>
      <c r="E343" t="inlineStr">
        <is>
          <t>VÄXJÖ</t>
        </is>
      </c>
      <c r="G343" t="n">
        <v>2.4</v>
      </c>
      <c r="H343" t="n">
        <v>0</v>
      </c>
      <c r="I343" t="n">
        <v>0</v>
      </c>
      <c r="J343" t="n">
        <v>0</v>
      </c>
      <c r="K343" t="n">
        <v>0</v>
      </c>
      <c r="L343" t="n">
        <v>0</v>
      </c>
      <c r="M343" t="n">
        <v>0</v>
      </c>
      <c r="N343" t="n">
        <v>0</v>
      </c>
      <c r="O343" t="n">
        <v>0</v>
      </c>
      <c r="P343" t="n">
        <v>0</v>
      </c>
      <c r="Q343" t="n">
        <v>0</v>
      </c>
      <c r="R343" s="2" t="inlineStr"/>
    </row>
    <row r="344" ht="15" customHeight="1">
      <c r="A344" t="inlineStr">
        <is>
          <t>A 46725-2021</t>
        </is>
      </c>
      <c r="B344" s="1" t="n">
        <v>44445</v>
      </c>
      <c r="C344" s="1" t="n">
        <v>46103</v>
      </c>
      <c r="D344" t="inlineStr">
        <is>
          <t>KRONOBERGS LÄN</t>
        </is>
      </c>
      <c r="E344" t="inlineStr">
        <is>
          <t>TINGSRYD</t>
        </is>
      </c>
      <c r="G344" t="n">
        <v>0.6</v>
      </c>
      <c r="H344" t="n">
        <v>0</v>
      </c>
      <c r="I344" t="n">
        <v>0</v>
      </c>
      <c r="J344" t="n">
        <v>0</v>
      </c>
      <c r="K344" t="n">
        <v>0</v>
      </c>
      <c r="L344" t="n">
        <v>0</v>
      </c>
      <c r="M344" t="n">
        <v>0</v>
      </c>
      <c r="N344" t="n">
        <v>0</v>
      </c>
      <c r="O344" t="n">
        <v>0</v>
      </c>
      <c r="P344" t="n">
        <v>0</v>
      </c>
      <c r="Q344" t="n">
        <v>0</v>
      </c>
      <c r="R344" s="2" t="inlineStr"/>
    </row>
    <row r="345" ht="15" customHeight="1">
      <c r="A345" t="inlineStr">
        <is>
          <t>A 38872-2021</t>
        </is>
      </c>
      <c r="B345" s="1" t="n">
        <v>44410</v>
      </c>
      <c r="C345" s="1" t="n">
        <v>46103</v>
      </c>
      <c r="D345" t="inlineStr">
        <is>
          <t>KRONOBERGS LÄN</t>
        </is>
      </c>
      <c r="E345" t="inlineStr">
        <is>
          <t>LJUNGBY</t>
        </is>
      </c>
      <c r="G345" t="n">
        <v>8.6</v>
      </c>
      <c r="H345" t="n">
        <v>0</v>
      </c>
      <c r="I345" t="n">
        <v>0</v>
      </c>
      <c r="J345" t="n">
        <v>0</v>
      </c>
      <c r="K345" t="n">
        <v>0</v>
      </c>
      <c r="L345" t="n">
        <v>0</v>
      </c>
      <c r="M345" t="n">
        <v>0</v>
      </c>
      <c r="N345" t="n">
        <v>0</v>
      </c>
      <c r="O345" t="n">
        <v>0</v>
      </c>
      <c r="P345" t="n">
        <v>0</v>
      </c>
      <c r="Q345" t="n">
        <v>0</v>
      </c>
      <c r="R345" s="2" t="inlineStr"/>
    </row>
    <row r="346" ht="15" customHeight="1">
      <c r="A346" t="inlineStr">
        <is>
          <t>A 46842-2021</t>
        </is>
      </c>
      <c r="B346" s="1" t="n">
        <v>44446.36678240741</v>
      </c>
      <c r="C346" s="1" t="n">
        <v>46103</v>
      </c>
      <c r="D346" t="inlineStr">
        <is>
          <t>KRONOBERGS LÄN</t>
        </is>
      </c>
      <c r="E346" t="inlineStr">
        <is>
          <t>VÄXJÖ</t>
        </is>
      </c>
      <c r="G346" t="n">
        <v>1.4</v>
      </c>
      <c r="H346" t="n">
        <v>0</v>
      </c>
      <c r="I346" t="n">
        <v>0</v>
      </c>
      <c r="J346" t="n">
        <v>0</v>
      </c>
      <c r="K346" t="n">
        <v>0</v>
      </c>
      <c r="L346" t="n">
        <v>0</v>
      </c>
      <c r="M346" t="n">
        <v>0</v>
      </c>
      <c r="N346" t="n">
        <v>0</v>
      </c>
      <c r="O346" t="n">
        <v>0</v>
      </c>
      <c r="P346" t="n">
        <v>0</v>
      </c>
      <c r="Q346" t="n">
        <v>0</v>
      </c>
      <c r="R346" s="2" t="inlineStr"/>
    </row>
    <row r="347" ht="15" customHeight="1">
      <c r="A347" t="inlineStr">
        <is>
          <t>A 50271-2021</t>
        </is>
      </c>
      <c r="B347" s="1" t="n">
        <v>44459</v>
      </c>
      <c r="C347" s="1" t="n">
        <v>46103</v>
      </c>
      <c r="D347" t="inlineStr">
        <is>
          <t>KRONOBERGS LÄN</t>
        </is>
      </c>
      <c r="E347" t="inlineStr">
        <is>
          <t>LJUNGBY</t>
        </is>
      </c>
      <c r="G347" t="n">
        <v>0.7</v>
      </c>
      <c r="H347" t="n">
        <v>0</v>
      </c>
      <c r="I347" t="n">
        <v>0</v>
      </c>
      <c r="J347" t="n">
        <v>0</v>
      </c>
      <c r="K347" t="n">
        <v>0</v>
      </c>
      <c r="L347" t="n">
        <v>0</v>
      </c>
      <c r="M347" t="n">
        <v>0</v>
      </c>
      <c r="N347" t="n">
        <v>0</v>
      </c>
      <c r="O347" t="n">
        <v>0</v>
      </c>
      <c r="P347" t="n">
        <v>0</v>
      </c>
      <c r="Q347" t="n">
        <v>0</v>
      </c>
      <c r="R347" s="2" t="inlineStr"/>
    </row>
    <row r="348" ht="15" customHeight="1">
      <c r="A348" t="inlineStr">
        <is>
          <t>A 15855-2021</t>
        </is>
      </c>
      <c r="B348" s="1" t="n">
        <v>44286</v>
      </c>
      <c r="C348" s="1" t="n">
        <v>46103</v>
      </c>
      <c r="D348" t="inlineStr">
        <is>
          <t>KRONOBERGS LÄN</t>
        </is>
      </c>
      <c r="E348" t="inlineStr">
        <is>
          <t>ÄLMHULT</t>
        </is>
      </c>
      <c r="G348" t="n">
        <v>0.8</v>
      </c>
      <c r="H348" t="n">
        <v>0</v>
      </c>
      <c r="I348" t="n">
        <v>0</v>
      </c>
      <c r="J348" t="n">
        <v>0</v>
      </c>
      <c r="K348" t="n">
        <v>0</v>
      </c>
      <c r="L348" t="n">
        <v>0</v>
      </c>
      <c r="M348" t="n">
        <v>0</v>
      </c>
      <c r="N348" t="n">
        <v>0</v>
      </c>
      <c r="O348" t="n">
        <v>0</v>
      </c>
      <c r="P348" t="n">
        <v>0</v>
      </c>
      <c r="Q348" t="n">
        <v>0</v>
      </c>
      <c r="R348" s="2" t="inlineStr"/>
    </row>
    <row r="349" ht="15" customHeight="1">
      <c r="A349" t="inlineStr">
        <is>
          <t>A 18419-2021</t>
        </is>
      </c>
      <c r="B349" s="1" t="n">
        <v>44305</v>
      </c>
      <c r="C349" s="1" t="n">
        <v>46103</v>
      </c>
      <c r="D349" t="inlineStr">
        <is>
          <t>KRONOBERGS LÄN</t>
        </is>
      </c>
      <c r="E349" t="inlineStr">
        <is>
          <t>VÄXJÖ</t>
        </is>
      </c>
      <c r="G349" t="n">
        <v>1</v>
      </c>
      <c r="H349" t="n">
        <v>0</v>
      </c>
      <c r="I349" t="n">
        <v>0</v>
      </c>
      <c r="J349" t="n">
        <v>0</v>
      </c>
      <c r="K349" t="n">
        <v>0</v>
      </c>
      <c r="L349" t="n">
        <v>0</v>
      </c>
      <c r="M349" t="n">
        <v>0</v>
      </c>
      <c r="N349" t="n">
        <v>0</v>
      </c>
      <c r="O349" t="n">
        <v>0</v>
      </c>
      <c r="P349" t="n">
        <v>0</v>
      </c>
      <c r="Q349" t="n">
        <v>0</v>
      </c>
      <c r="R349" s="2" t="inlineStr"/>
    </row>
    <row r="350" ht="15" customHeight="1">
      <c r="A350" t="inlineStr">
        <is>
          <t>A 39099-2021</t>
        </is>
      </c>
      <c r="B350" s="1" t="n">
        <v>44412</v>
      </c>
      <c r="C350" s="1" t="n">
        <v>46103</v>
      </c>
      <c r="D350" t="inlineStr">
        <is>
          <t>KRONOBERGS LÄN</t>
        </is>
      </c>
      <c r="E350" t="inlineStr">
        <is>
          <t>TINGSRYD</t>
        </is>
      </c>
      <c r="G350" t="n">
        <v>2.2</v>
      </c>
      <c r="H350" t="n">
        <v>0</v>
      </c>
      <c r="I350" t="n">
        <v>0</v>
      </c>
      <c r="J350" t="n">
        <v>0</v>
      </c>
      <c r="K350" t="n">
        <v>0</v>
      </c>
      <c r="L350" t="n">
        <v>0</v>
      </c>
      <c r="M350" t="n">
        <v>0</v>
      </c>
      <c r="N350" t="n">
        <v>0</v>
      </c>
      <c r="O350" t="n">
        <v>0</v>
      </c>
      <c r="P350" t="n">
        <v>0</v>
      </c>
      <c r="Q350" t="n">
        <v>0</v>
      </c>
      <c r="R350" s="2" t="inlineStr"/>
    </row>
    <row r="351" ht="15" customHeight="1">
      <c r="A351" t="inlineStr">
        <is>
          <t>A 47580-2021</t>
        </is>
      </c>
      <c r="B351" s="1" t="n">
        <v>44447</v>
      </c>
      <c r="C351" s="1" t="n">
        <v>46103</v>
      </c>
      <c r="D351" t="inlineStr">
        <is>
          <t>KRONOBERGS LÄN</t>
        </is>
      </c>
      <c r="E351" t="inlineStr">
        <is>
          <t>UPPVIDINGE</t>
        </is>
      </c>
      <c r="G351" t="n">
        <v>2.8</v>
      </c>
      <c r="H351" t="n">
        <v>0</v>
      </c>
      <c r="I351" t="n">
        <v>0</v>
      </c>
      <c r="J351" t="n">
        <v>0</v>
      </c>
      <c r="K351" t="n">
        <v>0</v>
      </c>
      <c r="L351" t="n">
        <v>0</v>
      </c>
      <c r="M351" t="n">
        <v>0</v>
      </c>
      <c r="N351" t="n">
        <v>0</v>
      </c>
      <c r="O351" t="n">
        <v>0</v>
      </c>
      <c r="P351" t="n">
        <v>0</v>
      </c>
      <c r="Q351" t="n">
        <v>0</v>
      </c>
      <c r="R351" s="2" t="inlineStr"/>
    </row>
    <row r="352" ht="15" customHeight="1">
      <c r="A352" t="inlineStr">
        <is>
          <t>A 23160-2021</t>
        </is>
      </c>
      <c r="B352" s="1" t="n">
        <v>44332</v>
      </c>
      <c r="C352" s="1" t="n">
        <v>46103</v>
      </c>
      <c r="D352" t="inlineStr">
        <is>
          <t>KRONOBERGS LÄN</t>
        </is>
      </c>
      <c r="E352" t="inlineStr">
        <is>
          <t>TINGSRYD</t>
        </is>
      </c>
      <c r="G352" t="n">
        <v>1</v>
      </c>
      <c r="H352" t="n">
        <v>0</v>
      </c>
      <c r="I352" t="n">
        <v>0</v>
      </c>
      <c r="J352" t="n">
        <v>0</v>
      </c>
      <c r="K352" t="n">
        <v>0</v>
      </c>
      <c r="L352" t="n">
        <v>0</v>
      </c>
      <c r="M352" t="n">
        <v>0</v>
      </c>
      <c r="N352" t="n">
        <v>0</v>
      </c>
      <c r="O352" t="n">
        <v>0</v>
      </c>
      <c r="P352" t="n">
        <v>0</v>
      </c>
      <c r="Q352" t="n">
        <v>0</v>
      </c>
      <c r="R352" s="2" t="inlineStr"/>
    </row>
    <row r="353" ht="15" customHeight="1">
      <c r="A353" t="inlineStr">
        <is>
          <t>A 51341-2021</t>
        </is>
      </c>
      <c r="B353" s="1" t="n">
        <v>44461.63753472222</v>
      </c>
      <c r="C353" s="1" t="n">
        <v>46103</v>
      </c>
      <c r="D353" t="inlineStr">
        <is>
          <t>KRONOBERGS LÄN</t>
        </is>
      </c>
      <c r="E353" t="inlineStr">
        <is>
          <t>ALVESTA</t>
        </is>
      </c>
      <c r="G353" t="n">
        <v>3.1</v>
      </c>
      <c r="H353" t="n">
        <v>0</v>
      </c>
      <c r="I353" t="n">
        <v>0</v>
      </c>
      <c r="J353" t="n">
        <v>0</v>
      </c>
      <c r="K353" t="n">
        <v>0</v>
      </c>
      <c r="L353" t="n">
        <v>0</v>
      </c>
      <c r="M353" t="n">
        <v>0</v>
      </c>
      <c r="N353" t="n">
        <v>0</v>
      </c>
      <c r="O353" t="n">
        <v>0</v>
      </c>
      <c r="P353" t="n">
        <v>0</v>
      </c>
      <c r="Q353" t="n">
        <v>0</v>
      </c>
      <c r="R353" s="2" t="inlineStr"/>
    </row>
    <row r="354" ht="15" customHeight="1">
      <c r="A354" t="inlineStr">
        <is>
          <t>A 44991-2021</t>
        </is>
      </c>
      <c r="B354" s="1" t="n">
        <v>44438</v>
      </c>
      <c r="C354" s="1" t="n">
        <v>46103</v>
      </c>
      <c r="D354" t="inlineStr">
        <is>
          <t>KRONOBERGS LÄN</t>
        </is>
      </c>
      <c r="E354" t="inlineStr">
        <is>
          <t>ÄLMHULT</t>
        </is>
      </c>
      <c r="G354" t="n">
        <v>0.7</v>
      </c>
      <c r="H354" t="n">
        <v>0</v>
      </c>
      <c r="I354" t="n">
        <v>0</v>
      </c>
      <c r="J354" t="n">
        <v>0</v>
      </c>
      <c r="K354" t="n">
        <v>0</v>
      </c>
      <c r="L354" t="n">
        <v>0</v>
      </c>
      <c r="M354" t="n">
        <v>0</v>
      </c>
      <c r="N354" t="n">
        <v>0</v>
      </c>
      <c r="O354" t="n">
        <v>0</v>
      </c>
      <c r="P354" t="n">
        <v>0</v>
      </c>
      <c r="Q354" t="n">
        <v>0</v>
      </c>
      <c r="R354" s="2" t="inlineStr"/>
    </row>
    <row r="355" ht="15" customHeight="1">
      <c r="A355" t="inlineStr">
        <is>
          <t>A 8627-2022</t>
        </is>
      </c>
      <c r="B355" s="1" t="n">
        <v>44613.61299768519</v>
      </c>
      <c r="C355" s="1" t="n">
        <v>46103</v>
      </c>
      <c r="D355" t="inlineStr">
        <is>
          <t>KRONOBERGS LÄN</t>
        </is>
      </c>
      <c r="E355" t="inlineStr">
        <is>
          <t>ALVESTA</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17075-2021</t>
        </is>
      </c>
      <c r="B356" s="1" t="n">
        <v>44297</v>
      </c>
      <c r="C356" s="1" t="n">
        <v>46103</v>
      </c>
      <c r="D356" t="inlineStr">
        <is>
          <t>KRONOBERGS LÄN</t>
        </is>
      </c>
      <c r="E356" t="inlineStr">
        <is>
          <t>LJUNGBY</t>
        </is>
      </c>
      <c r="G356" t="n">
        <v>5.6</v>
      </c>
      <c r="H356" t="n">
        <v>0</v>
      </c>
      <c r="I356" t="n">
        <v>0</v>
      </c>
      <c r="J356" t="n">
        <v>0</v>
      </c>
      <c r="K356" t="n">
        <v>0</v>
      </c>
      <c r="L356" t="n">
        <v>0</v>
      </c>
      <c r="M356" t="n">
        <v>0</v>
      </c>
      <c r="N356" t="n">
        <v>0</v>
      </c>
      <c r="O356" t="n">
        <v>0</v>
      </c>
      <c r="P356" t="n">
        <v>0</v>
      </c>
      <c r="Q356" t="n">
        <v>0</v>
      </c>
      <c r="R356" s="2" t="inlineStr"/>
    </row>
    <row r="357" ht="15" customHeight="1">
      <c r="A357" t="inlineStr">
        <is>
          <t>A 64288-2021</t>
        </is>
      </c>
      <c r="B357" s="1" t="n">
        <v>44510.88893518518</v>
      </c>
      <c r="C357" s="1" t="n">
        <v>46103</v>
      </c>
      <c r="D357" t="inlineStr">
        <is>
          <t>KRONOBERGS LÄN</t>
        </is>
      </c>
      <c r="E357" t="inlineStr">
        <is>
          <t>LJUNGBY</t>
        </is>
      </c>
      <c r="G357" t="n">
        <v>0.5</v>
      </c>
      <c r="H357" t="n">
        <v>0</v>
      </c>
      <c r="I357" t="n">
        <v>0</v>
      </c>
      <c r="J357" t="n">
        <v>0</v>
      </c>
      <c r="K357" t="n">
        <v>0</v>
      </c>
      <c r="L357" t="n">
        <v>0</v>
      </c>
      <c r="M357" t="n">
        <v>0</v>
      </c>
      <c r="N357" t="n">
        <v>0</v>
      </c>
      <c r="O357" t="n">
        <v>0</v>
      </c>
      <c r="P357" t="n">
        <v>0</v>
      </c>
      <c r="Q357" t="n">
        <v>0</v>
      </c>
      <c r="R357" s="2" t="inlineStr"/>
    </row>
    <row r="358" ht="15" customHeight="1">
      <c r="A358" t="inlineStr">
        <is>
          <t>A 73660-2021</t>
        </is>
      </c>
      <c r="B358" s="1" t="n">
        <v>44552.45428240741</v>
      </c>
      <c r="C358" s="1" t="n">
        <v>46103</v>
      </c>
      <c r="D358" t="inlineStr">
        <is>
          <t>KRONOBERGS LÄN</t>
        </is>
      </c>
      <c r="E358" t="inlineStr">
        <is>
          <t>UPPVIDINGE</t>
        </is>
      </c>
      <c r="G358" t="n">
        <v>2.8</v>
      </c>
      <c r="H358" t="n">
        <v>0</v>
      </c>
      <c r="I358" t="n">
        <v>0</v>
      </c>
      <c r="J358" t="n">
        <v>0</v>
      </c>
      <c r="K358" t="n">
        <v>0</v>
      </c>
      <c r="L358" t="n">
        <v>0</v>
      </c>
      <c r="M358" t="n">
        <v>0</v>
      </c>
      <c r="N358" t="n">
        <v>0</v>
      </c>
      <c r="O358" t="n">
        <v>0</v>
      </c>
      <c r="P358" t="n">
        <v>0</v>
      </c>
      <c r="Q358" t="n">
        <v>0</v>
      </c>
      <c r="R358" s="2" t="inlineStr"/>
    </row>
    <row r="359" ht="15" customHeight="1">
      <c r="A359" t="inlineStr">
        <is>
          <t>A 37111-2021</t>
        </is>
      </c>
      <c r="B359" s="1" t="n">
        <v>44393</v>
      </c>
      <c r="C359" s="1" t="n">
        <v>46103</v>
      </c>
      <c r="D359" t="inlineStr">
        <is>
          <t>KRONOBERGS LÄN</t>
        </is>
      </c>
      <c r="E359" t="inlineStr">
        <is>
          <t>VÄXJÖ</t>
        </is>
      </c>
      <c r="G359" t="n">
        <v>0.5</v>
      </c>
      <c r="H359" t="n">
        <v>0</v>
      </c>
      <c r="I359" t="n">
        <v>0</v>
      </c>
      <c r="J359" t="n">
        <v>0</v>
      </c>
      <c r="K359" t="n">
        <v>0</v>
      </c>
      <c r="L359" t="n">
        <v>0</v>
      </c>
      <c r="M359" t="n">
        <v>0</v>
      </c>
      <c r="N359" t="n">
        <v>0</v>
      </c>
      <c r="O359" t="n">
        <v>0</v>
      </c>
      <c r="P359" t="n">
        <v>0</v>
      </c>
      <c r="Q359" t="n">
        <v>0</v>
      </c>
      <c r="R359" s="2" t="inlineStr"/>
    </row>
    <row r="360" ht="15" customHeight="1">
      <c r="A360" t="inlineStr">
        <is>
          <t>A 58109-2021</t>
        </is>
      </c>
      <c r="B360" s="1" t="n">
        <v>44487</v>
      </c>
      <c r="C360" s="1" t="n">
        <v>46103</v>
      </c>
      <c r="D360" t="inlineStr">
        <is>
          <t>KRONOBERGS LÄN</t>
        </is>
      </c>
      <c r="E360" t="inlineStr">
        <is>
          <t>UPPVIDINGE</t>
        </is>
      </c>
      <c r="G360" t="n">
        <v>0.9</v>
      </c>
      <c r="H360" t="n">
        <v>0</v>
      </c>
      <c r="I360" t="n">
        <v>0</v>
      </c>
      <c r="J360" t="n">
        <v>0</v>
      </c>
      <c r="K360" t="n">
        <v>0</v>
      </c>
      <c r="L360" t="n">
        <v>0</v>
      </c>
      <c r="M360" t="n">
        <v>0</v>
      </c>
      <c r="N360" t="n">
        <v>0</v>
      </c>
      <c r="O360" t="n">
        <v>0</v>
      </c>
      <c r="P360" t="n">
        <v>0</v>
      </c>
      <c r="Q360" t="n">
        <v>0</v>
      </c>
      <c r="R360" s="2" t="inlineStr"/>
    </row>
    <row r="361" ht="15" customHeight="1">
      <c r="A361" t="inlineStr">
        <is>
          <t>A 24806-2021</t>
        </is>
      </c>
      <c r="B361" s="1" t="n">
        <v>44340.66128472222</v>
      </c>
      <c r="C361" s="1" t="n">
        <v>46103</v>
      </c>
      <c r="D361" t="inlineStr">
        <is>
          <t>KRONOBERGS LÄN</t>
        </is>
      </c>
      <c r="E361" t="inlineStr">
        <is>
          <t>ALVESTA</t>
        </is>
      </c>
      <c r="G361" t="n">
        <v>1</v>
      </c>
      <c r="H361" t="n">
        <v>0</v>
      </c>
      <c r="I361" t="n">
        <v>0</v>
      </c>
      <c r="J361" t="n">
        <v>0</v>
      </c>
      <c r="K361" t="n">
        <v>0</v>
      </c>
      <c r="L361" t="n">
        <v>0</v>
      </c>
      <c r="M361" t="n">
        <v>0</v>
      </c>
      <c r="N361" t="n">
        <v>0</v>
      </c>
      <c r="O361" t="n">
        <v>0</v>
      </c>
      <c r="P361" t="n">
        <v>0</v>
      </c>
      <c r="Q361" t="n">
        <v>0</v>
      </c>
      <c r="R361" s="2" t="inlineStr"/>
    </row>
    <row r="362" ht="15" customHeight="1">
      <c r="A362" t="inlineStr">
        <is>
          <t>A 70324-2021</t>
        </is>
      </c>
      <c r="B362" s="1" t="n">
        <v>44536</v>
      </c>
      <c r="C362" s="1" t="n">
        <v>46103</v>
      </c>
      <c r="D362" t="inlineStr">
        <is>
          <t>KRONOBERGS LÄN</t>
        </is>
      </c>
      <c r="E362" t="inlineStr">
        <is>
          <t>UPPVIDINGE</t>
        </is>
      </c>
      <c r="G362" t="n">
        <v>1.1</v>
      </c>
      <c r="H362" t="n">
        <v>0</v>
      </c>
      <c r="I362" t="n">
        <v>0</v>
      </c>
      <c r="J362" t="n">
        <v>0</v>
      </c>
      <c r="K362" t="n">
        <v>0</v>
      </c>
      <c r="L362" t="n">
        <v>0</v>
      </c>
      <c r="M362" t="n">
        <v>0</v>
      </c>
      <c r="N362" t="n">
        <v>0</v>
      </c>
      <c r="O362" t="n">
        <v>0</v>
      </c>
      <c r="P362" t="n">
        <v>0</v>
      </c>
      <c r="Q362" t="n">
        <v>0</v>
      </c>
      <c r="R362" s="2" t="inlineStr"/>
    </row>
    <row r="363" ht="15" customHeight="1">
      <c r="A363" t="inlineStr">
        <is>
          <t>A 35965-2022</t>
        </is>
      </c>
      <c r="B363" s="1" t="n">
        <v>44802.57482638889</v>
      </c>
      <c r="C363" s="1" t="n">
        <v>46103</v>
      </c>
      <c r="D363" t="inlineStr">
        <is>
          <t>KRONOBERGS LÄN</t>
        </is>
      </c>
      <c r="E363" t="inlineStr">
        <is>
          <t>ÄLMHULT</t>
        </is>
      </c>
      <c r="G363" t="n">
        <v>0.3</v>
      </c>
      <c r="H363" t="n">
        <v>0</v>
      </c>
      <c r="I363" t="n">
        <v>0</v>
      </c>
      <c r="J363" t="n">
        <v>0</v>
      </c>
      <c r="K363" t="n">
        <v>0</v>
      </c>
      <c r="L363" t="n">
        <v>0</v>
      </c>
      <c r="M363" t="n">
        <v>0</v>
      </c>
      <c r="N363" t="n">
        <v>0</v>
      </c>
      <c r="O363" t="n">
        <v>0</v>
      </c>
      <c r="P363" t="n">
        <v>0</v>
      </c>
      <c r="Q363" t="n">
        <v>0</v>
      </c>
      <c r="R363" s="2" t="inlineStr"/>
    </row>
    <row r="364" ht="15" customHeight="1">
      <c r="A364" t="inlineStr">
        <is>
          <t>A 65192-2021</t>
        </is>
      </c>
      <c r="B364" s="1" t="n">
        <v>44515</v>
      </c>
      <c r="C364" s="1" t="n">
        <v>46103</v>
      </c>
      <c r="D364" t="inlineStr">
        <is>
          <t>KRONOBERGS LÄN</t>
        </is>
      </c>
      <c r="E364" t="inlineStr">
        <is>
          <t>ÄLMHULT</t>
        </is>
      </c>
      <c r="G364" t="n">
        <v>1.5</v>
      </c>
      <c r="H364" t="n">
        <v>0</v>
      </c>
      <c r="I364" t="n">
        <v>0</v>
      </c>
      <c r="J364" t="n">
        <v>0</v>
      </c>
      <c r="K364" t="n">
        <v>0</v>
      </c>
      <c r="L364" t="n">
        <v>0</v>
      </c>
      <c r="M364" t="n">
        <v>0</v>
      </c>
      <c r="N364" t="n">
        <v>0</v>
      </c>
      <c r="O364" t="n">
        <v>0</v>
      </c>
      <c r="P364" t="n">
        <v>0</v>
      </c>
      <c r="Q364" t="n">
        <v>0</v>
      </c>
      <c r="R364" s="2" t="inlineStr"/>
    </row>
    <row r="365" ht="15" customHeight="1">
      <c r="A365" t="inlineStr">
        <is>
          <t>A 46446-2021</t>
        </is>
      </c>
      <c r="B365" s="1" t="n">
        <v>44445</v>
      </c>
      <c r="C365" s="1" t="n">
        <v>46103</v>
      </c>
      <c r="D365" t="inlineStr">
        <is>
          <t>KRONOBERGS LÄN</t>
        </is>
      </c>
      <c r="E365" t="inlineStr">
        <is>
          <t>VÄXJÖ</t>
        </is>
      </c>
      <c r="G365" t="n">
        <v>1.4</v>
      </c>
      <c r="H365" t="n">
        <v>0</v>
      </c>
      <c r="I365" t="n">
        <v>0</v>
      </c>
      <c r="J365" t="n">
        <v>0</v>
      </c>
      <c r="K365" t="n">
        <v>0</v>
      </c>
      <c r="L365" t="n">
        <v>0</v>
      </c>
      <c r="M365" t="n">
        <v>0</v>
      </c>
      <c r="N365" t="n">
        <v>0</v>
      </c>
      <c r="O365" t="n">
        <v>0</v>
      </c>
      <c r="P365" t="n">
        <v>0</v>
      </c>
      <c r="Q365" t="n">
        <v>0</v>
      </c>
      <c r="R365" s="2" t="inlineStr"/>
    </row>
    <row r="366" ht="15" customHeight="1">
      <c r="A366" t="inlineStr">
        <is>
          <t>A 51384-2021</t>
        </is>
      </c>
      <c r="B366" s="1" t="n">
        <v>44461.68690972222</v>
      </c>
      <c r="C366" s="1" t="n">
        <v>46103</v>
      </c>
      <c r="D366" t="inlineStr">
        <is>
          <t>KRONOBERGS LÄN</t>
        </is>
      </c>
      <c r="E366" t="inlineStr">
        <is>
          <t>UPPVIDINGE</t>
        </is>
      </c>
      <c r="G366" t="n">
        <v>1.8</v>
      </c>
      <c r="H366" t="n">
        <v>0</v>
      </c>
      <c r="I366" t="n">
        <v>0</v>
      </c>
      <c r="J366" t="n">
        <v>0</v>
      </c>
      <c r="K366" t="n">
        <v>0</v>
      </c>
      <c r="L366" t="n">
        <v>0</v>
      </c>
      <c r="M366" t="n">
        <v>0</v>
      </c>
      <c r="N366" t="n">
        <v>0</v>
      </c>
      <c r="O366" t="n">
        <v>0</v>
      </c>
      <c r="P366" t="n">
        <v>0</v>
      </c>
      <c r="Q366" t="n">
        <v>0</v>
      </c>
      <c r="R366" s="2" t="inlineStr"/>
    </row>
    <row r="367" ht="15" customHeight="1">
      <c r="A367" t="inlineStr">
        <is>
          <t>A 33403-2022</t>
        </is>
      </c>
      <c r="B367" s="1" t="n">
        <v>44785</v>
      </c>
      <c r="C367" s="1" t="n">
        <v>46103</v>
      </c>
      <c r="D367" t="inlineStr">
        <is>
          <t>KRONOBERGS LÄN</t>
        </is>
      </c>
      <c r="E367" t="inlineStr">
        <is>
          <t>ÄLMHULT</t>
        </is>
      </c>
      <c r="G367" t="n">
        <v>0.7</v>
      </c>
      <c r="H367" t="n">
        <v>0</v>
      </c>
      <c r="I367" t="n">
        <v>0</v>
      </c>
      <c r="J367" t="n">
        <v>0</v>
      </c>
      <c r="K367" t="n">
        <v>0</v>
      </c>
      <c r="L367" t="n">
        <v>0</v>
      </c>
      <c r="M367" t="n">
        <v>0</v>
      </c>
      <c r="N367" t="n">
        <v>0</v>
      </c>
      <c r="O367" t="n">
        <v>0</v>
      </c>
      <c r="P367" t="n">
        <v>0</v>
      </c>
      <c r="Q367" t="n">
        <v>0</v>
      </c>
      <c r="R367" s="2" t="inlineStr"/>
    </row>
    <row r="368" ht="15" customHeight="1">
      <c r="A368" t="inlineStr">
        <is>
          <t>A 13033-2022</t>
        </is>
      </c>
      <c r="B368" s="1" t="n">
        <v>44643</v>
      </c>
      <c r="C368" s="1" t="n">
        <v>46103</v>
      </c>
      <c r="D368" t="inlineStr">
        <is>
          <t>KRONOBERGS LÄN</t>
        </is>
      </c>
      <c r="E368" t="inlineStr">
        <is>
          <t>VÄXJÖ</t>
        </is>
      </c>
      <c r="G368" t="n">
        <v>0.5</v>
      </c>
      <c r="H368" t="n">
        <v>0</v>
      </c>
      <c r="I368" t="n">
        <v>0</v>
      </c>
      <c r="J368" t="n">
        <v>0</v>
      </c>
      <c r="K368" t="n">
        <v>0</v>
      </c>
      <c r="L368" t="n">
        <v>0</v>
      </c>
      <c r="M368" t="n">
        <v>0</v>
      </c>
      <c r="N368" t="n">
        <v>0</v>
      </c>
      <c r="O368" t="n">
        <v>0</v>
      </c>
      <c r="P368" t="n">
        <v>0</v>
      </c>
      <c r="Q368" t="n">
        <v>0</v>
      </c>
      <c r="R368" s="2" t="inlineStr"/>
    </row>
    <row r="369" ht="15" customHeight="1">
      <c r="A369" t="inlineStr">
        <is>
          <t>A 48692-2021</t>
        </is>
      </c>
      <c r="B369" s="1" t="n">
        <v>44452.57429398148</v>
      </c>
      <c r="C369" s="1" t="n">
        <v>46103</v>
      </c>
      <c r="D369" t="inlineStr">
        <is>
          <t>KRONOBERGS LÄN</t>
        </is>
      </c>
      <c r="E369" t="inlineStr">
        <is>
          <t>TINGSRYD</t>
        </is>
      </c>
      <c r="G369" t="n">
        <v>1.4</v>
      </c>
      <c r="H369" t="n">
        <v>0</v>
      </c>
      <c r="I369" t="n">
        <v>0</v>
      </c>
      <c r="J369" t="n">
        <v>0</v>
      </c>
      <c r="K369" t="n">
        <v>0</v>
      </c>
      <c r="L369" t="n">
        <v>0</v>
      </c>
      <c r="M369" t="n">
        <v>0</v>
      </c>
      <c r="N369" t="n">
        <v>0</v>
      </c>
      <c r="O369" t="n">
        <v>0</v>
      </c>
      <c r="P369" t="n">
        <v>0</v>
      </c>
      <c r="Q369" t="n">
        <v>0</v>
      </c>
      <c r="R369" s="2" t="inlineStr"/>
    </row>
    <row r="370" ht="15" customHeight="1">
      <c r="A370" t="inlineStr">
        <is>
          <t>A 64688-2021</t>
        </is>
      </c>
      <c r="B370" s="1" t="n">
        <v>44510</v>
      </c>
      <c r="C370" s="1" t="n">
        <v>46103</v>
      </c>
      <c r="D370" t="inlineStr">
        <is>
          <t>KRONOBERGS LÄN</t>
        </is>
      </c>
      <c r="E370" t="inlineStr">
        <is>
          <t>UPPVIDINGE</t>
        </is>
      </c>
      <c r="G370" t="n">
        <v>0.6</v>
      </c>
      <c r="H370" t="n">
        <v>0</v>
      </c>
      <c r="I370" t="n">
        <v>0</v>
      </c>
      <c r="J370" t="n">
        <v>0</v>
      </c>
      <c r="K370" t="n">
        <v>0</v>
      </c>
      <c r="L370" t="n">
        <v>0</v>
      </c>
      <c r="M370" t="n">
        <v>0</v>
      </c>
      <c r="N370" t="n">
        <v>0</v>
      </c>
      <c r="O370" t="n">
        <v>0</v>
      </c>
      <c r="P370" t="n">
        <v>0</v>
      </c>
      <c r="Q370" t="n">
        <v>0</v>
      </c>
      <c r="R370" s="2" t="inlineStr"/>
    </row>
    <row r="371" ht="15" customHeight="1">
      <c r="A371" t="inlineStr">
        <is>
          <t>A 37481-2022</t>
        </is>
      </c>
      <c r="B371" s="1" t="n">
        <v>44809.54884259259</v>
      </c>
      <c r="C371" s="1" t="n">
        <v>46103</v>
      </c>
      <c r="D371" t="inlineStr">
        <is>
          <t>KRONOBERGS LÄN</t>
        </is>
      </c>
      <c r="E371" t="inlineStr">
        <is>
          <t>LJUNGBY</t>
        </is>
      </c>
      <c r="G371" t="n">
        <v>0.6</v>
      </c>
      <c r="H371" t="n">
        <v>0</v>
      </c>
      <c r="I371" t="n">
        <v>0</v>
      </c>
      <c r="J371" t="n">
        <v>0</v>
      </c>
      <c r="K371" t="n">
        <v>0</v>
      </c>
      <c r="L371" t="n">
        <v>0</v>
      </c>
      <c r="M371" t="n">
        <v>0</v>
      </c>
      <c r="N371" t="n">
        <v>0</v>
      </c>
      <c r="O371" t="n">
        <v>0</v>
      </c>
      <c r="P371" t="n">
        <v>0</v>
      </c>
      <c r="Q371" t="n">
        <v>0</v>
      </c>
      <c r="R371" s="2" t="inlineStr"/>
    </row>
    <row r="372" ht="15" customHeight="1">
      <c r="A372" t="inlineStr">
        <is>
          <t>A 35967-2022</t>
        </is>
      </c>
      <c r="B372" s="1" t="n">
        <v>44802.57569444444</v>
      </c>
      <c r="C372" s="1" t="n">
        <v>46103</v>
      </c>
      <c r="D372" t="inlineStr">
        <is>
          <t>KRONOBERGS LÄN</t>
        </is>
      </c>
      <c r="E372" t="inlineStr">
        <is>
          <t>ÄLMHULT</t>
        </is>
      </c>
      <c r="G372" t="n">
        <v>0.4</v>
      </c>
      <c r="H372" t="n">
        <v>0</v>
      </c>
      <c r="I372" t="n">
        <v>0</v>
      </c>
      <c r="J372" t="n">
        <v>0</v>
      </c>
      <c r="K372" t="n">
        <v>0</v>
      </c>
      <c r="L372" t="n">
        <v>0</v>
      </c>
      <c r="M372" t="n">
        <v>0</v>
      </c>
      <c r="N372" t="n">
        <v>0</v>
      </c>
      <c r="O372" t="n">
        <v>0</v>
      </c>
      <c r="P372" t="n">
        <v>0</v>
      </c>
      <c r="Q372" t="n">
        <v>0</v>
      </c>
      <c r="R372" s="2" t="inlineStr"/>
    </row>
    <row r="373" ht="15" customHeight="1">
      <c r="A373" t="inlineStr">
        <is>
          <t>A 23634-2022</t>
        </is>
      </c>
      <c r="B373" s="1" t="n">
        <v>44721.65634259259</v>
      </c>
      <c r="C373" s="1" t="n">
        <v>46103</v>
      </c>
      <c r="D373" t="inlineStr">
        <is>
          <t>KRONOBERGS LÄN</t>
        </is>
      </c>
      <c r="E373" t="inlineStr">
        <is>
          <t>LJUNGBY</t>
        </is>
      </c>
      <c r="G373" t="n">
        <v>0.6</v>
      </c>
      <c r="H373" t="n">
        <v>0</v>
      </c>
      <c r="I373" t="n">
        <v>0</v>
      </c>
      <c r="J373" t="n">
        <v>0</v>
      </c>
      <c r="K373" t="n">
        <v>0</v>
      </c>
      <c r="L373" t="n">
        <v>0</v>
      </c>
      <c r="M373" t="n">
        <v>0</v>
      </c>
      <c r="N373" t="n">
        <v>0</v>
      </c>
      <c r="O373" t="n">
        <v>0</v>
      </c>
      <c r="P373" t="n">
        <v>0</v>
      </c>
      <c r="Q373" t="n">
        <v>0</v>
      </c>
      <c r="R373" s="2" t="inlineStr"/>
    </row>
    <row r="374" ht="15" customHeight="1">
      <c r="A374" t="inlineStr">
        <is>
          <t>A 64153-2021</t>
        </is>
      </c>
      <c r="B374" s="1" t="n">
        <v>44510</v>
      </c>
      <c r="C374" s="1" t="n">
        <v>46103</v>
      </c>
      <c r="D374" t="inlineStr">
        <is>
          <t>KRONOBERGS LÄN</t>
        </is>
      </c>
      <c r="E374" t="inlineStr">
        <is>
          <t>LJUNGBY</t>
        </is>
      </c>
      <c r="G374" t="n">
        <v>1</v>
      </c>
      <c r="H374" t="n">
        <v>0</v>
      </c>
      <c r="I374" t="n">
        <v>0</v>
      </c>
      <c r="J374" t="n">
        <v>0</v>
      </c>
      <c r="K374" t="n">
        <v>0</v>
      </c>
      <c r="L374" t="n">
        <v>0</v>
      </c>
      <c r="M374" t="n">
        <v>0</v>
      </c>
      <c r="N374" t="n">
        <v>0</v>
      </c>
      <c r="O374" t="n">
        <v>0</v>
      </c>
      <c r="P374" t="n">
        <v>0</v>
      </c>
      <c r="Q374" t="n">
        <v>0</v>
      </c>
      <c r="R374" s="2" t="inlineStr"/>
    </row>
    <row r="375" ht="15" customHeight="1">
      <c r="A375" t="inlineStr">
        <is>
          <t>A 64155-2021</t>
        </is>
      </c>
      <c r="B375" s="1" t="n">
        <v>44510</v>
      </c>
      <c r="C375" s="1" t="n">
        <v>46103</v>
      </c>
      <c r="D375" t="inlineStr">
        <is>
          <t>KRONOBERGS LÄN</t>
        </is>
      </c>
      <c r="E375" t="inlineStr">
        <is>
          <t>LESSEBO</t>
        </is>
      </c>
      <c r="F375" t="inlineStr">
        <is>
          <t>Kyrkan</t>
        </is>
      </c>
      <c r="G375" t="n">
        <v>1.4</v>
      </c>
      <c r="H375" t="n">
        <v>0</v>
      </c>
      <c r="I375" t="n">
        <v>0</v>
      </c>
      <c r="J375" t="n">
        <v>0</v>
      </c>
      <c r="K375" t="n">
        <v>0</v>
      </c>
      <c r="L375" t="n">
        <v>0</v>
      </c>
      <c r="M375" t="n">
        <v>0</v>
      </c>
      <c r="N375" t="n">
        <v>0</v>
      </c>
      <c r="O375" t="n">
        <v>0</v>
      </c>
      <c r="P375" t="n">
        <v>0</v>
      </c>
      <c r="Q375" t="n">
        <v>0</v>
      </c>
      <c r="R375" s="2" t="inlineStr"/>
    </row>
    <row r="376" ht="15" customHeight="1">
      <c r="A376" t="inlineStr">
        <is>
          <t>A 22857-2021</t>
        </is>
      </c>
      <c r="B376" s="1" t="n">
        <v>44328</v>
      </c>
      <c r="C376" s="1" t="n">
        <v>46103</v>
      </c>
      <c r="D376" t="inlineStr">
        <is>
          <t>KRONOBERGS LÄN</t>
        </is>
      </c>
      <c r="E376" t="inlineStr">
        <is>
          <t>ALVESTA</t>
        </is>
      </c>
      <c r="G376" t="n">
        <v>1.2</v>
      </c>
      <c r="H376" t="n">
        <v>0</v>
      </c>
      <c r="I376" t="n">
        <v>0</v>
      </c>
      <c r="J376" t="n">
        <v>0</v>
      </c>
      <c r="K376" t="n">
        <v>0</v>
      </c>
      <c r="L376" t="n">
        <v>0</v>
      </c>
      <c r="M376" t="n">
        <v>0</v>
      </c>
      <c r="N376" t="n">
        <v>0</v>
      </c>
      <c r="O376" t="n">
        <v>0</v>
      </c>
      <c r="P376" t="n">
        <v>0</v>
      </c>
      <c r="Q376" t="n">
        <v>0</v>
      </c>
      <c r="R376" s="2" t="inlineStr"/>
    </row>
    <row r="377" ht="15" customHeight="1">
      <c r="A377" t="inlineStr">
        <is>
          <t>A 1719-2022</t>
        </is>
      </c>
      <c r="B377" s="1" t="n">
        <v>44574.4577662037</v>
      </c>
      <c r="C377" s="1" t="n">
        <v>46103</v>
      </c>
      <c r="D377" t="inlineStr">
        <is>
          <t>KRONOBERGS LÄN</t>
        </is>
      </c>
      <c r="E377" t="inlineStr">
        <is>
          <t>UPPVIDINGE</t>
        </is>
      </c>
      <c r="G377" t="n">
        <v>0.4</v>
      </c>
      <c r="H377" t="n">
        <v>0</v>
      </c>
      <c r="I377" t="n">
        <v>0</v>
      </c>
      <c r="J377" t="n">
        <v>0</v>
      </c>
      <c r="K377" t="n">
        <v>0</v>
      </c>
      <c r="L377" t="n">
        <v>0</v>
      </c>
      <c r="M377" t="n">
        <v>0</v>
      </c>
      <c r="N377" t="n">
        <v>0</v>
      </c>
      <c r="O377" t="n">
        <v>0</v>
      </c>
      <c r="P377" t="n">
        <v>0</v>
      </c>
      <c r="Q377" t="n">
        <v>0</v>
      </c>
      <c r="R377" s="2" t="inlineStr"/>
    </row>
    <row r="378" ht="15" customHeight="1">
      <c r="A378" t="inlineStr">
        <is>
          <t>A 40770-2022</t>
        </is>
      </c>
      <c r="B378" s="1" t="n">
        <v>44824</v>
      </c>
      <c r="C378" s="1" t="n">
        <v>46103</v>
      </c>
      <c r="D378" t="inlineStr">
        <is>
          <t>KRONOBERGS LÄN</t>
        </is>
      </c>
      <c r="E378" t="inlineStr">
        <is>
          <t>LESSEBO</t>
        </is>
      </c>
      <c r="G378" t="n">
        <v>2.3</v>
      </c>
      <c r="H378" t="n">
        <v>0</v>
      </c>
      <c r="I378" t="n">
        <v>0</v>
      </c>
      <c r="J378" t="n">
        <v>0</v>
      </c>
      <c r="K378" t="n">
        <v>0</v>
      </c>
      <c r="L378" t="n">
        <v>0</v>
      </c>
      <c r="M378" t="n">
        <v>0</v>
      </c>
      <c r="N378" t="n">
        <v>0</v>
      </c>
      <c r="O378" t="n">
        <v>0</v>
      </c>
      <c r="P378" t="n">
        <v>0</v>
      </c>
      <c r="Q378" t="n">
        <v>0</v>
      </c>
      <c r="R378" s="2" t="inlineStr"/>
    </row>
    <row r="379" ht="15" customHeight="1">
      <c r="A379" t="inlineStr">
        <is>
          <t>A 50143-2021</t>
        </is>
      </c>
      <c r="B379" s="1" t="n">
        <v>44456</v>
      </c>
      <c r="C379" s="1" t="n">
        <v>46103</v>
      </c>
      <c r="D379" t="inlineStr">
        <is>
          <t>KRONOBERGS LÄN</t>
        </is>
      </c>
      <c r="E379" t="inlineStr">
        <is>
          <t>UPPVIDINGE</t>
        </is>
      </c>
      <c r="F379" t="inlineStr">
        <is>
          <t>Sveaskog</t>
        </is>
      </c>
      <c r="G379" t="n">
        <v>0.5</v>
      </c>
      <c r="H379" t="n">
        <v>0</v>
      </c>
      <c r="I379" t="n">
        <v>0</v>
      </c>
      <c r="J379" t="n">
        <v>0</v>
      </c>
      <c r="K379" t="n">
        <v>0</v>
      </c>
      <c r="L379" t="n">
        <v>0</v>
      </c>
      <c r="M379" t="n">
        <v>0</v>
      </c>
      <c r="N379" t="n">
        <v>0</v>
      </c>
      <c r="O379" t="n">
        <v>0</v>
      </c>
      <c r="P379" t="n">
        <v>0</v>
      </c>
      <c r="Q379" t="n">
        <v>0</v>
      </c>
      <c r="R379" s="2" t="inlineStr"/>
    </row>
    <row r="380" ht="15" customHeight="1">
      <c r="A380" t="inlineStr">
        <is>
          <t>A 7623-2022</t>
        </is>
      </c>
      <c r="B380" s="1" t="n">
        <v>44607</v>
      </c>
      <c r="C380" s="1" t="n">
        <v>46103</v>
      </c>
      <c r="D380" t="inlineStr">
        <is>
          <t>KRONOBERGS LÄN</t>
        </is>
      </c>
      <c r="E380" t="inlineStr">
        <is>
          <t>LJUNGBY</t>
        </is>
      </c>
      <c r="G380" t="n">
        <v>2.1</v>
      </c>
      <c r="H380" t="n">
        <v>0</v>
      </c>
      <c r="I380" t="n">
        <v>0</v>
      </c>
      <c r="J380" t="n">
        <v>0</v>
      </c>
      <c r="K380" t="n">
        <v>0</v>
      </c>
      <c r="L380" t="n">
        <v>0</v>
      </c>
      <c r="M380" t="n">
        <v>0</v>
      </c>
      <c r="N380" t="n">
        <v>0</v>
      </c>
      <c r="O380" t="n">
        <v>0</v>
      </c>
      <c r="P380" t="n">
        <v>0</v>
      </c>
      <c r="Q380" t="n">
        <v>0</v>
      </c>
      <c r="R380" s="2" t="inlineStr"/>
    </row>
    <row r="381" ht="15" customHeight="1">
      <c r="A381" t="inlineStr">
        <is>
          <t>A 25926-2022</t>
        </is>
      </c>
      <c r="B381" s="1" t="n">
        <v>44734.36189814815</v>
      </c>
      <c r="C381" s="1" t="n">
        <v>46103</v>
      </c>
      <c r="D381" t="inlineStr">
        <is>
          <t>KRONOBERGS LÄN</t>
        </is>
      </c>
      <c r="E381" t="inlineStr">
        <is>
          <t>UPPVIDINGE</t>
        </is>
      </c>
      <c r="F381" t="inlineStr">
        <is>
          <t>Sveaskog</t>
        </is>
      </c>
      <c r="G381" t="n">
        <v>1.3</v>
      </c>
      <c r="H381" t="n">
        <v>0</v>
      </c>
      <c r="I381" t="n">
        <v>0</v>
      </c>
      <c r="J381" t="n">
        <v>0</v>
      </c>
      <c r="K381" t="n">
        <v>0</v>
      </c>
      <c r="L381" t="n">
        <v>0</v>
      </c>
      <c r="M381" t="n">
        <v>0</v>
      </c>
      <c r="N381" t="n">
        <v>0</v>
      </c>
      <c r="O381" t="n">
        <v>0</v>
      </c>
      <c r="P381" t="n">
        <v>0</v>
      </c>
      <c r="Q381" t="n">
        <v>0</v>
      </c>
      <c r="R381" s="2" t="inlineStr"/>
    </row>
    <row r="382" ht="15" customHeight="1">
      <c r="A382" t="inlineStr">
        <is>
          <t>A 28931-2022</t>
        </is>
      </c>
      <c r="B382" s="1" t="n">
        <v>44749.58270833334</v>
      </c>
      <c r="C382" s="1" t="n">
        <v>46103</v>
      </c>
      <c r="D382" t="inlineStr">
        <is>
          <t>KRONOBERGS LÄN</t>
        </is>
      </c>
      <c r="E382" t="inlineStr">
        <is>
          <t>ÄLMHULT</t>
        </is>
      </c>
      <c r="G382" t="n">
        <v>0</v>
      </c>
      <c r="H382" t="n">
        <v>0</v>
      </c>
      <c r="I382" t="n">
        <v>0</v>
      </c>
      <c r="J382" t="n">
        <v>0</v>
      </c>
      <c r="K382" t="n">
        <v>0</v>
      </c>
      <c r="L382" t="n">
        <v>0</v>
      </c>
      <c r="M382" t="n">
        <v>0</v>
      </c>
      <c r="N382" t="n">
        <v>0</v>
      </c>
      <c r="O382" t="n">
        <v>0</v>
      </c>
      <c r="P382" t="n">
        <v>0</v>
      </c>
      <c r="Q382" t="n">
        <v>0</v>
      </c>
      <c r="R382" s="2" t="inlineStr"/>
    </row>
    <row r="383" ht="15" customHeight="1">
      <c r="A383" t="inlineStr">
        <is>
          <t>A 38267-2022</t>
        </is>
      </c>
      <c r="B383" s="1" t="n">
        <v>44812.51043981482</v>
      </c>
      <c r="C383" s="1" t="n">
        <v>46103</v>
      </c>
      <c r="D383" t="inlineStr">
        <is>
          <t>KRONOBERGS LÄN</t>
        </is>
      </c>
      <c r="E383" t="inlineStr">
        <is>
          <t>UPPVIDINGE</t>
        </is>
      </c>
      <c r="G383" t="n">
        <v>3.1</v>
      </c>
      <c r="H383" t="n">
        <v>0</v>
      </c>
      <c r="I383" t="n">
        <v>0</v>
      </c>
      <c r="J383" t="n">
        <v>0</v>
      </c>
      <c r="K383" t="n">
        <v>0</v>
      </c>
      <c r="L383" t="n">
        <v>0</v>
      </c>
      <c r="M383" t="n">
        <v>0</v>
      </c>
      <c r="N383" t="n">
        <v>0</v>
      </c>
      <c r="O383" t="n">
        <v>0</v>
      </c>
      <c r="P383" t="n">
        <v>0</v>
      </c>
      <c r="Q383" t="n">
        <v>0</v>
      </c>
      <c r="R383" s="2" t="inlineStr"/>
    </row>
    <row r="384" ht="15" customHeight="1">
      <c r="A384" t="inlineStr">
        <is>
          <t>A 23541-2021</t>
        </is>
      </c>
      <c r="B384" s="1" t="n">
        <v>44334.36253472222</v>
      </c>
      <c r="C384" s="1" t="n">
        <v>46103</v>
      </c>
      <c r="D384" t="inlineStr">
        <is>
          <t>KRONOBERGS LÄN</t>
        </is>
      </c>
      <c r="E384" t="inlineStr">
        <is>
          <t>VÄXJÖ</t>
        </is>
      </c>
      <c r="G384" t="n">
        <v>1.8</v>
      </c>
      <c r="H384" t="n">
        <v>0</v>
      </c>
      <c r="I384" t="n">
        <v>0</v>
      </c>
      <c r="J384" t="n">
        <v>0</v>
      </c>
      <c r="K384" t="n">
        <v>0</v>
      </c>
      <c r="L384" t="n">
        <v>0</v>
      </c>
      <c r="M384" t="n">
        <v>0</v>
      </c>
      <c r="N384" t="n">
        <v>0</v>
      </c>
      <c r="O384" t="n">
        <v>0</v>
      </c>
      <c r="P384" t="n">
        <v>0</v>
      </c>
      <c r="Q384" t="n">
        <v>0</v>
      </c>
      <c r="R384" s="2" t="inlineStr"/>
    </row>
    <row r="385" ht="15" customHeight="1">
      <c r="A385" t="inlineStr">
        <is>
          <t>A 20852-2021</t>
        </is>
      </c>
      <c r="B385" s="1" t="n">
        <v>44319.33803240741</v>
      </c>
      <c r="C385" s="1" t="n">
        <v>46103</v>
      </c>
      <c r="D385" t="inlineStr">
        <is>
          <t>KRONOBERGS LÄN</t>
        </is>
      </c>
      <c r="E385" t="inlineStr">
        <is>
          <t>UPPVIDINGE</t>
        </is>
      </c>
      <c r="G385" t="n">
        <v>0.4</v>
      </c>
      <c r="H385" t="n">
        <v>0</v>
      </c>
      <c r="I385" t="n">
        <v>0</v>
      </c>
      <c r="J385" t="n">
        <v>0</v>
      </c>
      <c r="K385" t="n">
        <v>0</v>
      </c>
      <c r="L385" t="n">
        <v>0</v>
      </c>
      <c r="M385" t="n">
        <v>0</v>
      </c>
      <c r="N385" t="n">
        <v>0</v>
      </c>
      <c r="O385" t="n">
        <v>0</v>
      </c>
      <c r="P385" t="n">
        <v>0</v>
      </c>
      <c r="Q385" t="n">
        <v>0</v>
      </c>
      <c r="R385" s="2" t="inlineStr"/>
    </row>
    <row r="386" ht="15" customHeight="1">
      <c r="A386" t="inlineStr">
        <is>
          <t>A 19332-2022</t>
        </is>
      </c>
      <c r="B386" s="1" t="n">
        <v>44692.61546296296</v>
      </c>
      <c r="C386" s="1" t="n">
        <v>46103</v>
      </c>
      <c r="D386" t="inlineStr">
        <is>
          <t>KRONOBERGS LÄN</t>
        </is>
      </c>
      <c r="E386" t="inlineStr">
        <is>
          <t>MARKARYD</t>
        </is>
      </c>
      <c r="G386" t="n">
        <v>0.2</v>
      </c>
      <c r="H386" t="n">
        <v>0</v>
      </c>
      <c r="I386" t="n">
        <v>0</v>
      </c>
      <c r="J386" t="n">
        <v>0</v>
      </c>
      <c r="K386" t="n">
        <v>0</v>
      </c>
      <c r="L386" t="n">
        <v>0</v>
      </c>
      <c r="M386" t="n">
        <v>0</v>
      </c>
      <c r="N386" t="n">
        <v>0</v>
      </c>
      <c r="O386" t="n">
        <v>0</v>
      </c>
      <c r="P386" t="n">
        <v>0</v>
      </c>
      <c r="Q386" t="n">
        <v>0</v>
      </c>
      <c r="R386" s="2" t="inlineStr"/>
    </row>
    <row r="387" ht="15" customHeight="1">
      <c r="A387" t="inlineStr">
        <is>
          <t>A 65204-2021</t>
        </is>
      </c>
      <c r="B387" s="1" t="n">
        <v>44515.49590277778</v>
      </c>
      <c r="C387" s="1" t="n">
        <v>46103</v>
      </c>
      <c r="D387" t="inlineStr">
        <is>
          <t>KRONOBERGS LÄN</t>
        </is>
      </c>
      <c r="E387" t="inlineStr">
        <is>
          <t>VÄXJÖ</t>
        </is>
      </c>
      <c r="G387" t="n">
        <v>0.7</v>
      </c>
      <c r="H387" t="n">
        <v>0</v>
      </c>
      <c r="I387" t="n">
        <v>0</v>
      </c>
      <c r="J387" t="n">
        <v>0</v>
      </c>
      <c r="K387" t="n">
        <v>0</v>
      </c>
      <c r="L387" t="n">
        <v>0</v>
      </c>
      <c r="M387" t="n">
        <v>0</v>
      </c>
      <c r="N387" t="n">
        <v>0</v>
      </c>
      <c r="O387" t="n">
        <v>0</v>
      </c>
      <c r="P387" t="n">
        <v>0</v>
      </c>
      <c r="Q387" t="n">
        <v>0</v>
      </c>
      <c r="R387" s="2" t="inlineStr"/>
    </row>
    <row r="388" ht="15" customHeight="1">
      <c r="A388" t="inlineStr">
        <is>
          <t>A 22312-2021</t>
        </is>
      </c>
      <c r="B388" s="1" t="n">
        <v>44321</v>
      </c>
      <c r="C388" s="1" t="n">
        <v>46103</v>
      </c>
      <c r="D388" t="inlineStr">
        <is>
          <t>KRONOBERGS LÄN</t>
        </is>
      </c>
      <c r="E388" t="inlineStr">
        <is>
          <t>UPPVIDINGE</t>
        </is>
      </c>
      <c r="G388" t="n">
        <v>1.4</v>
      </c>
      <c r="H388" t="n">
        <v>0</v>
      </c>
      <c r="I388" t="n">
        <v>0</v>
      </c>
      <c r="J388" t="n">
        <v>0</v>
      </c>
      <c r="K388" t="n">
        <v>0</v>
      </c>
      <c r="L388" t="n">
        <v>0</v>
      </c>
      <c r="M388" t="n">
        <v>0</v>
      </c>
      <c r="N388" t="n">
        <v>0</v>
      </c>
      <c r="O388" t="n">
        <v>0</v>
      </c>
      <c r="P388" t="n">
        <v>0</v>
      </c>
      <c r="Q388" t="n">
        <v>0</v>
      </c>
      <c r="R388" s="2" t="inlineStr"/>
    </row>
    <row r="389" ht="15" customHeight="1">
      <c r="A389" t="inlineStr">
        <is>
          <t>A 66390-2021</t>
        </is>
      </c>
      <c r="B389" s="1" t="n">
        <v>44518</v>
      </c>
      <c r="C389" s="1" t="n">
        <v>46103</v>
      </c>
      <c r="D389" t="inlineStr">
        <is>
          <t>KRONOBERGS LÄN</t>
        </is>
      </c>
      <c r="E389" t="inlineStr">
        <is>
          <t>LESSEBO</t>
        </is>
      </c>
      <c r="G389" t="n">
        <v>0.4</v>
      </c>
      <c r="H389" t="n">
        <v>0</v>
      </c>
      <c r="I389" t="n">
        <v>0</v>
      </c>
      <c r="J389" t="n">
        <v>0</v>
      </c>
      <c r="K389" t="n">
        <v>0</v>
      </c>
      <c r="L389" t="n">
        <v>0</v>
      </c>
      <c r="M389" t="n">
        <v>0</v>
      </c>
      <c r="N389" t="n">
        <v>0</v>
      </c>
      <c r="O389" t="n">
        <v>0</v>
      </c>
      <c r="P389" t="n">
        <v>0</v>
      </c>
      <c r="Q389" t="n">
        <v>0</v>
      </c>
      <c r="R389" s="2" t="inlineStr"/>
    </row>
    <row r="390" ht="15" customHeight="1">
      <c r="A390" t="inlineStr">
        <is>
          <t>A 38687-2022</t>
        </is>
      </c>
      <c r="B390" s="1" t="n">
        <v>44814.28984953704</v>
      </c>
      <c r="C390" s="1" t="n">
        <v>46103</v>
      </c>
      <c r="D390" t="inlineStr">
        <is>
          <t>KRONOBERGS LÄN</t>
        </is>
      </c>
      <c r="E390" t="inlineStr">
        <is>
          <t>VÄXJÖ</t>
        </is>
      </c>
      <c r="G390" t="n">
        <v>0.4</v>
      </c>
      <c r="H390" t="n">
        <v>0</v>
      </c>
      <c r="I390" t="n">
        <v>0</v>
      </c>
      <c r="J390" t="n">
        <v>0</v>
      </c>
      <c r="K390" t="n">
        <v>0</v>
      </c>
      <c r="L390" t="n">
        <v>0</v>
      </c>
      <c r="M390" t="n">
        <v>0</v>
      </c>
      <c r="N390" t="n">
        <v>0</v>
      </c>
      <c r="O390" t="n">
        <v>0</v>
      </c>
      <c r="P390" t="n">
        <v>0</v>
      </c>
      <c r="Q390" t="n">
        <v>0</v>
      </c>
      <c r="R390" s="2" t="inlineStr"/>
    </row>
    <row r="391" ht="15" customHeight="1">
      <c r="A391" t="inlineStr">
        <is>
          <t>A 54970-2021</t>
        </is>
      </c>
      <c r="B391" s="1" t="n">
        <v>44474.50116898148</v>
      </c>
      <c r="C391" s="1" t="n">
        <v>46103</v>
      </c>
      <c r="D391" t="inlineStr">
        <is>
          <t>KRONOBERGS LÄN</t>
        </is>
      </c>
      <c r="E391" t="inlineStr">
        <is>
          <t>ÄLMHULT</t>
        </is>
      </c>
      <c r="G391" t="n">
        <v>1.8</v>
      </c>
      <c r="H391" t="n">
        <v>0</v>
      </c>
      <c r="I391" t="n">
        <v>0</v>
      </c>
      <c r="J391" t="n">
        <v>0</v>
      </c>
      <c r="K391" t="n">
        <v>0</v>
      </c>
      <c r="L391" t="n">
        <v>0</v>
      </c>
      <c r="M391" t="n">
        <v>0</v>
      </c>
      <c r="N391" t="n">
        <v>0</v>
      </c>
      <c r="O391" t="n">
        <v>0</v>
      </c>
      <c r="P391" t="n">
        <v>0</v>
      </c>
      <c r="Q391" t="n">
        <v>0</v>
      </c>
      <c r="R391" s="2" t="inlineStr"/>
    </row>
    <row r="392" ht="15" customHeight="1">
      <c r="A392" t="inlineStr">
        <is>
          <t>A 27322-2021</t>
        </is>
      </c>
      <c r="B392" s="1" t="n">
        <v>44351</v>
      </c>
      <c r="C392" s="1" t="n">
        <v>46103</v>
      </c>
      <c r="D392" t="inlineStr">
        <is>
          <t>KRONOBERGS LÄN</t>
        </is>
      </c>
      <c r="E392" t="inlineStr">
        <is>
          <t>TINGSRYD</t>
        </is>
      </c>
      <c r="G392" t="n">
        <v>1.2</v>
      </c>
      <c r="H392" t="n">
        <v>0</v>
      </c>
      <c r="I392" t="n">
        <v>0</v>
      </c>
      <c r="J392" t="n">
        <v>0</v>
      </c>
      <c r="K392" t="n">
        <v>0</v>
      </c>
      <c r="L392" t="n">
        <v>0</v>
      </c>
      <c r="M392" t="n">
        <v>0</v>
      </c>
      <c r="N392" t="n">
        <v>0</v>
      </c>
      <c r="O392" t="n">
        <v>0</v>
      </c>
      <c r="P392" t="n">
        <v>0</v>
      </c>
      <c r="Q392" t="n">
        <v>0</v>
      </c>
      <c r="R392" s="2" t="inlineStr"/>
    </row>
    <row r="393" ht="15" customHeight="1">
      <c r="A393" t="inlineStr">
        <is>
          <t>A 65371-2021</t>
        </is>
      </c>
      <c r="B393" s="1" t="n">
        <v>44515</v>
      </c>
      <c r="C393" s="1" t="n">
        <v>46103</v>
      </c>
      <c r="D393" t="inlineStr">
        <is>
          <t>KRONOBERGS LÄN</t>
        </is>
      </c>
      <c r="E393" t="inlineStr">
        <is>
          <t>ALVESTA</t>
        </is>
      </c>
      <c r="G393" t="n">
        <v>0.6</v>
      </c>
      <c r="H393" t="n">
        <v>0</v>
      </c>
      <c r="I393" t="n">
        <v>0</v>
      </c>
      <c r="J393" t="n">
        <v>0</v>
      </c>
      <c r="K393" t="n">
        <v>0</v>
      </c>
      <c r="L393" t="n">
        <v>0</v>
      </c>
      <c r="M393" t="n">
        <v>0</v>
      </c>
      <c r="N393" t="n">
        <v>0</v>
      </c>
      <c r="O393" t="n">
        <v>0</v>
      </c>
      <c r="P393" t="n">
        <v>0</v>
      </c>
      <c r="Q393" t="n">
        <v>0</v>
      </c>
      <c r="R393" s="2" t="inlineStr"/>
    </row>
    <row r="394" ht="15" customHeight="1">
      <c r="A394" t="inlineStr">
        <is>
          <t>A 27158-2021</t>
        </is>
      </c>
      <c r="B394" s="1" t="n">
        <v>44350.60737268518</v>
      </c>
      <c r="C394" s="1" t="n">
        <v>46103</v>
      </c>
      <c r="D394" t="inlineStr">
        <is>
          <t>KRONOBERGS LÄN</t>
        </is>
      </c>
      <c r="E394" t="inlineStr">
        <is>
          <t>ÄLMHULT</t>
        </is>
      </c>
      <c r="G394" t="n">
        <v>1.1</v>
      </c>
      <c r="H394" t="n">
        <v>0</v>
      </c>
      <c r="I394" t="n">
        <v>0</v>
      </c>
      <c r="J394" t="n">
        <v>0</v>
      </c>
      <c r="K394" t="n">
        <v>0</v>
      </c>
      <c r="L394" t="n">
        <v>0</v>
      </c>
      <c r="M394" t="n">
        <v>0</v>
      </c>
      <c r="N394" t="n">
        <v>0</v>
      </c>
      <c r="O394" t="n">
        <v>0</v>
      </c>
      <c r="P394" t="n">
        <v>0</v>
      </c>
      <c r="Q394" t="n">
        <v>0</v>
      </c>
      <c r="R394" s="2" t="inlineStr"/>
    </row>
    <row r="395" ht="15" customHeight="1">
      <c r="A395" t="inlineStr">
        <is>
          <t>A 38461-2022</t>
        </is>
      </c>
      <c r="B395" s="1" t="n">
        <v>44813</v>
      </c>
      <c r="C395" s="1" t="n">
        <v>46103</v>
      </c>
      <c r="D395" t="inlineStr">
        <is>
          <t>KRONOBERGS LÄN</t>
        </is>
      </c>
      <c r="E395" t="inlineStr">
        <is>
          <t>TINGSRYD</t>
        </is>
      </c>
      <c r="G395" t="n">
        <v>4.4</v>
      </c>
      <c r="H395" t="n">
        <v>0</v>
      </c>
      <c r="I395" t="n">
        <v>0</v>
      </c>
      <c r="J395" t="n">
        <v>0</v>
      </c>
      <c r="K395" t="n">
        <v>0</v>
      </c>
      <c r="L395" t="n">
        <v>0</v>
      </c>
      <c r="M395" t="n">
        <v>0</v>
      </c>
      <c r="N395" t="n">
        <v>0</v>
      </c>
      <c r="O395" t="n">
        <v>0</v>
      </c>
      <c r="P395" t="n">
        <v>0</v>
      </c>
      <c r="Q395" t="n">
        <v>0</v>
      </c>
      <c r="R395" s="2" t="inlineStr"/>
    </row>
    <row r="396" ht="15" customHeight="1">
      <c r="A396" t="inlineStr">
        <is>
          <t>A 67593-2021</t>
        </is>
      </c>
      <c r="B396" s="1" t="n">
        <v>44524.60759259259</v>
      </c>
      <c r="C396" s="1" t="n">
        <v>46103</v>
      </c>
      <c r="D396" t="inlineStr">
        <is>
          <t>KRONOBERGS LÄN</t>
        </is>
      </c>
      <c r="E396" t="inlineStr">
        <is>
          <t>TINGSRYD</t>
        </is>
      </c>
      <c r="G396" t="n">
        <v>5.1</v>
      </c>
      <c r="H396" t="n">
        <v>0</v>
      </c>
      <c r="I396" t="n">
        <v>0</v>
      </c>
      <c r="J396" t="n">
        <v>0</v>
      </c>
      <c r="K396" t="n">
        <v>0</v>
      </c>
      <c r="L396" t="n">
        <v>0</v>
      </c>
      <c r="M396" t="n">
        <v>0</v>
      </c>
      <c r="N396" t="n">
        <v>0</v>
      </c>
      <c r="O396" t="n">
        <v>0</v>
      </c>
      <c r="P396" t="n">
        <v>0</v>
      </c>
      <c r="Q396" t="n">
        <v>0</v>
      </c>
      <c r="R396" s="2" t="inlineStr"/>
    </row>
    <row r="397" ht="15" customHeight="1">
      <c r="A397" t="inlineStr">
        <is>
          <t>A 58646-2021</t>
        </is>
      </c>
      <c r="B397" s="1" t="n">
        <v>44489.36836805556</v>
      </c>
      <c r="C397" s="1" t="n">
        <v>46103</v>
      </c>
      <c r="D397" t="inlineStr">
        <is>
          <t>KRONOBERGS LÄN</t>
        </is>
      </c>
      <c r="E397" t="inlineStr">
        <is>
          <t>TINGSRYD</t>
        </is>
      </c>
      <c r="G397" t="n">
        <v>6.5</v>
      </c>
      <c r="H397" t="n">
        <v>0</v>
      </c>
      <c r="I397" t="n">
        <v>0</v>
      </c>
      <c r="J397" t="n">
        <v>0</v>
      </c>
      <c r="K397" t="n">
        <v>0</v>
      </c>
      <c r="L397" t="n">
        <v>0</v>
      </c>
      <c r="M397" t="n">
        <v>0</v>
      </c>
      <c r="N397" t="n">
        <v>0</v>
      </c>
      <c r="O397" t="n">
        <v>0</v>
      </c>
      <c r="P397" t="n">
        <v>0</v>
      </c>
      <c r="Q397" t="n">
        <v>0</v>
      </c>
      <c r="R397" s="2" t="inlineStr"/>
    </row>
    <row r="398" ht="15" customHeight="1">
      <c r="A398" t="inlineStr">
        <is>
          <t>A 56544-2021</t>
        </is>
      </c>
      <c r="B398" s="1" t="n">
        <v>44480</v>
      </c>
      <c r="C398" s="1" t="n">
        <v>46103</v>
      </c>
      <c r="D398" t="inlineStr">
        <is>
          <t>KRONOBERGS LÄN</t>
        </is>
      </c>
      <c r="E398" t="inlineStr">
        <is>
          <t>VÄXJÖ</t>
        </is>
      </c>
      <c r="G398" t="n">
        <v>0.4</v>
      </c>
      <c r="H398" t="n">
        <v>0</v>
      </c>
      <c r="I398" t="n">
        <v>0</v>
      </c>
      <c r="J398" t="n">
        <v>0</v>
      </c>
      <c r="K398" t="n">
        <v>0</v>
      </c>
      <c r="L398" t="n">
        <v>0</v>
      </c>
      <c r="M398" t="n">
        <v>0</v>
      </c>
      <c r="N398" t="n">
        <v>0</v>
      </c>
      <c r="O398" t="n">
        <v>0</v>
      </c>
      <c r="P398" t="n">
        <v>0</v>
      </c>
      <c r="Q398" t="n">
        <v>0</v>
      </c>
      <c r="R398" s="2" t="inlineStr"/>
    </row>
    <row r="399" ht="15" customHeight="1">
      <c r="A399" t="inlineStr">
        <is>
          <t>A 35251-2022</t>
        </is>
      </c>
      <c r="B399" s="1" t="n">
        <v>44798.3397337963</v>
      </c>
      <c r="C399" s="1" t="n">
        <v>46103</v>
      </c>
      <c r="D399" t="inlineStr">
        <is>
          <t>KRONOBERGS LÄN</t>
        </is>
      </c>
      <c r="E399" t="inlineStr">
        <is>
          <t>ÄLMHULT</t>
        </is>
      </c>
      <c r="G399" t="n">
        <v>3.3</v>
      </c>
      <c r="H399" t="n">
        <v>0</v>
      </c>
      <c r="I399" t="n">
        <v>0</v>
      </c>
      <c r="J399" t="n">
        <v>0</v>
      </c>
      <c r="K399" t="n">
        <v>0</v>
      </c>
      <c r="L399" t="n">
        <v>0</v>
      </c>
      <c r="M399" t="n">
        <v>0</v>
      </c>
      <c r="N399" t="n">
        <v>0</v>
      </c>
      <c r="O399" t="n">
        <v>0</v>
      </c>
      <c r="P399" t="n">
        <v>0</v>
      </c>
      <c r="Q399" t="n">
        <v>0</v>
      </c>
      <c r="R399" s="2" t="inlineStr"/>
    </row>
    <row r="400" ht="15" customHeight="1">
      <c r="A400" t="inlineStr">
        <is>
          <t>A 35254-2022</t>
        </is>
      </c>
      <c r="B400" s="1" t="n">
        <v>44798.35671296297</v>
      </c>
      <c r="C400" s="1" t="n">
        <v>46103</v>
      </c>
      <c r="D400" t="inlineStr">
        <is>
          <t>KRONOBERGS LÄN</t>
        </is>
      </c>
      <c r="E400" t="inlineStr">
        <is>
          <t>ALVESTA</t>
        </is>
      </c>
      <c r="G400" t="n">
        <v>1</v>
      </c>
      <c r="H400" t="n">
        <v>0</v>
      </c>
      <c r="I400" t="n">
        <v>0</v>
      </c>
      <c r="J400" t="n">
        <v>0</v>
      </c>
      <c r="K400" t="n">
        <v>0</v>
      </c>
      <c r="L400" t="n">
        <v>0</v>
      </c>
      <c r="M400" t="n">
        <v>0</v>
      </c>
      <c r="N400" t="n">
        <v>0</v>
      </c>
      <c r="O400" t="n">
        <v>0</v>
      </c>
      <c r="P400" t="n">
        <v>0</v>
      </c>
      <c r="Q400" t="n">
        <v>0</v>
      </c>
      <c r="R400" s="2" t="inlineStr"/>
    </row>
    <row r="401" ht="15" customHeight="1">
      <c r="A401" t="inlineStr">
        <is>
          <t>A 64459-2021</t>
        </is>
      </c>
      <c r="B401" s="1" t="n">
        <v>44511</v>
      </c>
      <c r="C401" s="1" t="n">
        <v>46103</v>
      </c>
      <c r="D401" t="inlineStr">
        <is>
          <t>KRONOBERGS LÄN</t>
        </is>
      </c>
      <c r="E401" t="inlineStr">
        <is>
          <t>ALVESTA</t>
        </is>
      </c>
      <c r="G401" t="n">
        <v>2</v>
      </c>
      <c r="H401" t="n">
        <v>0</v>
      </c>
      <c r="I401" t="n">
        <v>0</v>
      </c>
      <c r="J401" t="n">
        <v>0</v>
      </c>
      <c r="K401" t="n">
        <v>0</v>
      </c>
      <c r="L401" t="n">
        <v>0</v>
      </c>
      <c r="M401" t="n">
        <v>0</v>
      </c>
      <c r="N401" t="n">
        <v>0</v>
      </c>
      <c r="O401" t="n">
        <v>0</v>
      </c>
      <c r="P401" t="n">
        <v>0</v>
      </c>
      <c r="Q401" t="n">
        <v>0</v>
      </c>
      <c r="R401" s="2" t="inlineStr"/>
    </row>
    <row r="402" ht="15" customHeight="1">
      <c r="A402" t="inlineStr">
        <is>
          <t>A 41983-2021</t>
        </is>
      </c>
      <c r="B402" s="1" t="n">
        <v>44426</v>
      </c>
      <c r="C402" s="1" t="n">
        <v>46103</v>
      </c>
      <c r="D402" t="inlineStr">
        <is>
          <t>KRONOBERGS LÄN</t>
        </is>
      </c>
      <c r="E402" t="inlineStr">
        <is>
          <t>TINGSRYD</t>
        </is>
      </c>
      <c r="G402" t="n">
        <v>3.9</v>
      </c>
      <c r="H402" t="n">
        <v>0</v>
      </c>
      <c r="I402" t="n">
        <v>0</v>
      </c>
      <c r="J402" t="n">
        <v>0</v>
      </c>
      <c r="K402" t="n">
        <v>0</v>
      </c>
      <c r="L402" t="n">
        <v>0</v>
      </c>
      <c r="M402" t="n">
        <v>0</v>
      </c>
      <c r="N402" t="n">
        <v>0</v>
      </c>
      <c r="O402" t="n">
        <v>0</v>
      </c>
      <c r="P402" t="n">
        <v>0</v>
      </c>
      <c r="Q402" t="n">
        <v>0</v>
      </c>
      <c r="R402" s="2" t="inlineStr"/>
    </row>
    <row r="403" ht="15" customHeight="1">
      <c r="A403" t="inlineStr">
        <is>
          <t>A 68062-2021</t>
        </is>
      </c>
      <c r="B403" s="1" t="n">
        <v>44525.97056712963</v>
      </c>
      <c r="C403" s="1" t="n">
        <v>46103</v>
      </c>
      <c r="D403" t="inlineStr">
        <is>
          <t>KRONOBERGS LÄN</t>
        </is>
      </c>
      <c r="E403" t="inlineStr">
        <is>
          <t>VÄXJÖ</t>
        </is>
      </c>
      <c r="G403" t="n">
        <v>1.5</v>
      </c>
      <c r="H403" t="n">
        <v>0</v>
      </c>
      <c r="I403" t="n">
        <v>0</v>
      </c>
      <c r="J403" t="n">
        <v>0</v>
      </c>
      <c r="K403" t="n">
        <v>0</v>
      </c>
      <c r="L403" t="n">
        <v>0</v>
      </c>
      <c r="M403" t="n">
        <v>0</v>
      </c>
      <c r="N403" t="n">
        <v>0</v>
      </c>
      <c r="O403" t="n">
        <v>0</v>
      </c>
      <c r="P403" t="n">
        <v>0</v>
      </c>
      <c r="Q403" t="n">
        <v>0</v>
      </c>
      <c r="R403" s="2" t="inlineStr"/>
    </row>
    <row r="404" ht="15" customHeight="1">
      <c r="A404" t="inlineStr">
        <is>
          <t>A 49917-2022</t>
        </is>
      </c>
      <c r="B404" s="1" t="n">
        <v>44865.31504629629</v>
      </c>
      <c r="C404" s="1" t="n">
        <v>46103</v>
      </c>
      <c r="D404" t="inlineStr">
        <is>
          <t>KRONOBERGS LÄN</t>
        </is>
      </c>
      <c r="E404" t="inlineStr">
        <is>
          <t>TINGSRYD</t>
        </is>
      </c>
      <c r="G404" t="n">
        <v>0.5</v>
      </c>
      <c r="H404" t="n">
        <v>0</v>
      </c>
      <c r="I404" t="n">
        <v>0</v>
      </c>
      <c r="J404" t="n">
        <v>0</v>
      </c>
      <c r="K404" t="n">
        <v>0</v>
      </c>
      <c r="L404" t="n">
        <v>0</v>
      </c>
      <c r="M404" t="n">
        <v>0</v>
      </c>
      <c r="N404" t="n">
        <v>0</v>
      </c>
      <c r="O404" t="n">
        <v>0</v>
      </c>
      <c r="P404" t="n">
        <v>0</v>
      </c>
      <c r="Q404" t="n">
        <v>0</v>
      </c>
      <c r="R404" s="2" t="inlineStr"/>
    </row>
    <row r="405" ht="15" customHeight="1">
      <c r="A405" t="inlineStr">
        <is>
          <t>A 49720-2022</t>
        </is>
      </c>
      <c r="B405" s="1" t="n">
        <v>44859</v>
      </c>
      <c r="C405" s="1" t="n">
        <v>46103</v>
      </c>
      <c r="D405" t="inlineStr">
        <is>
          <t>KRONOBERGS LÄN</t>
        </is>
      </c>
      <c r="E405" t="inlineStr">
        <is>
          <t>UPPVIDINGE</t>
        </is>
      </c>
      <c r="G405" t="n">
        <v>1.2</v>
      </c>
      <c r="H405" t="n">
        <v>0</v>
      </c>
      <c r="I405" t="n">
        <v>0</v>
      </c>
      <c r="J405" t="n">
        <v>0</v>
      </c>
      <c r="K405" t="n">
        <v>0</v>
      </c>
      <c r="L405" t="n">
        <v>0</v>
      </c>
      <c r="M405" t="n">
        <v>0</v>
      </c>
      <c r="N405" t="n">
        <v>0</v>
      </c>
      <c r="O405" t="n">
        <v>0</v>
      </c>
      <c r="P405" t="n">
        <v>0</v>
      </c>
      <c r="Q405" t="n">
        <v>0</v>
      </c>
      <c r="R405" s="2" t="inlineStr"/>
    </row>
    <row r="406" ht="15" customHeight="1">
      <c r="A406" t="inlineStr">
        <is>
          <t>A 42789-2021</t>
        </is>
      </c>
      <c r="B406" s="1" t="n">
        <v>44428.87</v>
      </c>
      <c r="C406" s="1" t="n">
        <v>46103</v>
      </c>
      <c r="D406" t="inlineStr">
        <is>
          <t>KRONOBERGS LÄN</t>
        </is>
      </c>
      <c r="E406" t="inlineStr">
        <is>
          <t>ÄLMHULT</t>
        </is>
      </c>
      <c r="G406" t="n">
        <v>1.6</v>
      </c>
      <c r="H406" t="n">
        <v>0</v>
      </c>
      <c r="I406" t="n">
        <v>0</v>
      </c>
      <c r="J406" t="n">
        <v>0</v>
      </c>
      <c r="K406" t="n">
        <v>0</v>
      </c>
      <c r="L406" t="n">
        <v>0</v>
      </c>
      <c r="M406" t="n">
        <v>0</v>
      </c>
      <c r="N406" t="n">
        <v>0</v>
      </c>
      <c r="O406" t="n">
        <v>0</v>
      </c>
      <c r="P406" t="n">
        <v>0</v>
      </c>
      <c r="Q406" t="n">
        <v>0</v>
      </c>
      <c r="R406" s="2" t="inlineStr"/>
    </row>
    <row r="407" ht="15" customHeight="1">
      <c r="A407" t="inlineStr">
        <is>
          <t>A 39706-2022</t>
        </is>
      </c>
      <c r="B407" s="1" t="n">
        <v>44818</v>
      </c>
      <c r="C407" s="1" t="n">
        <v>46103</v>
      </c>
      <c r="D407" t="inlineStr">
        <is>
          <t>KRONOBERGS LÄN</t>
        </is>
      </c>
      <c r="E407" t="inlineStr">
        <is>
          <t>LJUNGBY</t>
        </is>
      </c>
      <c r="G407" t="n">
        <v>0.6</v>
      </c>
      <c r="H407" t="n">
        <v>0</v>
      </c>
      <c r="I407" t="n">
        <v>0</v>
      </c>
      <c r="J407" t="n">
        <v>0</v>
      </c>
      <c r="K407" t="n">
        <v>0</v>
      </c>
      <c r="L407" t="n">
        <v>0</v>
      </c>
      <c r="M407" t="n">
        <v>0</v>
      </c>
      <c r="N407" t="n">
        <v>0</v>
      </c>
      <c r="O407" t="n">
        <v>0</v>
      </c>
      <c r="P407" t="n">
        <v>0</v>
      </c>
      <c r="Q407" t="n">
        <v>0</v>
      </c>
      <c r="R407" s="2" t="inlineStr"/>
    </row>
    <row r="408" ht="15" customHeight="1">
      <c r="A408" t="inlineStr">
        <is>
          <t>A 29506-2022</t>
        </is>
      </c>
      <c r="B408" s="1" t="n">
        <v>44753.64795138889</v>
      </c>
      <c r="C408" s="1" t="n">
        <v>46103</v>
      </c>
      <c r="D408" t="inlineStr">
        <is>
          <t>KRONOBERGS LÄN</t>
        </is>
      </c>
      <c r="E408" t="inlineStr">
        <is>
          <t>TINGSRYD</t>
        </is>
      </c>
      <c r="G408" t="n">
        <v>0.5</v>
      </c>
      <c r="H408" t="n">
        <v>0</v>
      </c>
      <c r="I408" t="n">
        <v>0</v>
      </c>
      <c r="J408" t="n">
        <v>0</v>
      </c>
      <c r="K408" t="n">
        <v>0</v>
      </c>
      <c r="L408" t="n">
        <v>0</v>
      </c>
      <c r="M408" t="n">
        <v>0</v>
      </c>
      <c r="N408" t="n">
        <v>0</v>
      </c>
      <c r="O408" t="n">
        <v>0</v>
      </c>
      <c r="P408" t="n">
        <v>0</v>
      </c>
      <c r="Q408" t="n">
        <v>0</v>
      </c>
      <c r="R408" s="2" t="inlineStr"/>
    </row>
    <row r="409" ht="15" customHeight="1">
      <c r="A409" t="inlineStr">
        <is>
          <t>A 67344-2021</t>
        </is>
      </c>
      <c r="B409" s="1" t="n">
        <v>44523</v>
      </c>
      <c r="C409" s="1" t="n">
        <v>46103</v>
      </c>
      <c r="D409" t="inlineStr">
        <is>
          <t>KRONOBERGS LÄN</t>
        </is>
      </c>
      <c r="E409" t="inlineStr">
        <is>
          <t>ÄLMHULT</t>
        </is>
      </c>
      <c r="G409" t="n">
        <v>1</v>
      </c>
      <c r="H409" t="n">
        <v>0</v>
      </c>
      <c r="I409" t="n">
        <v>0</v>
      </c>
      <c r="J409" t="n">
        <v>0</v>
      </c>
      <c r="K409" t="n">
        <v>0</v>
      </c>
      <c r="L409" t="n">
        <v>0</v>
      </c>
      <c r="M409" t="n">
        <v>0</v>
      </c>
      <c r="N409" t="n">
        <v>0</v>
      </c>
      <c r="O409" t="n">
        <v>0</v>
      </c>
      <c r="P409" t="n">
        <v>0</v>
      </c>
      <c r="Q409" t="n">
        <v>0</v>
      </c>
      <c r="R409" s="2" t="inlineStr"/>
    </row>
    <row r="410" ht="15" customHeight="1">
      <c r="A410" t="inlineStr">
        <is>
          <t>A 2212-2022</t>
        </is>
      </c>
      <c r="B410" s="1" t="n">
        <v>44578</v>
      </c>
      <c r="C410" s="1" t="n">
        <v>46103</v>
      </c>
      <c r="D410" t="inlineStr">
        <is>
          <t>KRONOBERGS LÄN</t>
        </is>
      </c>
      <c r="E410" t="inlineStr">
        <is>
          <t>VÄXJÖ</t>
        </is>
      </c>
      <c r="G410" t="n">
        <v>1</v>
      </c>
      <c r="H410" t="n">
        <v>0</v>
      </c>
      <c r="I410" t="n">
        <v>0</v>
      </c>
      <c r="J410" t="n">
        <v>0</v>
      </c>
      <c r="K410" t="n">
        <v>0</v>
      </c>
      <c r="L410" t="n">
        <v>0</v>
      </c>
      <c r="M410" t="n">
        <v>0</v>
      </c>
      <c r="N410" t="n">
        <v>0</v>
      </c>
      <c r="O410" t="n">
        <v>0</v>
      </c>
      <c r="P410" t="n">
        <v>0</v>
      </c>
      <c r="Q410" t="n">
        <v>0</v>
      </c>
      <c r="R410" s="2" t="inlineStr"/>
    </row>
    <row r="411" ht="15" customHeight="1">
      <c r="A411" t="inlineStr">
        <is>
          <t>A 65672-2021</t>
        </is>
      </c>
      <c r="B411" s="1" t="n">
        <v>44516.59821759259</v>
      </c>
      <c r="C411" s="1" t="n">
        <v>46103</v>
      </c>
      <c r="D411" t="inlineStr">
        <is>
          <t>KRONOBERGS LÄN</t>
        </is>
      </c>
      <c r="E411" t="inlineStr">
        <is>
          <t>VÄXJÖ</t>
        </is>
      </c>
      <c r="F411" t="inlineStr">
        <is>
          <t>Sveaskog</t>
        </is>
      </c>
      <c r="G411" t="n">
        <v>1.1</v>
      </c>
      <c r="H411" t="n">
        <v>0</v>
      </c>
      <c r="I411" t="n">
        <v>0</v>
      </c>
      <c r="J411" t="n">
        <v>0</v>
      </c>
      <c r="K411" t="n">
        <v>0</v>
      </c>
      <c r="L411" t="n">
        <v>0</v>
      </c>
      <c r="M411" t="n">
        <v>0</v>
      </c>
      <c r="N411" t="n">
        <v>0</v>
      </c>
      <c r="O411" t="n">
        <v>0</v>
      </c>
      <c r="P411" t="n">
        <v>0</v>
      </c>
      <c r="Q411" t="n">
        <v>0</v>
      </c>
      <c r="R411" s="2" t="inlineStr"/>
    </row>
    <row r="412" ht="15" customHeight="1">
      <c r="A412" t="inlineStr">
        <is>
          <t>A 2029-2022</t>
        </is>
      </c>
      <c r="B412" s="1" t="n">
        <v>44575</v>
      </c>
      <c r="C412" s="1" t="n">
        <v>46103</v>
      </c>
      <c r="D412" t="inlineStr">
        <is>
          <t>KRONOBERGS LÄN</t>
        </is>
      </c>
      <c r="E412" t="inlineStr">
        <is>
          <t>TINGSRYD</t>
        </is>
      </c>
      <c r="G412" t="n">
        <v>2.5</v>
      </c>
      <c r="H412" t="n">
        <v>0</v>
      </c>
      <c r="I412" t="n">
        <v>0</v>
      </c>
      <c r="J412" t="n">
        <v>0</v>
      </c>
      <c r="K412" t="n">
        <v>0</v>
      </c>
      <c r="L412" t="n">
        <v>0</v>
      </c>
      <c r="M412" t="n">
        <v>0</v>
      </c>
      <c r="N412" t="n">
        <v>0</v>
      </c>
      <c r="O412" t="n">
        <v>0</v>
      </c>
      <c r="P412" t="n">
        <v>0</v>
      </c>
      <c r="Q412" t="n">
        <v>0</v>
      </c>
      <c r="R412" s="2" t="inlineStr"/>
    </row>
    <row r="413" ht="15" customHeight="1">
      <c r="A413" t="inlineStr">
        <is>
          <t>A 69957-2021</t>
        </is>
      </c>
      <c r="B413" s="1" t="n">
        <v>44533.37256944444</v>
      </c>
      <c r="C413" s="1" t="n">
        <v>46103</v>
      </c>
      <c r="D413" t="inlineStr">
        <is>
          <t>KRONOBERGS LÄN</t>
        </is>
      </c>
      <c r="E413" t="inlineStr">
        <is>
          <t>TINGSRYD</t>
        </is>
      </c>
      <c r="G413" t="n">
        <v>1.2</v>
      </c>
      <c r="H413" t="n">
        <v>0</v>
      </c>
      <c r="I413" t="n">
        <v>0</v>
      </c>
      <c r="J413" t="n">
        <v>0</v>
      </c>
      <c r="K413" t="n">
        <v>0</v>
      </c>
      <c r="L413" t="n">
        <v>0</v>
      </c>
      <c r="M413" t="n">
        <v>0</v>
      </c>
      <c r="N413" t="n">
        <v>0</v>
      </c>
      <c r="O413" t="n">
        <v>0</v>
      </c>
      <c r="P413" t="n">
        <v>0</v>
      </c>
      <c r="Q413" t="n">
        <v>0</v>
      </c>
      <c r="R413" s="2" t="inlineStr"/>
    </row>
    <row r="414" ht="15" customHeight="1">
      <c r="A414" t="inlineStr">
        <is>
          <t>A 46357-2021</t>
        </is>
      </c>
      <c r="B414" s="1" t="n">
        <v>44442</v>
      </c>
      <c r="C414" s="1" t="n">
        <v>46103</v>
      </c>
      <c r="D414" t="inlineStr">
        <is>
          <t>KRONOBERGS LÄN</t>
        </is>
      </c>
      <c r="E414" t="inlineStr">
        <is>
          <t>ALVESTA</t>
        </is>
      </c>
      <c r="G414" t="n">
        <v>1.3</v>
      </c>
      <c r="H414" t="n">
        <v>0</v>
      </c>
      <c r="I414" t="n">
        <v>0</v>
      </c>
      <c r="J414" t="n">
        <v>0</v>
      </c>
      <c r="K414" t="n">
        <v>0</v>
      </c>
      <c r="L414" t="n">
        <v>0</v>
      </c>
      <c r="M414" t="n">
        <v>0</v>
      </c>
      <c r="N414" t="n">
        <v>0</v>
      </c>
      <c r="O414" t="n">
        <v>0</v>
      </c>
      <c r="P414" t="n">
        <v>0</v>
      </c>
      <c r="Q414" t="n">
        <v>0</v>
      </c>
      <c r="R414" s="2" t="inlineStr"/>
    </row>
    <row r="415" ht="15" customHeight="1">
      <c r="A415" t="inlineStr">
        <is>
          <t>A 39909-2022</t>
        </is>
      </c>
      <c r="B415" s="1" t="n">
        <v>44819</v>
      </c>
      <c r="C415" s="1" t="n">
        <v>46103</v>
      </c>
      <c r="D415" t="inlineStr">
        <is>
          <t>KRONOBERGS LÄN</t>
        </is>
      </c>
      <c r="E415" t="inlineStr">
        <is>
          <t>TINGSRYD</t>
        </is>
      </c>
      <c r="G415" t="n">
        <v>1.5</v>
      </c>
      <c r="H415" t="n">
        <v>0</v>
      </c>
      <c r="I415" t="n">
        <v>0</v>
      </c>
      <c r="J415" t="n">
        <v>0</v>
      </c>
      <c r="K415" t="n">
        <v>0</v>
      </c>
      <c r="L415" t="n">
        <v>0</v>
      </c>
      <c r="M415" t="n">
        <v>0</v>
      </c>
      <c r="N415" t="n">
        <v>0</v>
      </c>
      <c r="O415" t="n">
        <v>0</v>
      </c>
      <c r="P415" t="n">
        <v>0</v>
      </c>
      <c r="Q415" t="n">
        <v>0</v>
      </c>
      <c r="R415" s="2" t="inlineStr"/>
    </row>
    <row r="416" ht="15" customHeight="1">
      <c r="A416" t="inlineStr">
        <is>
          <t>A 15402-2021</t>
        </is>
      </c>
      <c r="B416" s="1" t="n">
        <v>44285</v>
      </c>
      <c r="C416" s="1" t="n">
        <v>46103</v>
      </c>
      <c r="D416" t="inlineStr">
        <is>
          <t>KRONOBERGS LÄN</t>
        </is>
      </c>
      <c r="E416" t="inlineStr">
        <is>
          <t>TINGSRYD</t>
        </is>
      </c>
      <c r="G416" t="n">
        <v>1.6</v>
      </c>
      <c r="H416" t="n">
        <v>0</v>
      </c>
      <c r="I416" t="n">
        <v>0</v>
      </c>
      <c r="J416" t="n">
        <v>0</v>
      </c>
      <c r="K416" t="n">
        <v>0</v>
      </c>
      <c r="L416" t="n">
        <v>0</v>
      </c>
      <c r="M416" t="n">
        <v>0</v>
      </c>
      <c r="N416" t="n">
        <v>0</v>
      </c>
      <c r="O416" t="n">
        <v>0</v>
      </c>
      <c r="P416" t="n">
        <v>0</v>
      </c>
      <c r="Q416" t="n">
        <v>0</v>
      </c>
      <c r="R416" s="2" t="inlineStr"/>
    </row>
    <row r="417" ht="15" customHeight="1">
      <c r="A417" t="inlineStr">
        <is>
          <t>A 46357-2022</t>
        </is>
      </c>
      <c r="B417" s="1" t="n">
        <v>44848.3015625</v>
      </c>
      <c r="C417" s="1" t="n">
        <v>46103</v>
      </c>
      <c r="D417" t="inlineStr">
        <is>
          <t>KRONOBERGS LÄN</t>
        </is>
      </c>
      <c r="E417" t="inlineStr">
        <is>
          <t>LJUNGBY</t>
        </is>
      </c>
      <c r="G417" t="n">
        <v>1.8</v>
      </c>
      <c r="H417" t="n">
        <v>0</v>
      </c>
      <c r="I417" t="n">
        <v>0</v>
      </c>
      <c r="J417" t="n">
        <v>0</v>
      </c>
      <c r="K417" t="n">
        <v>0</v>
      </c>
      <c r="L417" t="n">
        <v>0</v>
      </c>
      <c r="M417" t="n">
        <v>0</v>
      </c>
      <c r="N417" t="n">
        <v>0</v>
      </c>
      <c r="O417" t="n">
        <v>0</v>
      </c>
      <c r="P417" t="n">
        <v>0</v>
      </c>
      <c r="Q417" t="n">
        <v>0</v>
      </c>
      <c r="R417" s="2" t="inlineStr"/>
    </row>
    <row r="418" ht="15" customHeight="1">
      <c r="A418" t="inlineStr">
        <is>
          <t>A 27758-2021</t>
        </is>
      </c>
      <c r="B418" s="1" t="n">
        <v>44354</v>
      </c>
      <c r="C418" s="1" t="n">
        <v>46103</v>
      </c>
      <c r="D418" t="inlineStr">
        <is>
          <t>KRONOBERGS LÄN</t>
        </is>
      </c>
      <c r="E418" t="inlineStr">
        <is>
          <t>ALVESTA</t>
        </is>
      </c>
      <c r="G418" t="n">
        <v>0.8</v>
      </c>
      <c r="H418" t="n">
        <v>0</v>
      </c>
      <c r="I418" t="n">
        <v>0</v>
      </c>
      <c r="J418" t="n">
        <v>0</v>
      </c>
      <c r="K418" t="n">
        <v>0</v>
      </c>
      <c r="L418" t="n">
        <v>0</v>
      </c>
      <c r="M418" t="n">
        <v>0</v>
      </c>
      <c r="N418" t="n">
        <v>0</v>
      </c>
      <c r="O418" t="n">
        <v>0</v>
      </c>
      <c r="P418" t="n">
        <v>0</v>
      </c>
      <c r="Q418" t="n">
        <v>0</v>
      </c>
      <c r="R418" s="2" t="inlineStr"/>
    </row>
    <row r="419" ht="15" customHeight="1">
      <c r="A419" t="inlineStr">
        <is>
          <t>A 17073-2021</t>
        </is>
      </c>
      <c r="B419" s="1" t="n">
        <v>44297</v>
      </c>
      <c r="C419" s="1" t="n">
        <v>46103</v>
      </c>
      <c r="D419" t="inlineStr">
        <is>
          <t>KRONOBERGS LÄN</t>
        </is>
      </c>
      <c r="E419" t="inlineStr">
        <is>
          <t>LJUNGBY</t>
        </is>
      </c>
      <c r="G419" t="n">
        <v>1.4</v>
      </c>
      <c r="H419" t="n">
        <v>0</v>
      </c>
      <c r="I419" t="n">
        <v>0</v>
      </c>
      <c r="J419" t="n">
        <v>0</v>
      </c>
      <c r="K419" t="n">
        <v>0</v>
      </c>
      <c r="L419" t="n">
        <v>0</v>
      </c>
      <c r="M419" t="n">
        <v>0</v>
      </c>
      <c r="N419" t="n">
        <v>0</v>
      </c>
      <c r="O419" t="n">
        <v>0</v>
      </c>
      <c r="P419" t="n">
        <v>0</v>
      </c>
      <c r="Q419" t="n">
        <v>0</v>
      </c>
      <c r="R419" s="2" t="inlineStr"/>
    </row>
    <row r="420" ht="15" customHeight="1">
      <c r="A420" t="inlineStr">
        <is>
          <t>A 27760-2021</t>
        </is>
      </c>
      <c r="B420" s="1" t="n">
        <v>44354</v>
      </c>
      <c r="C420" s="1" t="n">
        <v>46103</v>
      </c>
      <c r="D420" t="inlineStr">
        <is>
          <t>KRONOBERGS LÄN</t>
        </is>
      </c>
      <c r="E420" t="inlineStr">
        <is>
          <t>VÄXJÖ</t>
        </is>
      </c>
      <c r="G420" t="n">
        <v>0.4</v>
      </c>
      <c r="H420" t="n">
        <v>0</v>
      </c>
      <c r="I420" t="n">
        <v>0</v>
      </c>
      <c r="J420" t="n">
        <v>0</v>
      </c>
      <c r="K420" t="n">
        <v>0</v>
      </c>
      <c r="L420" t="n">
        <v>0</v>
      </c>
      <c r="M420" t="n">
        <v>0</v>
      </c>
      <c r="N420" t="n">
        <v>0</v>
      </c>
      <c r="O420" t="n">
        <v>0</v>
      </c>
      <c r="P420" t="n">
        <v>0</v>
      </c>
      <c r="Q420" t="n">
        <v>0</v>
      </c>
      <c r="R420" s="2" t="inlineStr"/>
    </row>
    <row r="421" ht="15" customHeight="1">
      <c r="A421" t="inlineStr">
        <is>
          <t>A 36334-2022</t>
        </is>
      </c>
      <c r="B421" s="1" t="n">
        <v>44803.73929398148</v>
      </c>
      <c r="C421" s="1" t="n">
        <v>46103</v>
      </c>
      <c r="D421" t="inlineStr">
        <is>
          <t>KRONOBERGS LÄN</t>
        </is>
      </c>
      <c r="E421" t="inlineStr">
        <is>
          <t>VÄXJÖ</t>
        </is>
      </c>
      <c r="G421" t="n">
        <v>1.1</v>
      </c>
      <c r="H421" t="n">
        <v>0</v>
      </c>
      <c r="I421" t="n">
        <v>0</v>
      </c>
      <c r="J421" t="n">
        <v>0</v>
      </c>
      <c r="K421" t="n">
        <v>0</v>
      </c>
      <c r="L421" t="n">
        <v>0</v>
      </c>
      <c r="M421" t="n">
        <v>0</v>
      </c>
      <c r="N421" t="n">
        <v>0</v>
      </c>
      <c r="O421" t="n">
        <v>0</v>
      </c>
      <c r="P421" t="n">
        <v>0</v>
      </c>
      <c r="Q421" t="n">
        <v>0</v>
      </c>
      <c r="R421" s="2" t="inlineStr"/>
    </row>
    <row r="422" ht="15" customHeight="1">
      <c r="A422" t="inlineStr">
        <is>
          <t>A 14002-2021</t>
        </is>
      </c>
      <c r="B422" s="1" t="n">
        <v>44277.6141087963</v>
      </c>
      <c r="C422" s="1" t="n">
        <v>46103</v>
      </c>
      <c r="D422" t="inlineStr">
        <is>
          <t>KRONOBERGS LÄN</t>
        </is>
      </c>
      <c r="E422" t="inlineStr">
        <is>
          <t>LJUNGBY</t>
        </is>
      </c>
      <c r="G422" t="n">
        <v>0.5</v>
      </c>
      <c r="H422" t="n">
        <v>0</v>
      </c>
      <c r="I422" t="n">
        <v>0</v>
      </c>
      <c r="J422" t="n">
        <v>0</v>
      </c>
      <c r="K422" t="n">
        <v>0</v>
      </c>
      <c r="L422" t="n">
        <v>0</v>
      </c>
      <c r="M422" t="n">
        <v>0</v>
      </c>
      <c r="N422" t="n">
        <v>0</v>
      </c>
      <c r="O422" t="n">
        <v>0</v>
      </c>
      <c r="P422" t="n">
        <v>0</v>
      </c>
      <c r="Q422" t="n">
        <v>0</v>
      </c>
      <c r="R422" s="2" t="inlineStr"/>
    </row>
    <row r="423" ht="15" customHeight="1">
      <c r="A423" t="inlineStr">
        <is>
          <t>A 54147-2021</t>
        </is>
      </c>
      <c r="B423" s="1" t="n">
        <v>44470</v>
      </c>
      <c r="C423" s="1" t="n">
        <v>46103</v>
      </c>
      <c r="D423" t="inlineStr">
        <is>
          <t>KRONOBERGS LÄN</t>
        </is>
      </c>
      <c r="E423" t="inlineStr">
        <is>
          <t>VÄXJÖ</t>
        </is>
      </c>
      <c r="G423" t="n">
        <v>0.5</v>
      </c>
      <c r="H423" t="n">
        <v>0</v>
      </c>
      <c r="I423" t="n">
        <v>0</v>
      </c>
      <c r="J423" t="n">
        <v>0</v>
      </c>
      <c r="K423" t="n">
        <v>0</v>
      </c>
      <c r="L423" t="n">
        <v>0</v>
      </c>
      <c r="M423" t="n">
        <v>0</v>
      </c>
      <c r="N423" t="n">
        <v>0</v>
      </c>
      <c r="O423" t="n">
        <v>0</v>
      </c>
      <c r="P423" t="n">
        <v>0</v>
      </c>
      <c r="Q423" t="n">
        <v>0</v>
      </c>
      <c r="R423" s="2" t="inlineStr"/>
    </row>
    <row r="424" ht="15" customHeight="1">
      <c r="A424" t="inlineStr">
        <is>
          <t>A 62244-2021</t>
        </is>
      </c>
      <c r="B424" s="1" t="n">
        <v>44503</v>
      </c>
      <c r="C424" s="1" t="n">
        <v>46103</v>
      </c>
      <c r="D424" t="inlineStr">
        <is>
          <t>KRONOBERGS LÄN</t>
        </is>
      </c>
      <c r="E424" t="inlineStr">
        <is>
          <t>ÄLMHULT</t>
        </is>
      </c>
      <c r="G424" t="n">
        <v>0.7</v>
      </c>
      <c r="H424" t="n">
        <v>0</v>
      </c>
      <c r="I424" t="n">
        <v>0</v>
      </c>
      <c r="J424" t="n">
        <v>0</v>
      </c>
      <c r="K424" t="n">
        <v>0</v>
      </c>
      <c r="L424" t="n">
        <v>0</v>
      </c>
      <c r="M424" t="n">
        <v>0</v>
      </c>
      <c r="N424" t="n">
        <v>0</v>
      </c>
      <c r="O424" t="n">
        <v>0</v>
      </c>
      <c r="P424" t="n">
        <v>0</v>
      </c>
      <c r="Q424" t="n">
        <v>0</v>
      </c>
      <c r="R424" s="2" t="inlineStr"/>
    </row>
    <row r="425" ht="15" customHeight="1">
      <c r="A425" t="inlineStr">
        <is>
          <t>A 33141-2021</t>
        </is>
      </c>
      <c r="B425" s="1" t="n">
        <v>44376</v>
      </c>
      <c r="C425" s="1" t="n">
        <v>46103</v>
      </c>
      <c r="D425" t="inlineStr">
        <is>
          <t>KRONOBERGS LÄN</t>
        </is>
      </c>
      <c r="E425" t="inlineStr">
        <is>
          <t>TINGSRYD</t>
        </is>
      </c>
      <c r="G425" t="n">
        <v>1.1</v>
      </c>
      <c r="H425" t="n">
        <v>0</v>
      </c>
      <c r="I425" t="n">
        <v>0</v>
      </c>
      <c r="J425" t="n">
        <v>0</v>
      </c>
      <c r="K425" t="n">
        <v>0</v>
      </c>
      <c r="L425" t="n">
        <v>0</v>
      </c>
      <c r="M425" t="n">
        <v>0</v>
      </c>
      <c r="N425" t="n">
        <v>0</v>
      </c>
      <c r="O425" t="n">
        <v>0</v>
      </c>
      <c r="P425" t="n">
        <v>0</v>
      </c>
      <c r="Q425" t="n">
        <v>0</v>
      </c>
      <c r="R425" s="2" t="inlineStr"/>
    </row>
    <row r="426" ht="15" customHeight="1">
      <c r="A426" t="inlineStr">
        <is>
          <t>A 47890-2021</t>
        </is>
      </c>
      <c r="B426" s="1" t="n">
        <v>44448</v>
      </c>
      <c r="C426" s="1" t="n">
        <v>46103</v>
      </c>
      <c r="D426" t="inlineStr">
        <is>
          <t>KRONOBERGS LÄN</t>
        </is>
      </c>
      <c r="E426" t="inlineStr">
        <is>
          <t>ALVESTA</t>
        </is>
      </c>
      <c r="G426" t="n">
        <v>3.3</v>
      </c>
      <c r="H426" t="n">
        <v>0</v>
      </c>
      <c r="I426" t="n">
        <v>0</v>
      </c>
      <c r="J426" t="n">
        <v>0</v>
      </c>
      <c r="K426" t="n">
        <v>0</v>
      </c>
      <c r="L426" t="n">
        <v>0</v>
      </c>
      <c r="M426" t="n">
        <v>0</v>
      </c>
      <c r="N426" t="n">
        <v>0</v>
      </c>
      <c r="O426" t="n">
        <v>0</v>
      </c>
      <c r="P426" t="n">
        <v>0</v>
      </c>
      <c r="Q426" t="n">
        <v>0</v>
      </c>
      <c r="R426" s="2" t="inlineStr"/>
    </row>
    <row r="427" ht="15" customHeight="1">
      <c r="A427" t="inlineStr">
        <is>
          <t>A 51294-2021</t>
        </is>
      </c>
      <c r="B427" s="1" t="n">
        <v>44461.58863425926</v>
      </c>
      <c r="C427" s="1" t="n">
        <v>46103</v>
      </c>
      <c r="D427" t="inlineStr">
        <is>
          <t>KRONOBERGS LÄN</t>
        </is>
      </c>
      <c r="E427" t="inlineStr">
        <is>
          <t>TINGSRYD</t>
        </is>
      </c>
      <c r="G427" t="n">
        <v>2</v>
      </c>
      <c r="H427" t="n">
        <v>0</v>
      </c>
      <c r="I427" t="n">
        <v>0</v>
      </c>
      <c r="J427" t="n">
        <v>0</v>
      </c>
      <c r="K427" t="n">
        <v>0</v>
      </c>
      <c r="L427" t="n">
        <v>0</v>
      </c>
      <c r="M427" t="n">
        <v>0</v>
      </c>
      <c r="N427" t="n">
        <v>0</v>
      </c>
      <c r="O427" t="n">
        <v>0</v>
      </c>
      <c r="P427" t="n">
        <v>0</v>
      </c>
      <c r="Q427" t="n">
        <v>0</v>
      </c>
      <c r="R427" s="2" t="inlineStr"/>
    </row>
    <row r="428" ht="15" customHeight="1">
      <c r="A428" t="inlineStr">
        <is>
          <t>A 777-2022</t>
        </is>
      </c>
      <c r="B428" s="1" t="n">
        <v>44570.7678125</v>
      </c>
      <c r="C428" s="1" t="n">
        <v>46103</v>
      </c>
      <c r="D428" t="inlineStr">
        <is>
          <t>KRONOBERGS LÄN</t>
        </is>
      </c>
      <c r="E428" t="inlineStr">
        <is>
          <t>TINGSRYD</t>
        </is>
      </c>
      <c r="G428" t="n">
        <v>0.8</v>
      </c>
      <c r="H428" t="n">
        <v>0</v>
      </c>
      <c r="I428" t="n">
        <v>0</v>
      </c>
      <c r="J428" t="n">
        <v>0</v>
      </c>
      <c r="K428" t="n">
        <v>0</v>
      </c>
      <c r="L428" t="n">
        <v>0</v>
      </c>
      <c r="M428" t="n">
        <v>0</v>
      </c>
      <c r="N428" t="n">
        <v>0</v>
      </c>
      <c r="O428" t="n">
        <v>0</v>
      </c>
      <c r="P428" t="n">
        <v>0</v>
      </c>
      <c r="Q428" t="n">
        <v>0</v>
      </c>
      <c r="R428" s="2" t="inlineStr"/>
    </row>
    <row r="429" ht="15" customHeight="1">
      <c r="A429" t="inlineStr">
        <is>
          <t>A 52604-2021</t>
        </is>
      </c>
      <c r="B429" s="1" t="n">
        <v>44466.59662037037</v>
      </c>
      <c r="C429" s="1" t="n">
        <v>46103</v>
      </c>
      <c r="D429" t="inlineStr">
        <is>
          <t>KRONOBERGS LÄN</t>
        </is>
      </c>
      <c r="E429" t="inlineStr">
        <is>
          <t>VÄXJÖ</t>
        </is>
      </c>
      <c r="G429" t="n">
        <v>0.8</v>
      </c>
      <c r="H429" t="n">
        <v>0</v>
      </c>
      <c r="I429" t="n">
        <v>0</v>
      </c>
      <c r="J429" t="n">
        <v>0</v>
      </c>
      <c r="K429" t="n">
        <v>0</v>
      </c>
      <c r="L429" t="n">
        <v>0</v>
      </c>
      <c r="M429" t="n">
        <v>0</v>
      </c>
      <c r="N429" t="n">
        <v>0</v>
      </c>
      <c r="O429" t="n">
        <v>0</v>
      </c>
      <c r="P429" t="n">
        <v>0</v>
      </c>
      <c r="Q429" t="n">
        <v>0</v>
      </c>
      <c r="R429" s="2" t="inlineStr"/>
    </row>
    <row r="430" ht="15" customHeight="1">
      <c r="A430" t="inlineStr">
        <is>
          <t>A 37713-2021</t>
        </is>
      </c>
      <c r="B430" s="1" t="n">
        <v>44400</v>
      </c>
      <c r="C430" s="1" t="n">
        <v>46103</v>
      </c>
      <c r="D430" t="inlineStr">
        <is>
          <t>KRONOBERGS LÄN</t>
        </is>
      </c>
      <c r="E430" t="inlineStr">
        <is>
          <t>VÄXJÖ</t>
        </is>
      </c>
      <c r="G430" t="n">
        <v>3.8</v>
      </c>
      <c r="H430" t="n">
        <v>0</v>
      </c>
      <c r="I430" t="n">
        <v>0</v>
      </c>
      <c r="J430" t="n">
        <v>0</v>
      </c>
      <c r="K430" t="n">
        <v>0</v>
      </c>
      <c r="L430" t="n">
        <v>0</v>
      </c>
      <c r="M430" t="n">
        <v>0</v>
      </c>
      <c r="N430" t="n">
        <v>0</v>
      </c>
      <c r="O430" t="n">
        <v>0</v>
      </c>
      <c r="P430" t="n">
        <v>0</v>
      </c>
      <c r="Q430" t="n">
        <v>0</v>
      </c>
      <c r="R430" s="2" t="inlineStr"/>
    </row>
    <row r="431" ht="15" customHeight="1">
      <c r="A431" t="inlineStr">
        <is>
          <t>A 27883-2021</t>
        </is>
      </c>
      <c r="B431" s="1" t="n">
        <v>44354</v>
      </c>
      <c r="C431" s="1" t="n">
        <v>46103</v>
      </c>
      <c r="D431" t="inlineStr">
        <is>
          <t>KRONOBERGS LÄN</t>
        </is>
      </c>
      <c r="E431" t="inlineStr">
        <is>
          <t>VÄXJÖ</t>
        </is>
      </c>
      <c r="G431" t="n">
        <v>0.7</v>
      </c>
      <c r="H431" t="n">
        <v>0</v>
      </c>
      <c r="I431" t="n">
        <v>0</v>
      </c>
      <c r="J431" t="n">
        <v>0</v>
      </c>
      <c r="K431" t="n">
        <v>0</v>
      </c>
      <c r="L431" t="n">
        <v>0</v>
      </c>
      <c r="M431" t="n">
        <v>0</v>
      </c>
      <c r="N431" t="n">
        <v>0</v>
      </c>
      <c r="O431" t="n">
        <v>0</v>
      </c>
      <c r="P431" t="n">
        <v>0</v>
      </c>
      <c r="Q431" t="n">
        <v>0</v>
      </c>
      <c r="R431" s="2" t="inlineStr"/>
    </row>
    <row r="432" ht="15" customHeight="1">
      <c r="A432" t="inlineStr">
        <is>
          <t>A 59724-2021</t>
        </is>
      </c>
      <c r="B432" s="1" t="n">
        <v>44494.43064814815</v>
      </c>
      <c r="C432" s="1" t="n">
        <v>46103</v>
      </c>
      <c r="D432" t="inlineStr">
        <is>
          <t>KRONOBERGS LÄN</t>
        </is>
      </c>
      <c r="E432" t="inlineStr">
        <is>
          <t>TINGSRYD</t>
        </is>
      </c>
      <c r="G432" t="n">
        <v>0.7</v>
      </c>
      <c r="H432" t="n">
        <v>0</v>
      </c>
      <c r="I432" t="n">
        <v>0</v>
      </c>
      <c r="J432" t="n">
        <v>0</v>
      </c>
      <c r="K432" t="n">
        <v>0</v>
      </c>
      <c r="L432" t="n">
        <v>0</v>
      </c>
      <c r="M432" t="n">
        <v>0</v>
      </c>
      <c r="N432" t="n">
        <v>0</v>
      </c>
      <c r="O432" t="n">
        <v>0</v>
      </c>
      <c r="P432" t="n">
        <v>0</v>
      </c>
      <c r="Q432" t="n">
        <v>0</v>
      </c>
      <c r="R432" s="2" t="inlineStr"/>
    </row>
    <row r="433" ht="15" customHeight="1">
      <c r="A433" t="inlineStr">
        <is>
          <t>A 41611-2021</t>
        </is>
      </c>
      <c r="B433" s="1" t="n">
        <v>44425.44082175926</v>
      </c>
      <c r="C433" s="1" t="n">
        <v>46103</v>
      </c>
      <c r="D433" t="inlineStr">
        <is>
          <t>KRONOBERGS LÄN</t>
        </is>
      </c>
      <c r="E433" t="inlineStr">
        <is>
          <t>LESSEBO</t>
        </is>
      </c>
      <c r="F433" t="inlineStr">
        <is>
          <t>Sveaskog</t>
        </is>
      </c>
      <c r="G433" t="n">
        <v>1.7</v>
      </c>
      <c r="H433" t="n">
        <v>0</v>
      </c>
      <c r="I433" t="n">
        <v>0</v>
      </c>
      <c r="J433" t="n">
        <v>0</v>
      </c>
      <c r="K433" t="n">
        <v>0</v>
      </c>
      <c r="L433" t="n">
        <v>0</v>
      </c>
      <c r="M433" t="n">
        <v>0</v>
      </c>
      <c r="N433" t="n">
        <v>0</v>
      </c>
      <c r="O433" t="n">
        <v>0</v>
      </c>
      <c r="P433" t="n">
        <v>0</v>
      </c>
      <c r="Q433" t="n">
        <v>0</v>
      </c>
      <c r="R433" s="2" t="inlineStr"/>
    </row>
    <row r="434" ht="15" customHeight="1">
      <c r="A434" t="inlineStr">
        <is>
          <t>A 16290-2021</t>
        </is>
      </c>
      <c r="B434" s="1" t="n">
        <v>44292.65935185185</v>
      </c>
      <c r="C434" s="1" t="n">
        <v>46103</v>
      </c>
      <c r="D434" t="inlineStr">
        <is>
          <t>KRONOBERGS LÄN</t>
        </is>
      </c>
      <c r="E434" t="inlineStr">
        <is>
          <t>VÄXJÖ</t>
        </is>
      </c>
      <c r="G434" t="n">
        <v>1.1</v>
      </c>
      <c r="H434" t="n">
        <v>0</v>
      </c>
      <c r="I434" t="n">
        <v>0</v>
      </c>
      <c r="J434" t="n">
        <v>0</v>
      </c>
      <c r="K434" t="n">
        <v>0</v>
      </c>
      <c r="L434" t="n">
        <v>0</v>
      </c>
      <c r="M434" t="n">
        <v>0</v>
      </c>
      <c r="N434" t="n">
        <v>0</v>
      </c>
      <c r="O434" t="n">
        <v>0</v>
      </c>
      <c r="P434" t="n">
        <v>0</v>
      </c>
      <c r="Q434" t="n">
        <v>0</v>
      </c>
      <c r="R434" s="2" t="inlineStr"/>
    </row>
    <row r="435" ht="15" customHeight="1">
      <c r="A435" t="inlineStr">
        <is>
          <t>A 9089-2022</t>
        </is>
      </c>
      <c r="B435" s="1" t="n">
        <v>44615.49030092593</v>
      </c>
      <c r="C435" s="1" t="n">
        <v>46103</v>
      </c>
      <c r="D435" t="inlineStr">
        <is>
          <t>KRONOBERGS LÄN</t>
        </is>
      </c>
      <c r="E435" t="inlineStr">
        <is>
          <t>ALVESTA</t>
        </is>
      </c>
      <c r="F435" t="inlineStr">
        <is>
          <t>Kommuner</t>
        </is>
      </c>
      <c r="G435" t="n">
        <v>0.8</v>
      </c>
      <c r="H435" t="n">
        <v>0</v>
      </c>
      <c r="I435" t="n">
        <v>0</v>
      </c>
      <c r="J435" t="n">
        <v>0</v>
      </c>
      <c r="K435" t="n">
        <v>0</v>
      </c>
      <c r="L435" t="n">
        <v>0</v>
      </c>
      <c r="M435" t="n">
        <v>0</v>
      </c>
      <c r="N435" t="n">
        <v>0</v>
      </c>
      <c r="O435" t="n">
        <v>0</v>
      </c>
      <c r="P435" t="n">
        <v>0</v>
      </c>
      <c r="Q435" t="n">
        <v>0</v>
      </c>
      <c r="R435" s="2" t="inlineStr"/>
    </row>
    <row r="436" ht="15" customHeight="1">
      <c r="A436" t="inlineStr">
        <is>
          <t>A 1718-2022</t>
        </is>
      </c>
      <c r="B436" s="1" t="n">
        <v>44574.45553240741</v>
      </c>
      <c r="C436" s="1" t="n">
        <v>46103</v>
      </c>
      <c r="D436" t="inlineStr">
        <is>
          <t>KRONOBERGS LÄN</t>
        </is>
      </c>
      <c r="E436" t="inlineStr">
        <is>
          <t>UPPVIDINGE</t>
        </is>
      </c>
      <c r="G436" t="n">
        <v>0.3</v>
      </c>
      <c r="H436" t="n">
        <v>0</v>
      </c>
      <c r="I436" t="n">
        <v>0</v>
      </c>
      <c r="J436" t="n">
        <v>0</v>
      </c>
      <c r="K436" t="n">
        <v>0</v>
      </c>
      <c r="L436" t="n">
        <v>0</v>
      </c>
      <c r="M436" t="n">
        <v>0</v>
      </c>
      <c r="N436" t="n">
        <v>0</v>
      </c>
      <c r="O436" t="n">
        <v>0</v>
      </c>
      <c r="P436" t="n">
        <v>0</v>
      </c>
      <c r="Q436" t="n">
        <v>0</v>
      </c>
      <c r="R436" s="2" t="inlineStr"/>
    </row>
    <row r="437" ht="15" customHeight="1">
      <c r="A437" t="inlineStr">
        <is>
          <t>A 49921-2022</t>
        </is>
      </c>
      <c r="B437" s="1" t="n">
        <v>44865</v>
      </c>
      <c r="C437" s="1" t="n">
        <v>46103</v>
      </c>
      <c r="D437" t="inlineStr">
        <is>
          <t>KRONOBERGS LÄN</t>
        </is>
      </c>
      <c r="E437" t="inlineStr">
        <is>
          <t>LESSEBO</t>
        </is>
      </c>
      <c r="G437" t="n">
        <v>1.5</v>
      </c>
      <c r="H437" t="n">
        <v>0</v>
      </c>
      <c r="I437" t="n">
        <v>0</v>
      </c>
      <c r="J437" t="n">
        <v>0</v>
      </c>
      <c r="K437" t="n">
        <v>0</v>
      </c>
      <c r="L437" t="n">
        <v>0</v>
      </c>
      <c r="M437" t="n">
        <v>0</v>
      </c>
      <c r="N437" t="n">
        <v>0</v>
      </c>
      <c r="O437" t="n">
        <v>0</v>
      </c>
      <c r="P437" t="n">
        <v>0</v>
      </c>
      <c r="Q437" t="n">
        <v>0</v>
      </c>
      <c r="R437" s="2" t="inlineStr"/>
    </row>
    <row r="438" ht="15" customHeight="1">
      <c r="A438" t="inlineStr">
        <is>
          <t>A 12627-2022</t>
        </is>
      </c>
      <c r="B438" s="1" t="n">
        <v>44641.41877314815</v>
      </c>
      <c r="C438" s="1" t="n">
        <v>46103</v>
      </c>
      <c r="D438" t="inlineStr">
        <is>
          <t>KRONOBERGS LÄN</t>
        </is>
      </c>
      <c r="E438" t="inlineStr">
        <is>
          <t>TINGSRYD</t>
        </is>
      </c>
      <c r="G438" t="n">
        <v>1.4</v>
      </c>
      <c r="H438" t="n">
        <v>0</v>
      </c>
      <c r="I438" t="n">
        <v>0</v>
      </c>
      <c r="J438" t="n">
        <v>0</v>
      </c>
      <c r="K438" t="n">
        <v>0</v>
      </c>
      <c r="L438" t="n">
        <v>0</v>
      </c>
      <c r="M438" t="n">
        <v>0</v>
      </c>
      <c r="N438" t="n">
        <v>0</v>
      </c>
      <c r="O438" t="n">
        <v>0</v>
      </c>
      <c r="P438" t="n">
        <v>0</v>
      </c>
      <c r="Q438" t="n">
        <v>0</v>
      </c>
      <c r="R438" s="2" t="inlineStr"/>
    </row>
    <row r="439" ht="15" customHeight="1">
      <c r="A439" t="inlineStr">
        <is>
          <t>A 24226-2021</t>
        </is>
      </c>
      <c r="B439" s="1" t="n">
        <v>44336</v>
      </c>
      <c r="C439" s="1" t="n">
        <v>46103</v>
      </c>
      <c r="D439" t="inlineStr">
        <is>
          <t>KRONOBERGS LÄN</t>
        </is>
      </c>
      <c r="E439" t="inlineStr">
        <is>
          <t>VÄXJÖ</t>
        </is>
      </c>
      <c r="G439" t="n">
        <v>0.5</v>
      </c>
      <c r="H439" t="n">
        <v>0</v>
      </c>
      <c r="I439" t="n">
        <v>0</v>
      </c>
      <c r="J439" t="n">
        <v>0</v>
      </c>
      <c r="K439" t="n">
        <v>0</v>
      </c>
      <c r="L439" t="n">
        <v>0</v>
      </c>
      <c r="M439" t="n">
        <v>0</v>
      </c>
      <c r="N439" t="n">
        <v>0</v>
      </c>
      <c r="O439" t="n">
        <v>0</v>
      </c>
      <c r="P439" t="n">
        <v>0</v>
      </c>
      <c r="Q439" t="n">
        <v>0</v>
      </c>
      <c r="R439" s="2" t="inlineStr"/>
    </row>
    <row r="440" ht="15" customHeight="1">
      <c r="A440" t="inlineStr">
        <is>
          <t>A 60870-2021</t>
        </is>
      </c>
      <c r="B440" s="1" t="n">
        <v>44497</v>
      </c>
      <c r="C440" s="1" t="n">
        <v>46103</v>
      </c>
      <c r="D440" t="inlineStr">
        <is>
          <t>KRONOBERGS LÄN</t>
        </is>
      </c>
      <c r="E440" t="inlineStr">
        <is>
          <t>ALVESTA</t>
        </is>
      </c>
      <c r="G440" t="n">
        <v>2.2</v>
      </c>
      <c r="H440" t="n">
        <v>0</v>
      </c>
      <c r="I440" t="n">
        <v>0</v>
      </c>
      <c r="J440" t="n">
        <v>0</v>
      </c>
      <c r="K440" t="n">
        <v>0</v>
      </c>
      <c r="L440" t="n">
        <v>0</v>
      </c>
      <c r="M440" t="n">
        <v>0</v>
      </c>
      <c r="N440" t="n">
        <v>0</v>
      </c>
      <c r="O440" t="n">
        <v>0</v>
      </c>
      <c r="P440" t="n">
        <v>0</v>
      </c>
      <c r="Q440" t="n">
        <v>0</v>
      </c>
      <c r="R440" s="2" t="inlineStr"/>
    </row>
    <row r="441" ht="15" customHeight="1">
      <c r="A441" t="inlineStr">
        <is>
          <t>A 19342-2022</t>
        </is>
      </c>
      <c r="B441" s="1" t="n">
        <v>44692.6459375</v>
      </c>
      <c r="C441" s="1" t="n">
        <v>46103</v>
      </c>
      <c r="D441" t="inlineStr">
        <is>
          <t>KRONOBERGS LÄN</t>
        </is>
      </c>
      <c r="E441" t="inlineStr">
        <is>
          <t>TINGSRYD</t>
        </is>
      </c>
      <c r="G441" t="n">
        <v>1.3</v>
      </c>
      <c r="H441" t="n">
        <v>0</v>
      </c>
      <c r="I441" t="n">
        <v>0</v>
      </c>
      <c r="J441" t="n">
        <v>0</v>
      </c>
      <c r="K441" t="n">
        <v>0</v>
      </c>
      <c r="L441" t="n">
        <v>0</v>
      </c>
      <c r="M441" t="n">
        <v>0</v>
      </c>
      <c r="N441" t="n">
        <v>0</v>
      </c>
      <c r="O441" t="n">
        <v>0</v>
      </c>
      <c r="P441" t="n">
        <v>0</v>
      </c>
      <c r="Q441" t="n">
        <v>0</v>
      </c>
      <c r="R441" s="2" t="inlineStr"/>
    </row>
    <row r="442" ht="15" customHeight="1">
      <c r="A442" t="inlineStr">
        <is>
          <t>A 52739-2021</t>
        </is>
      </c>
      <c r="B442" s="1" t="n">
        <v>44467.30258101852</v>
      </c>
      <c r="C442" s="1" t="n">
        <v>46103</v>
      </c>
      <c r="D442" t="inlineStr">
        <is>
          <t>KRONOBERGS LÄN</t>
        </is>
      </c>
      <c r="E442" t="inlineStr">
        <is>
          <t>MARKARYD</t>
        </is>
      </c>
      <c r="G442" t="n">
        <v>0.6</v>
      </c>
      <c r="H442" t="n">
        <v>0</v>
      </c>
      <c r="I442" t="n">
        <v>0</v>
      </c>
      <c r="J442" t="n">
        <v>0</v>
      </c>
      <c r="K442" t="n">
        <v>0</v>
      </c>
      <c r="L442" t="n">
        <v>0</v>
      </c>
      <c r="M442" t="n">
        <v>0</v>
      </c>
      <c r="N442" t="n">
        <v>0</v>
      </c>
      <c r="O442" t="n">
        <v>0</v>
      </c>
      <c r="P442" t="n">
        <v>0</v>
      </c>
      <c r="Q442" t="n">
        <v>0</v>
      </c>
      <c r="R442" s="2" t="inlineStr"/>
    </row>
    <row r="443" ht="15" customHeight="1">
      <c r="A443" t="inlineStr">
        <is>
          <t>A 35383-2021</t>
        </is>
      </c>
      <c r="B443" s="1" t="n">
        <v>44385.32215277778</v>
      </c>
      <c r="C443" s="1" t="n">
        <v>46103</v>
      </c>
      <c r="D443" t="inlineStr">
        <is>
          <t>KRONOBERGS LÄN</t>
        </is>
      </c>
      <c r="E443" t="inlineStr">
        <is>
          <t>ÄLMHULT</t>
        </is>
      </c>
      <c r="G443" t="n">
        <v>1.9</v>
      </c>
      <c r="H443" t="n">
        <v>0</v>
      </c>
      <c r="I443" t="n">
        <v>0</v>
      </c>
      <c r="J443" t="n">
        <v>0</v>
      </c>
      <c r="K443" t="n">
        <v>0</v>
      </c>
      <c r="L443" t="n">
        <v>0</v>
      </c>
      <c r="M443" t="n">
        <v>0</v>
      </c>
      <c r="N443" t="n">
        <v>0</v>
      </c>
      <c r="O443" t="n">
        <v>0</v>
      </c>
      <c r="P443" t="n">
        <v>0</v>
      </c>
      <c r="Q443" t="n">
        <v>0</v>
      </c>
      <c r="R443" s="2" t="inlineStr"/>
    </row>
    <row r="444" ht="15" customHeight="1">
      <c r="A444" t="inlineStr">
        <is>
          <t>A 21524-2021</t>
        </is>
      </c>
      <c r="B444" s="1" t="n">
        <v>44321</v>
      </c>
      <c r="C444" s="1" t="n">
        <v>46103</v>
      </c>
      <c r="D444" t="inlineStr">
        <is>
          <t>KRONOBERGS LÄN</t>
        </is>
      </c>
      <c r="E444" t="inlineStr">
        <is>
          <t>ÄLMHULT</t>
        </is>
      </c>
      <c r="G444" t="n">
        <v>0.6</v>
      </c>
      <c r="H444" t="n">
        <v>0</v>
      </c>
      <c r="I444" t="n">
        <v>0</v>
      </c>
      <c r="J444" t="n">
        <v>0</v>
      </c>
      <c r="K444" t="n">
        <v>0</v>
      </c>
      <c r="L444" t="n">
        <v>0</v>
      </c>
      <c r="M444" t="n">
        <v>0</v>
      </c>
      <c r="N444" t="n">
        <v>0</v>
      </c>
      <c r="O444" t="n">
        <v>0</v>
      </c>
      <c r="P444" t="n">
        <v>0</v>
      </c>
      <c r="Q444" t="n">
        <v>0</v>
      </c>
      <c r="R444" s="2" t="inlineStr"/>
    </row>
    <row r="445" ht="15" customHeight="1">
      <c r="A445" t="inlineStr">
        <is>
          <t>A 14209-2021</t>
        </is>
      </c>
      <c r="B445" s="1" t="n">
        <v>44278</v>
      </c>
      <c r="C445" s="1" t="n">
        <v>46103</v>
      </c>
      <c r="D445" t="inlineStr">
        <is>
          <t>KRONOBERGS LÄN</t>
        </is>
      </c>
      <c r="E445" t="inlineStr">
        <is>
          <t>UPPVIDINGE</t>
        </is>
      </c>
      <c r="G445" t="n">
        <v>0.2</v>
      </c>
      <c r="H445" t="n">
        <v>0</v>
      </c>
      <c r="I445" t="n">
        <v>0</v>
      </c>
      <c r="J445" t="n">
        <v>0</v>
      </c>
      <c r="K445" t="n">
        <v>0</v>
      </c>
      <c r="L445" t="n">
        <v>0</v>
      </c>
      <c r="M445" t="n">
        <v>0</v>
      </c>
      <c r="N445" t="n">
        <v>0</v>
      </c>
      <c r="O445" t="n">
        <v>0</v>
      </c>
      <c r="P445" t="n">
        <v>0</v>
      </c>
      <c r="Q445" t="n">
        <v>0</v>
      </c>
      <c r="R445" s="2" t="inlineStr"/>
    </row>
    <row r="446" ht="15" customHeight="1">
      <c r="A446" t="inlineStr">
        <is>
          <t>A 18832-2022</t>
        </is>
      </c>
      <c r="B446" s="1" t="n">
        <v>44690</v>
      </c>
      <c r="C446" s="1" t="n">
        <v>46103</v>
      </c>
      <c r="D446" t="inlineStr">
        <is>
          <t>KRONOBERGS LÄN</t>
        </is>
      </c>
      <c r="E446" t="inlineStr">
        <is>
          <t>TINGSRYD</t>
        </is>
      </c>
      <c r="G446" t="n">
        <v>0.6</v>
      </c>
      <c r="H446" t="n">
        <v>0</v>
      </c>
      <c r="I446" t="n">
        <v>0</v>
      </c>
      <c r="J446" t="n">
        <v>0</v>
      </c>
      <c r="K446" t="n">
        <v>0</v>
      </c>
      <c r="L446" t="n">
        <v>0</v>
      </c>
      <c r="M446" t="n">
        <v>0</v>
      </c>
      <c r="N446" t="n">
        <v>0</v>
      </c>
      <c r="O446" t="n">
        <v>0</v>
      </c>
      <c r="P446" t="n">
        <v>0</v>
      </c>
      <c r="Q446" t="n">
        <v>0</v>
      </c>
      <c r="R446" s="2" t="inlineStr"/>
    </row>
    <row r="447" ht="15" customHeight="1">
      <c r="A447" t="inlineStr">
        <is>
          <t>A 47856-2021</t>
        </is>
      </c>
      <c r="B447" s="1" t="n">
        <v>44448</v>
      </c>
      <c r="C447" s="1" t="n">
        <v>46103</v>
      </c>
      <c r="D447" t="inlineStr">
        <is>
          <t>KRONOBERGS LÄN</t>
        </is>
      </c>
      <c r="E447" t="inlineStr">
        <is>
          <t>ÄLMHULT</t>
        </is>
      </c>
      <c r="G447" t="n">
        <v>1.7</v>
      </c>
      <c r="H447" t="n">
        <v>0</v>
      </c>
      <c r="I447" t="n">
        <v>0</v>
      </c>
      <c r="J447" t="n">
        <v>0</v>
      </c>
      <c r="K447" t="n">
        <v>0</v>
      </c>
      <c r="L447" t="n">
        <v>0</v>
      </c>
      <c r="M447" t="n">
        <v>0</v>
      </c>
      <c r="N447" t="n">
        <v>0</v>
      </c>
      <c r="O447" t="n">
        <v>0</v>
      </c>
      <c r="P447" t="n">
        <v>0</v>
      </c>
      <c r="Q447" t="n">
        <v>0</v>
      </c>
      <c r="R447" s="2" t="inlineStr"/>
    </row>
    <row r="448" ht="15" customHeight="1">
      <c r="A448" t="inlineStr">
        <is>
          <t>A 27336-2021</t>
        </is>
      </c>
      <c r="B448" s="1" t="n">
        <v>44351.39648148148</v>
      </c>
      <c r="C448" s="1" t="n">
        <v>46103</v>
      </c>
      <c r="D448" t="inlineStr">
        <is>
          <t>KRONOBERGS LÄN</t>
        </is>
      </c>
      <c r="E448" t="inlineStr">
        <is>
          <t>ALVESTA</t>
        </is>
      </c>
      <c r="G448" t="n">
        <v>13</v>
      </c>
      <c r="H448" t="n">
        <v>0</v>
      </c>
      <c r="I448" t="n">
        <v>0</v>
      </c>
      <c r="J448" t="n">
        <v>0</v>
      </c>
      <c r="K448" t="n">
        <v>0</v>
      </c>
      <c r="L448" t="n">
        <v>0</v>
      </c>
      <c r="M448" t="n">
        <v>0</v>
      </c>
      <c r="N448" t="n">
        <v>0</v>
      </c>
      <c r="O448" t="n">
        <v>0</v>
      </c>
      <c r="P448" t="n">
        <v>0</v>
      </c>
      <c r="Q448" t="n">
        <v>0</v>
      </c>
      <c r="R448" s="2" t="inlineStr"/>
    </row>
    <row r="449" ht="15" customHeight="1">
      <c r="A449" t="inlineStr">
        <is>
          <t>A 45754-2021</t>
        </is>
      </c>
      <c r="B449" s="1" t="n">
        <v>44441</v>
      </c>
      <c r="C449" s="1" t="n">
        <v>46103</v>
      </c>
      <c r="D449" t="inlineStr">
        <is>
          <t>KRONOBERGS LÄN</t>
        </is>
      </c>
      <c r="E449" t="inlineStr">
        <is>
          <t>ALVESTA</t>
        </is>
      </c>
      <c r="G449" t="n">
        <v>5.2</v>
      </c>
      <c r="H449" t="n">
        <v>0</v>
      </c>
      <c r="I449" t="n">
        <v>0</v>
      </c>
      <c r="J449" t="n">
        <v>0</v>
      </c>
      <c r="K449" t="n">
        <v>0</v>
      </c>
      <c r="L449" t="n">
        <v>0</v>
      </c>
      <c r="M449" t="n">
        <v>0</v>
      </c>
      <c r="N449" t="n">
        <v>0</v>
      </c>
      <c r="O449" t="n">
        <v>0</v>
      </c>
      <c r="P449" t="n">
        <v>0</v>
      </c>
      <c r="Q449" t="n">
        <v>0</v>
      </c>
      <c r="R449" s="2" t="inlineStr"/>
    </row>
    <row r="450" ht="15" customHeight="1">
      <c r="A450" t="inlineStr">
        <is>
          <t>A 56121-2021</t>
        </is>
      </c>
      <c r="B450" s="1" t="n">
        <v>44477.59568287037</v>
      </c>
      <c r="C450" s="1" t="n">
        <v>46103</v>
      </c>
      <c r="D450" t="inlineStr">
        <is>
          <t>KRONOBERGS LÄN</t>
        </is>
      </c>
      <c r="E450" t="inlineStr">
        <is>
          <t>ALVESTA</t>
        </is>
      </c>
      <c r="G450" t="n">
        <v>1</v>
      </c>
      <c r="H450" t="n">
        <v>0</v>
      </c>
      <c r="I450" t="n">
        <v>0</v>
      </c>
      <c r="J450" t="n">
        <v>0</v>
      </c>
      <c r="K450" t="n">
        <v>0</v>
      </c>
      <c r="L450" t="n">
        <v>0</v>
      </c>
      <c r="M450" t="n">
        <v>0</v>
      </c>
      <c r="N450" t="n">
        <v>0</v>
      </c>
      <c r="O450" t="n">
        <v>0</v>
      </c>
      <c r="P450" t="n">
        <v>0</v>
      </c>
      <c r="Q450" t="n">
        <v>0</v>
      </c>
      <c r="R450" s="2" t="inlineStr"/>
    </row>
    <row r="451" ht="15" customHeight="1">
      <c r="A451" t="inlineStr">
        <is>
          <t>A 54233-2021</t>
        </is>
      </c>
      <c r="B451" s="1" t="n">
        <v>44470.63061342593</v>
      </c>
      <c r="C451" s="1" t="n">
        <v>46103</v>
      </c>
      <c r="D451" t="inlineStr">
        <is>
          <t>KRONOBERGS LÄN</t>
        </is>
      </c>
      <c r="E451" t="inlineStr">
        <is>
          <t>TINGSRYD</t>
        </is>
      </c>
      <c r="G451" t="n">
        <v>0.5</v>
      </c>
      <c r="H451" t="n">
        <v>0</v>
      </c>
      <c r="I451" t="n">
        <v>0</v>
      </c>
      <c r="J451" t="n">
        <v>0</v>
      </c>
      <c r="K451" t="n">
        <v>0</v>
      </c>
      <c r="L451" t="n">
        <v>0</v>
      </c>
      <c r="M451" t="n">
        <v>0</v>
      </c>
      <c r="N451" t="n">
        <v>0</v>
      </c>
      <c r="O451" t="n">
        <v>0</v>
      </c>
      <c r="P451" t="n">
        <v>0</v>
      </c>
      <c r="Q451" t="n">
        <v>0</v>
      </c>
      <c r="R451" s="2" t="inlineStr"/>
    </row>
    <row r="452" ht="15" customHeight="1">
      <c r="A452" t="inlineStr">
        <is>
          <t>A 12014-2022</t>
        </is>
      </c>
      <c r="B452" s="1" t="n">
        <v>44635.93181712963</v>
      </c>
      <c r="C452" s="1" t="n">
        <v>46103</v>
      </c>
      <c r="D452" t="inlineStr">
        <is>
          <t>KRONOBERGS LÄN</t>
        </is>
      </c>
      <c r="E452" t="inlineStr">
        <is>
          <t>LJUNGBY</t>
        </is>
      </c>
      <c r="G452" t="n">
        <v>0.4</v>
      </c>
      <c r="H452" t="n">
        <v>0</v>
      </c>
      <c r="I452" t="n">
        <v>0</v>
      </c>
      <c r="J452" t="n">
        <v>0</v>
      </c>
      <c r="K452" t="n">
        <v>0</v>
      </c>
      <c r="L452" t="n">
        <v>0</v>
      </c>
      <c r="M452" t="n">
        <v>0</v>
      </c>
      <c r="N452" t="n">
        <v>0</v>
      </c>
      <c r="O452" t="n">
        <v>0</v>
      </c>
      <c r="P452" t="n">
        <v>0</v>
      </c>
      <c r="Q452" t="n">
        <v>0</v>
      </c>
      <c r="R452" s="2" t="inlineStr"/>
    </row>
    <row r="453" ht="15" customHeight="1">
      <c r="A453" t="inlineStr">
        <is>
          <t>A 62624-2021</t>
        </is>
      </c>
      <c r="B453" s="1" t="n">
        <v>44503.73802083333</v>
      </c>
      <c r="C453" s="1" t="n">
        <v>46103</v>
      </c>
      <c r="D453" t="inlineStr">
        <is>
          <t>KRONOBERGS LÄN</t>
        </is>
      </c>
      <c r="E453" t="inlineStr">
        <is>
          <t>LJUNGBY</t>
        </is>
      </c>
      <c r="G453" t="n">
        <v>0.5</v>
      </c>
      <c r="H453" t="n">
        <v>0</v>
      </c>
      <c r="I453" t="n">
        <v>0</v>
      </c>
      <c r="J453" t="n">
        <v>0</v>
      </c>
      <c r="K453" t="n">
        <v>0</v>
      </c>
      <c r="L453" t="n">
        <v>0</v>
      </c>
      <c r="M453" t="n">
        <v>0</v>
      </c>
      <c r="N453" t="n">
        <v>0</v>
      </c>
      <c r="O453" t="n">
        <v>0</v>
      </c>
      <c r="P453" t="n">
        <v>0</v>
      </c>
      <c r="Q453" t="n">
        <v>0</v>
      </c>
      <c r="R453" s="2" t="inlineStr"/>
    </row>
    <row r="454" ht="15" customHeight="1">
      <c r="A454" t="inlineStr">
        <is>
          <t>A 23510-2022</t>
        </is>
      </c>
      <c r="B454" s="1" t="n">
        <v>44721</v>
      </c>
      <c r="C454" s="1" t="n">
        <v>46103</v>
      </c>
      <c r="D454" t="inlineStr">
        <is>
          <t>KRONOBERGS LÄN</t>
        </is>
      </c>
      <c r="E454" t="inlineStr">
        <is>
          <t>VÄXJÖ</t>
        </is>
      </c>
      <c r="G454" t="n">
        <v>1.1</v>
      </c>
      <c r="H454" t="n">
        <v>0</v>
      </c>
      <c r="I454" t="n">
        <v>0</v>
      </c>
      <c r="J454" t="n">
        <v>0</v>
      </c>
      <c r="K454" t="n">
        <v>0</v>
      </c>
      <c r="L454" t="n">
        <v>0</v>
      </c>
      <c r="M454" t="n">
        <v>0</v>
      </c>
      <c r="N454" t="n">
        <v>0</v>
      </c>
      <c r="O454" t="n">
        <v>0</v>
      </c>
      <c r="P454" t="n">
        <v>0</v>
      </c>
      <c r="Q454" t="n">
        <v>0</v>
      </c>
      <c r="R454" s="2" t="inlineStr"/>
    </row>
    <row r="455" ht="15" customHeight="1">
      <c r="A455" t="inlineStr">
        <is>
          <t>A 64233-2021</t>
        </is>
      </c>
      <c r="B455" s="1" t="n">
        <v>44510.63989583333</v>
      </c>
      <c r="C455" s="1" t="n">
        <v>46103</v>
      </c>
      <c r="D455" t="inlineStr">
        <is>
          <t>KRONOBERGS LÄN</t>
        </is>
      </c>
      <c r="E455" t="inlineStr">
        <is>
          <t>LJUNGBY</t>
        </is>
      </c>
      <c r="G455" t="n">
        <v>0.6</v>
      </c>
      <c r="H455" t="n">
        <v>0</v>
      </c>
      <c r="I455" t="n">
        <v>0</v>
      </c>
      <c r="J455" t="n">
        <v>0</v>
      </c>
      <c r="K455" t="n">
        <v>0</v>
      </c>
      <c r="L455" t="n">
        <v>0</v>
      </c>
      <c r="M455" t="n">
        <v>0</v>
      </c>
      <c r="N455" t="n">
        <v>0</v>
      </c>
      <c r="O455" t="n">
        <v>0</v>
      </c>
      <c r="P455" t="n">
        <v>0</v>
      </c>
      <c r="Q455" t="n">
        <v>0</v>
      </c>
      <c r="R455" s="2" t="inlineStr"/>
    </row>
    <row r="456" ht="15" customHeight="1">
      <c r="A456" t="inlineStr">
        <is>
          <t>A 16968-2022</t>
        </is>
      </c>
      <c r="B456" s="1" t="n">
        <v>44676.551875</v>
      </c>
      <c r="C456" s="1" t="n">
        <v>46103</v>
      </c>
      <c r="D456" t="inlineStr">
        <is>
          <t>KRONOBERGS LÄN</t>
        </is>
      </c>
      <c r="E456" t="inlineStr">
        <is>
          <t>UPPVIDINGE</t>
        </is>
      </c>
      <c r="G456" t="n">
        <v>1.5</v>
      </c>
      <c r="H456" t="n">
        <v>0</v>
      </c>
      <c r="I456" t="n">
        <v>0</v>
      </c>
      <c r="J456" t="n">
        <v>0</v>
      </c>
      <c r="K456" t="n">
        <v>0</v>
      </c>
      <c r="L456" t="n">
        <v>0</v>
      </c>
      <c r="M456" t="n">
        <v>0</v>
      </c>
      <c r="N456" t="n">
        <v>0</v>
      </c>
      <c r="O456" t="n">
        <v>0</v>
      </c>
      <c r="P456" t="n">
        <v>0</v>
      </c>
      <c r="Q456" t="n">
        <v>0</v>
      </c>
      <c r="R456" s="2" t="inlineStr"/>
    </row>
    <row r="457" ht="15" customHeight="1">
      <c r="A457" t="inlineStr">
        <is>
          <t>A 5472-2022</t>
        </is>
      </c>
      <c r="B457" s="1" t="n">
        <v>44595.47152777778</v>
      </c>
      <c r="C457" s="1" t="n">
        <v>46103</v>
      </c>
      <c r="D457" t="inlineStr">
        <is>
          <t>KRONOBERGS LÄN</t>
        </is>
      </c>
      <c r="E457" t="inlineStr">
        <is>
          <t>MARKARYD</t>
        </is>
      </c>
      <c r="G457" t="n">
        <v>0.5</v>
      </c>
      <c r="H457" t="n">
        <v>0</v>
      </c>
      <c r="I457" t="n">
        <v>0</v>
      </c>
      <c r="J457" t="n">
        <v>0</v>
      </c>
      <c r="K457" t="n">
        <v>0</v>
      </c>
      <c r="L457" t="n">
        <v>0</v>
      </c>
      <c r="M457" t="n">
        <v>0</v>
      </c>
      <c r="N457" t="n">
        <v>0</v>
      </c>
      <c r="O457" t="n">
        <v>0</v>
      </c>
      <c r="P457" t="n">
        <v>0</v>
      </c>
      <c r="Q457" t="n">
        <v>0</v>
      </c>
      <c r="R457" s="2" t="inlineStr"/>
    </row>
    <row r="458" ht="15" customHeight="1">
      <c r="A458" t="inlineStr">
        <is>
          <t>A 19096-2022</t>
        </is>
      </c>
      <c r="B458" s="1" t="n">
        <v>44691</v>
      </c>
      <c r="C458" s="1" t="n">
        <v>46103</v>
      </c>
      <c r="D458" t="inlineStr">
        <is>
          <t>KRONOBERGS LÄN</t>
        </is>
      </c>
      <c r="E458" t="inlineStr">
        <is>
          <t>VÄXJÖ</t>
        </is>
      </c>
      <c r="G458" t="n">
        <v>3.6</v>
      </c>
      <c r="H458" t="n">
        <v>0</v>
      </c>
      <c r="I458" t="n">
        <v>0</v>
      </c>
      <c r="J458" t="n">
        <v>0</v>
      </c>
      <c r="K458" t="n">
        <v>0</v>
      </c>
      <c r="L458" t="n">
        <v>0</v>
      </c>
      <c r="M458" t="n">
        <v>0</v>
      </c>
      <c r="N458" t="n">
        <v>0</v>
      </c>
      <c r="O458" t="n">
        <v>0</v>
      </c>
      <c r="P458" t="n">
        <v>0</v>
      </c>
      <c r="Q458" t="n">
        <v>0</v>
      </c>
      <c r="R458" s="2" t="inlineStr"/>
    </row>
    <row r="459" ht="15" customHeight="1">
      <c r="A459" t="inlineStr">
        <is>
          <t>A 49748-2022</t>
        </is>
      </c>
      <c r="B459" s="1" t="n">
        <v>44859</v>
      </c>
      <c r="C459" s="1" t="n">
        <v>46103</v>
      </c>
      <c r="D459" t="inlineStr">
        <is>
          <t>KRONOBERGS LÄN</t>
        </is>
      </c>
      <c r="E459" t="inlineStr">
        <is>
          <t>UPPVIDINGE</t>
        </is>
      </c>
      <c r="G459" t="n">
        <v>0.6</v>
      </c>
      <c r="H459" t="n">
        <v>0</v>
      </c>
      <c r="I459" t="n">
        <v>0</v>
      </c>
      <c r="J459" t="n">
        <v>0</v>
      </c>
      <c r="K459" t="n">
        <v>0</v>
      </c>
      <c r="L459" t="n">
        <v>0</v>
      </c>
      <c r="M459" t="n">
        <v>0</v>
      </c>
      <c r="N459" t="n">
        <v>0</v>
      </c>
      <c r="O459" t="n">
        <v>0</v>
      </c>
      <c r="P459" t="n">
        <v>0</v>
      </c>
      <c r="Q459" t="n">
        <v>0</v>
      </c>
      <c r="R459" s="2" t="inlineStr"/>
    </row>
    <row r="460" ht="15" customHeight="1">
      <c r="A460" t="inlineStr">
        <is>
          <t>A 49715-2022</t>
        </is>
      </c>
      <c r="B460" s="1" t="n">
        <v>44859</v>
      </c>
      <c r="C460" s="1" t="n">
        <v>46103</v>
      </c>
      <c r="D460" t="inlineStr">
        <is>
          <t>KRONOBERGS LÄN</t>
        </is>
      </c>
      <c r="E460" t="inlineStr">
        <is>
          <t>UPPVIDINGE</t>
        </is>
      </c>
      <c r="G460" t="n">
        <v>0.7</v>
      </c>
      <c r="H460" t="n">
        <v>0</v>
      </c>
      <c r="I460" t="n">
        <v>0</v>
      </c>
      <c r="J460" t="n">
        <v>0</v>
      </c>
      <c r="K460" t="n">
        <v>0</v>
      </c>
      <c r="L460" t="n">
        <v>0</v>
      </c>
      <c r="M460" t="n">
        <v>0</v>
      </c>
      <c r="N460" t="n">
        <v>0</v>
      </c>
      <c r="O460" t="n">
        <v>0</v>
      </c>
      <c r="P460" t="n">
        <v>0</v>
      </c>
      <c r="Q460" t="n">
        <v>0</v>
      </c>
      <c r="R460" s="2" t="inlineStr"/>
    </row>
    <row r="461" ht="15" customHeight="1">
      <c r="A461" t="inlineStr">
        <is>
          <t>A 49744-2022</t>
        </is>
      </c>
      <c r="B461" s="1" t="n">
        <v>44859</v>
      </c>
      <c r="C461" s="1" t="n">
        <v>46103</v>
      </c>
      <c r="D461" t="inlineStr">
        <is>
          <t>KRONOBERGS LÄN</t>
        </is>
      </c>
      <c r="E461" t="inlineStr">
        <is>
          <t>UPPVIDINGE</t>
        </is>
      </c>
      <c r="G461" t="n">
        <v>2.8</v>
      </c>
      <c r="H461" t="n">
        <v>0</v>
      </c>
      <c r="I461" t="n">
        <v>0</v>
      </c>
      <c r="J461" t="n">
        <v>0</v>
      </c>
      <c r="K461" t="n">
        <v>0</v>
      </c>
      <c r="L461" t="n">
        <v>0</v>
      </c>
      <c r="M461" t="n">
        <v>0</v>
      </c>
      <c r="N461" t="n">
        <v>0</v>
      </c>
      <c r="O461" t="n">
        <v>0</v>
      </c>
      <c r="P461" t="n">
        <v>0</v>
      </c>
      <c r="Q461" t="n">
        <v>0</v>
      </c>
      <c r="R461" s="2" t="inlineStr"/>
    </row>
    <row r="462" ht="15" customHeight="1">
      <c r="A462" t="inlineStr">
        <is>
          <t>A 8366-2022</t>
        </is>
      </c>
      <c r="B462" s="1" t="n">
        <v>44610.61052083333</v>
      </c>
      <c r="C462" s="1" t="n">
        <v>46103</v>
      </c>
      <c r="D462" t="inlineStr">
        <is>
          <t>KRONOBERGS LÄN</t>
        </is>
      </c>
      <c r="E462" t="inlineStr">
        <is>
          <t>TINGSRYD</t>
        </is>
      </c>
      <c r="G462" t="n">
        <v>1.3</v>
      </c>
      <c r="H462" t="n">
        <v>0</v>
      </c>
      <c r="I462" t="n">
        <v>0</v>
      </c>
      <c r="J462" t="n">
        <v>0</v>
      </c>
      <c r="K462" t="n">
        <v>0</v>
      </c>
      <c r="L462" t="n">
        <v>0</v>
      </c>
      <c r="M462" t="n">
        <v>0</v>
      </c>
      <c r="N462" t="n">
        <v>0</v>
      </c>
      <c r="O462" t="n">
        <v>0</v>
      </c>
      <c r="P462" t="n">
        <v>0</v>
      </c>
      <c r="Q462" t="n">
        <v>0</v>
      </c>
      <c r="R462" s="2" t="inlineStr"/>
    </row>
    <row r="463" ht="15" customHeight="1">
      <c r="A463" t="inlineStr">
        <is>
          <t>A 49963-2022</t>
        </is>
      </c>
      <c r="B463" s="1" t="n">
        <v>44865</v>
      </c>
      <c r="C463" s="1" t="n">
        <v>46103</v>
      </c>
      <c r="D463" t="inlineStr">
        <is>
          <t>KRONOBERGS LÄN</t>
        </is>
      </c>
      <c r="E463" t="inlineStr">
        <is>
          <t>TINGSRYD</t>
        </is>
      </c>
      <c r="G463" t="n">
        <v>2.1</v>
      </c>
      <c r="H463" t="n">
        <v>0</v>
      </c>
      <c r="I463" t="n">
        <v>0</v>
      </c>
      <c r="J463" t="n">
        <v>0</v>
      </c>
      <c r="K463" t="n">
        <v>0</v>
      </c>
      <c r="L463" t="n">
        <v>0</v>
      </c>
      <c r="M463" t="n">
        <v>0</v>
      </c>
      <c r="N463" t="n">
        <v>0</v>
      </c>
      <c r="O463" t="n">
        <v>0</v>
      </c>
      <c r="P463" t="n">
        <v>0</v>
      </c>
      <c r="Q463" t="n">
        <v>0</v>
      </c>
      <c r="R463" s="2" t="inlineStr"/>
    </row>
    <row r="464" ht="15" customHeight="1">
      <c r="A464" t="inlineStr">
        <is>
          <t>A 62403-2021</t>
        </is>
      </c>
      <c r="B464" s="1" t="n">
        <v>44503.48087962963</v>
      </c>
      <c r="C464" s="1" t="n">
        <v>46103</v>
      </c>
      <c r="D464" t="inlineStr">
        <is>
          <t>KRONOBERGS LÄN</t>
        </is>
      </c>
      <c r="E464" t="inlineStr">
        <is>
          <t>ÄLMHULT</t>
        </is>
      </c>
      <c r="G464" t="n">
        <v>0.4</v>
      </c>
      <c r="H464" t="n">
        <v>0</v>
      </c>
      <c r="I464" t="n">
        <v>0</v>
      </c>
      <c r="J464" t="n">
        <v>0</v>
      </c>
      <c r="K464" t="n">
        <v>0</v>
      </c>
      <c r="L464" t="n">
        <v>0</v>
      </c>
      <c r="M464" t="n">
        <v>0</v>
      </c>
      <c r="N464" t="n">
        <v>0</v>
      </c>
      <c r="O464" t="n">
        <v>0</v>
      </c>
      <c r="P464" t="n">
        <v>0</v>
      </c>
      <c r="Q464" t="n">
        <v>0</v>
      </c>
      <c r="R464" s="2" t="inlineStr"/>
    </row>
    <row r="465" ht="15" customHeight="1">
      <c r="A465" t="inlineStr">
        <is>
          <t>A 14384-2021</t>
        </is>
      </c>
      <c r="B465" s="1" t="n">
        <v>44279.38944444444</v>
      </c>
      <c r="C465" s="1" t="n">
        <v>46103</v>
      </c>
      <c r="D465" t="inlineStr">
        <is>
          <t>KRONOBERGS LÄN</t>
        </is>
      </c>
      <c r="E465" t="inlineStr">
        <is>
          <t>ÄLMHULT</t>
        </is>
      </c>
      <c r="G465" t="n">
        <v>0.9</v>
      </c>
      <c r="H465" t="n">
        <v>0</v>
      </c>
      <c r="I465" t="n">
        <v>0</v>
      </c>
      <c r="J465" t="n">
        <v>0</v>
      </c>
      <c r="K465" t="n">
        <v>0</v>
      </c>
      <c r="L465" t="n">
        <v>0</v>
      </c>
      <c r="M465" t="n">
        <v>0</v>
      </c>
      <c r="N465" t="n">
        <v>0</v>
      </c>
      <c r="O465" t="n">
        <v>0</v>
      </c>
      <c r="P465" t="n">
        <v>0</v>
      </c>
      <c r="Q465" t="n">
        <v>0</v>
      </c>
      <c r="R465" s="2" t="inlineStr"/>
    </row>
    <row r="466" ht="15" customHeight="1">
      <c r="A466" t="inlineStr">
        <is>
          <t>A 26505-2022</t>
        </is>
      </c>
      <c r="B466" s="1" t="n">
        <v>44739.4056712963</v>
      </c>
      <c r="C466" s="1" t="n">
        <v>46103</v>
      </c>
      <c r="D466" t="inlineStr">
        <is>
          <t>KRONOBERGS LÄN</t>
        </is>
      </c>
      <c r="E466" t="inlineStr">
        <is>
          <t>VÄXJÖ</t>
        </is>
      </c>
      <c r="G466" t="n">
        <v>0.5</v>
      </c>
      <c r="H466" t="n">
        <v>0</v>
      </c>
      <c r="I466" t="n">
        <v>0</v>
      </c>
      <c r="J466" t="n">
        <v>0</v>
      </c>
      <c r="K466" t="n">
        <v>0</v>
      </c>
      <c r="L466" t="n">
        <v>0</v>
      </c>
      <c r="M466" t="n">
        <v>0</v>
      </c>
      <c r="N466" t="n">
        <v>0</v>
      </c>
      <c r="O466" t="n">
        <v>0</v>
      </c>
      <c r="P466" t="n">
        <v>0</v>
      </c>
      <c r="Q466" t="n">
        <v>0</v>
      </c>
      <c r="R466" s="2" t="inlineStr"/>
    </row>
    <row r="467" ht="15" customHeight="1">
      <c r="A467" t="inlineStr">
        <is>
          <t>A 3602-2022</t>
        </is>
      </c>
      <c r="B467" s="1" t="n">
        <v>44586.37515046296</v>
      </c>
      <c r="C467" s="1" t="n">
        <v>46103</v>
      </c>
      <c r="D467" t="inlineStr">
        <is>
          <t>KRONOBERGS LÄN</t>
        </is>
      </c>
      <c r="E467" t="inlineStr">
        <is>
          <t>ALVESTA</t>
        </is>
      </c>
      <c r="G467" t="n">
        <v>0.9</v>
      </c>
      <c r="H467" t="n">
        <v>0</v>
      </c>
      <c r="I467" t="n">
        <v>0</v>
      </c>
      <c r="J467" t="n">
        <v>0</v>
      </c>
      <c r="K467" t="n">
        <v>0</v>
      </c>
      <c r="L467" t="n">
        <v>0</v>
      </c>
      <c r="M467" t="n">
        <v>0</v>
      </c>
      <c r="N467" t="n">
        <v>0</v>
      </c>
      <c r="O467" t="n">
        <v>0</v>
      </c>
      <c r="P467" t="n">
        <v>0</v>
      </c>
      <c r="Q467" t="n">
        <v>0</v>
      </c>
      <c r="R467" s="2" t="inlineStr"/>
    </row>
    <row r="468" ht="15" customHeight="1">
      <c r="A468" t="inlineStr">
        <is>
          <t>A 14893-2021</t>
        </is>
      </c>
      <c r="B468" s="1" t="n">
        <v>44281.336875</v>
      </c>
      <c r="C468" s="1" t="n">
        <v>46103</v>
      </c>
      <c r="D468" t="inlineStr">
        <is>
          <t>KRONOBERGS LÄN</t>
        </is>
      </c>
      <c r="E468" t="inlineStr">
        <is>
          <t>LESSEBO</t>
        </is>
      </c>
      <c r="G468" t="n">
        <v>2.2</v>
      </c>
      <c r="H468" t="n">
        <v>0</v>
      </c>
      <c r="I468" t="n">
        <v>0</v>
      </c>
      <c r="J468" t="n">
        <v>0</v>
      </c>
      <c r="K468" t="n">
        <v>0</v>
      </c>
      <c r="L468" t="n">
        <v>0</v>
      </c>
      <c r="M468" t="n">
        <v>0</v>
      </c>
      <c r="N468" t="n">
        <v>0</v>
      </c>
      <c r="O468" t="n">
        <v>0</v>
      </c>
      <c r="P468" t="n">
        <v>0</v>
      </c>
      <c r="Q468" t="n">
        <v>0</v>
      </c>
      <c r="R468" s="2" t="inlineStr"/>
    </row>
    <row r="469" ht="15" customHeight="1">
      <c r="A469" t="inlineStr">
        <is>
          <t>A 35808-2021</t>
        </is>
      </c>
      <c r="B469" s="1" t="n">
        <v>44386.6371412037</v>
      </c>
      <c r="C469" s="1" t="n">
        <v>46103</v>
      </c>
      <c r="D469" t="inlineStr">
        <is>
          <t>KRONOBERGS LÄN</t>
        </is>
      </c>
      <c r="E469" t="inlineStr">
        <is>
          <t>LJUNGBY</t>
        </is>
      </c>
      <c r="G469" t="n">
        <v>0.6</v>
      </c>
      <c r="H469" t="n">
        <v>0</v>
      </c>
      <c r="I469" t="n">
        <v>0</v>
      </c>
      <c r="J469" t="n">
        <v>0</v>
      </c>
      <c r="K469" t="n">
        <v>0</v>
      </c>
      <c r="L469" t="n">
        <v>0</v>
      </c>
      <c r="M469" t="n">
        <v>0</v>
      </c>
      <c r="N469" t="n">
        <v>0</v>
      </c>
      <c r="O469" t="n">
        <v>0</v>
      </c>
      <c r="P469" t="n">
        <v>0</v>
      </c>
      <c r="Q469" t="n">
        <v>0</v>
      </c>
      <c r="R469" s="2" t="inlineStr"/>
    </row>
    <row r="470" ht="15" customHeight="1">
      <c r="A470" t="inlineStr">
        <is>
          <t>A 18822-2021</t>
        </is>
      </c>
      <c r="B470" s="1" t="n">
        <v>44307</v>
      </c>
      <c r="C470" s="1" t="n">
        <v>46103</v>
      </c>
      <c r="D470" t="inlineStr">
        <is>
          <t>KRONOBERGS LÄN</t>
        </is>
      </c>
      <c r="E470" t="inlineStr">
        <is>
          <t>ALVESTA</t>
        </is>
      </c>
      <c r="G470" t="n">
        <v>0.2</v>
      </c>
      <c r="H470" t="n">
        <v>0</v>
      </c>
      <c r="I470" t="n">
        <v>0</v>
      </c>
      <c r="J470" t="n">
        <v>0</v>
      </c>
      <c r="K470" t="n">
        <v>0</v>
      </c>
      <c r="L470" t="n">
        <v>0</v>
      </c>
      <c r="M470" t="n">
        <v>0</v>
      </c>
      <c r="N470" t="n">
        <v>0</v>
      </c>
      <c r="O470" t="n">
        <v>0</v>
      </c>
      <c r="P470" t="n">
        <v>0</v>
      </c>
      <c r="Q470" t="n">
        <v>0</v>
      </c>
      <c r="R470" s="2" t="inlineStr"/>
    </row>
    <row r="471" ht="15" customHeight="1">
      <c r="A471" t="inlineStr">
        <is>
          <t>A 28767-2022</t>
        </is>
      </c>
      <c r="B471" s="1" t="n">
        <v>44749</v>
      </c>
      <c r="C471" s="1" t="n">
        <v>46103</v>
      </c>
      <c r="D471" t="inlineStr">
        <is>
          <t>KRONOBERGS LÄN</t>
        </is>
      </c>
      <c r="E471" t="inlineStr">
        <is>
          <t>UPPVIDINGE</t>
        </is>
      </c>
      <c r="G471" t="n">
        <v>3.8</v>
      </c>
      <c r="H471" t="n">
        <v>0</v>
      </c>
      <c r="I471" t="n">
        <v>0</v>
      </c>
      <c r="J471" t="n">
        <v>0</v>
      </c>
      <c r="K471" t="n">
        <v>0</v>
      </c>
      <c r="L471" t="n">
        <v>0</v>
      </c>
      <c r="M471" t="n">
        <v>0</v>
      </c>
      <c r="N471" t="n">
        <v>0</v>
      </c>
      <c r="O471" t="n">
        <v>0</v>
      </c>
      <c r="P471" t="n">
        <v>0</v>
      </c>
      <c r="Q471" t="n">
        <v>0</v>
      </c>
      <c r="R471" s="2" t="inlineStr"/>
    </row>
    <row r="472" ht="15" customHeight="1">
      <c r="A472" t="inlineStr">
        <is>
          <t>A 1709-2022</t>
        </is>
      </c>
      <c r="B472" s="1" t="n">
        <v>44574.43967592593</v>
      </c>
      <c r="C472" s="1" t="n">
        <v>46103</v>
      </c>
      <c r="D472" t="inlineStr">
        <is>
          <t>KRONOBERGS LÄN</t>
        </is>
      </c>
      <c r="E472" t="inlineStr">
        <is>
          <t>UPPVIDINGE</t>
        </is>
      </c>
      <c r="G472" t="n">
        <v>0.7</v>
      </c>
      <c r="H472" t="n">
        <v>0</v>
      </c>
      <c r="I472" t="n">
        <v>0</v>
      </c>
      <c r="J472" t="n">
        <v>0</v>
      </c>
      <c r="K472" t="n">
        <v>0</v>
      </c>
      <c r="L472" t="n">
        <v>0</v>
      </c>
      <c r="M472" t="n">
        <v>0</v>
      </c>
      <c r="N472" t="n">
        <v>0</v>
      </c>
      <c r="O472" t="n">
        <v>0</v>
      </c>
      <c r="P472" t="n">
        <v>0</v>
      </c>
      <c r="Q472" t="n">
        <v>0</v>
      </c>
      <c r="R472" s="2" t="inlineStr"/>
    </row>
    <row r="473" ht="15" customHeight="1">
      <c r="A473" t="inlineStr">
        <is>
          <t>A 34126-2022</t>
        </is>
      </c>
      <c r="B473" s="1" t="n">
        <v>44791.5112962963</v>
      </c>
      <c r="C473" s="1" t="n">
        <v>46103</v>
      </c>
      <c r="D473" t="inlineStr">
        <is>
          <t>KRONOBERGS LÄN</t>
        </is>
      </c>
      <c r="E473" t="inlineStr">
        <is>
          <t>TINGSRYD</t>
        </is>
      </c>
      <c r="G473" t="n">
        <v>1.4</v>
      </c>
      <c r="H473" t="n">
        <v>0</v>
      </c>
      <c r="I473" t="n">
        <v>0</v>
      </c>
      <c r="J473" t="n">
        <v>0</v>
      </c>
      <c r="K473" t="n">
        <v>0</v>
      </c>
      <c r="L473" t="n">
        <v>0</v>
      </c>
      <c r="M473" t="n">
        <v>0</v>
      </c>
      <c r="N473" t="n">
        <v>0</v>
      </c>
      <c r="O473" t="n">
        <v>0</v>
      </c>
      <c r="P473" t="n">
        <v>0</v>
      </c>
      <c r="Q473" t="n">
        <v>0</v>
      </c>
      <c r="R473" s="2" t="inlineStr"/>
    </row>
    <row r="474" ht="15" customHeight="1">
      <c r="A474" t="inlineStr">
        <is>
          <t>A 3956-2022</t>
        </is>
      </c>
      <c r="B474" s="1" t="n">
        <v>44587.59076388889</v>
      </c>
      <c r="C474" s="1" t="n">
        <v>46103</v>
      </c>
      <c r="D474" t="inlineStr">
        <is>
          <t>KRONOBERGS LÄN</t>
        </is>
      </c>
      <c r="E474" t="inlineStr">
        <is>
          <t>LJUNGBY</t>
        </is>
      </c>
      <c r="G474" t="n">
        <v>0.3</v>
      </c>
      <c r="H474" t="n">
        <v>0</v>
      </c>
      <c r="I474" t="n">
        <v>0</v>
      </c>
      <c r="J474" t="n">
        <v>0</v>
      </c>
      <c r="K474" t="n">
        <v>0</v>
      </c>
      <c r="L474" t="n">
        <v>0</v>
      </c>
      <c r="M474" t="n">
        <v>0</v>
      </c>
      <c r="N474" t="n">
        <v>0</v>
      </c>
      <c r="O474" t="n">
        <v>0</v>
      </c>
      <c r="P474" t="n">
        <v>0</v>
      </c>
      <c r="Q474" t="n">
        <v>0</v>
      </c>
      <c r="R474" s="2" t="inlineStr"/>
    </row>
    <row r="475" ht="15" customHeight="1">
      <c r="A475" t="inlineStr">
        <is>
          <t>A 4547-2022</t>
        </is>
      </c>
      <c r="B475" s="1" t="n">
        <v>44590</v>
      </c>
      <c r="C475" s="1" t="n">
        <v>46103</v>
      </c>
      <c r="D475" t="inlineStr">
        <is>
          <t>KRONOBERGS LÄN</t>
        </is>
      </c>
      <c r="E475" t="inlineStr">
        <is>
          <t>VÄXJÖ</t>
        </is>
      </c>
      <c r="F475" t="inlineStr">
        <is>
          <t>Kommuner</t>
        </is>
      </c>
      <c r="G475" t="n">
        <v>0.7</v>
      </c>
      <c r="H475" t="n">
        <v>0</v>
      </c>
      <c r="I475" t="n">
        <v>0</v>
      </c>
      <c r="J475" t="n">
        <v>0</v>
      </c>
      <c r="K475" t="n">
        <v>0</v>
      </c>
      <c r="L475" t="n">
        <v>0</v>
      </c>
      <c r="M475" t="n">
        <v>0</v>
      </c>
      <c r="N475" t="n">
        <v>0</v>
      </c>
      <c r="O475" t="n">
        <v>0</v>
      </c>
      <c r="P475" t="n">
        <v>0</v>
      </c>
      <c r="Q475" t="n">
        <v>0</v>
      </c>
      <c r="R475" s="2" t="inlineStr"/>
    </row>
    <row r="476" ht="15" customHeight="1">
      <c r="A476" t="inlineStr">
        <is>
          <t>A 13138-2022</t>
        </is>
      </c>
      <c r="B476" s="1" t="n">
        <v>44644</v>
      </c>
      <c r="C476" s="1" t="n">
        <v>46103</v>
      </c>
      <c r="D476" t="inlineStr">
        <is>
          <t>KRONOBERGS LÄN</t>
        </is>
      </c>
      <c r="E476" t="inlineStr">
        <is>
          <t>TINGSRYD</t>
        </is>
      </c>
      <c r="G476" t="n">
        <v>1</v>
      </c>
      <c r="H476" t="n">
        <v>0</v>
      </c>
      <c r="I476" t="n">
        <v>0</v>
      </c>
      <c r="J476" t="n">
        <v>0</v>
      </c>
      <c r="K476" t="n">
        <v>0</v>
      </c>
      <c r="L476" t="n">
        <v>0</v>
      </c>
      <c r="M476" t="n">
        <v>0</v>
      </c>
      <c r="N476" t="n">
        <v>0</v>
      </c>
      <c r="O476" t="n">
        <v>0</v>
      </c>
      <c r="P476" t="n">
        <v>0</v>
      </c>
      <c r="Q476" t="n">
        <v>0</v>
      </c>
      <c r="R476" s="2" t="inlineStr"/>
    </row>
    <row r="477" ht="15" customHeight="1">
      <c r="A477" t="inlineStr">
        <is>
          <t>A 6929-2022</t>
        </is>
      </c>
      <c r="B477" s="1" t="n">
        <v>44602</v>
      </c>
      <c r="C477" s="1" t="n">
        <v>46103</v>
      </c>
      <c r="D477" t="inlineStr">
        <is>
          <t>KRONOBERGS LÄN</t>
        </is>
      </c>
      <c r="E477" t="inlineStr">
        <is>
          <t>UPPVIDINGE</t>
        </is>
      </c>
      <c r="G477" t="n">
        <v>1.5</v>
      </c>
      <c r="H477" t="n">
        <v>0</v>
      </c>
      <c r="I477" t="n">
        <v>0</v>
      </c>
      <c r="J477" t="n">
        <v>0</v>
      </c>
      <c r="K477" t="n">
        <v>0</v>
      </c>
      <c r="L477" t="n">
        <v>0</v>
      </c>
      <c r="M477" t="n">
        <v>0</v>
      </c>
      <c r="N477" t="n">
        <v>0</v>
      </c>
      <c r="O477" t="n">
        <v>0</v>
      </c>
      <c r="P477" t="n">
        <v>0</v>
      </c>
      <c r="Q477" t="n">
        <v>0</v>
      </c>
      <c r="R477" s="2" t="inlineStr"/>
    </row>
    <row r="478" ht="15" customHeight="1">
      <c r="A478" t="inlineStr">
        <is>
          <t>A 33385-2022</t>
        </is>
      </c>
      <c r="B478" s="1" t="n">
        <v>44785</v>
      </c>
      <c r="C478" s="1" t="n">
        <v>46103</v>
      </c>
      <c r="D478" t="inlineStr">
        <is>
          <t>KRONOBERGS LÄN</t>
        </is>
      </c>
      <c r="E478" t="inlineStr">
        <is>
          <t>ÄLMHULT</t>
        </is>
      </c>
      <c r="G478" t="n">
        <v>2.6</v>
      </c>
      <c r="H478" t="n">
        <v>0</v>
      </c>
      <c r="I478" t="n">
        <v>0</v>
      </c>
      <c r="J478" t="n">
        <v>0</v>
      </c>
      <c r="K478" t="n">
        <v>0</v>
      </c>
      <c r="L478" t="n">
        <v>0</v>
      </c>
      <c r="M478" t="n">
        <v>0</v>
      </c>
      <c r="N478" t="n">
        <v>0</v>
      </c>
      <c r="O478" t="n">
        <v>0</v>
      </c>
      <c r="P478" t="n">
        <v>0</v>
      </c>
      <c r="Q478" t="n">
        <v>0</v>
      </c>
      <c r="R478" s="2" t="inlineStr"/>
    </row>
    <row r="479" ht="15" customHeight="1">
      <c r="A479" t="inlineStr">
        <is>
          <t>A 6952-2022</t>
        </is>
      </c>
      <c r="B479" s="1" t="n">
        <v>44603.34966435185</v>
      </c>
      <c r="C479" s="1" t="n">
        <v>46103</v>
      </c>
      <c r="D479" t="inlineStr">
        <is>
          <t>KRONOBERGS LÄN</t>
        </is>
      </c>
      <c r="E479" t="inlineStr">
        <is>
          <t>TINGSRYD</t>
        </is>
      </c>
      <c r="G479" t="n">
        <v>1.9</v>
      </c>
      <c r="H479" t="n">
        <v>0</v>
      </c>
      <c r="I479" t="n">
        <v>0</v>
      </c>
      <c r="J479" t="n">
        <v>0</v>
      </c>
      <c r="K479" t="n">
        <v>0</v>
      </c>
      <c r="L479" t="n">
        <v>0</v>
      </c>
      <c r="M479" t="n">
        <v>0</v>
      </c>
      <c r="N479" t="n">
        <v>0</v>
      </c>
      <c r="O479" t="n">
        <v>0</v>
      </c>
      <c r="P479" t="n">
        <v>0</v>
      </c>
      <c r="Q479" t="n">
        <v>0</v>
      </c>
      <c r="R479" s="2" t="inlineStr"/>
    </row>
    <row r="480" ht="15" customHeight="1">
      <c r="A480" t="inlineStr">
        <is>
          <t>A 16069-2022</t>
        </is>
      </c>
      <c r="B480" s="1" t="n">
        <v>44665</v>
      </c>
      <c r="C480" s="1" t="n">
        <v>46103</v>
      </c>
      <c r="D480" t="inlineStr">
        <is>
          <t>KRONOBERGS LÄN</t>
        </is>
      </c>
      <c r="E480" t="inlineStr">
        <is>
          <t>ÄLMHULT</t>
        </is>
      </c>
      <c r="F480" t="inlineStr">
        <is>
          <t>Sveaskog</t>
        </is>
      </c>
      <c r="G480" t="n">
        <v>1.5</v>
      </c>
      <c r="H480" t="n">
        <v>0</v>
      </c>
      <c r="I480" t="n">
        <v>0</v>
      </c>
      <c r="J480" t="n">
        <v>0</v>
      </c>
      <c r="K480" t="n">
        <v>0</v>
      </c>
      <c r="L480" t="n">
        <v>0</v>
      </c>
      <c r="M480" t="n">
        <v>0</v>
      </c>
      <c r="N480" t="n">
        <v>0</v>
      </c>
      <c r="O480" t="n">
        <v>0</v>
      </c>
      <c r="P480" t="n">
        <v>0</v>
      </c>
      <c r="Q480" t="n">
        <v>0</v>
      </c>
      <c r="R480" s="2" t="inlineStr"/>
    </row>
    <row r="481" ht="15" customHeight="1">
      <c r="A481" t="inlineStr">
        <is>
          <t>A 27606-2022</t>
        </is>
      </c>
      <c r="B481" s="1" t="n">
        <v>44742.95375</v>
      </c>
      <c r="C481" s="1" t="n">
        <v>46103</v>
      </c>
      <c r="D481" t="inlineStr">
        <is>
          <t>KRONOBERGS LÄN</t>
        </is>
      </c>
      <c r="E481" t="inlineStr">
        <is>
          <t>LJUNGBY</t>
        </is>
      </c>
      <c r="G481" t="n">
        <v>0.7</v>
      </c>
      <c r="H481" t="n">
        <v>0</v>
      </c>
      <c r="I481" t="n">
        <v>0</v>
      </c>
      <c r="J481" t="n">
        <v>0</v>
      </c>
      <c r="K481" t="n">
        <v>0</v>
      </c>
      <c r="L481" t="n">
        <v>0</v>
      </c>
      <c r="M481" t="n">
        <v>0</v>
      </c>
      <c r="N481" t="n">
        <v>0</v>
      </c>
      <c r="O481" t="n">
        <v>0</v>
      </c>
      <c r="P481" t="n">
        <v>0</v>
      </c>
      <c r="Q481" t="n">
        <v>0</v>
      </c>
      <c r="R481" s="2" t="inlineStr"/>
    </row>
    <row r="482" ht="15" customHeight="1">
      <c r="A482" t="inlineStr">
        <is>
          <t>A 40019-2022</t>
        </is>
      </c>
      <c r="B482" s="1" t="n">
        <v>44820.40541666667</v>
      </c>
      <c r="C482" s="1" t="n">
        <v>46103</v>
      </c>
      <c r="D482" t="inlineStr">
        <is>
          <t>KRONOBERGS LÄN</t>
        </is>
      </c>
      <c r="E482" t="inlineStr">
        <is>
          <t>VÄXJÖ</t>
        </is>
      </c>
      <c r="F482" t="inlineStr">
        <is>
          <t>Sveaskog</t>
        </is>
      </c>
      <c r="G482" t="n">
        <v>2.2</v>
      </c>
      <c r="H482" t="n">
        <v>0</v>
      </c>
      <c r="I482" t="n">
        <v>0</v>
      </c>
      <c r="J482" t="n">
        <v>0</v>
      </c>
      <c r="K482" t="n">
        <v>0</v>
      </c>
      <c r="L482" t="n">
        <v>0</v>
      </c>
      <c r="M482" t="n">
        <v>0</v>
      </c>
      <c r="N482" t="n">
        <v>0</v>
      </c>
      <c r="O482" t="n">
        <v>0</v>
      </c>
      <c r="P482" t="n">
        <v>0</v>
      </c>
      <c r="Q482" t="n">
        <v>0</v>
      </c>
      <c r="R482" s="2" t="inlineStr"/>
    </row>
    <row r="483" ht="15" customHeight="1">
      <c r="A483" t="inlineStr">
        <is>
          <t>A 4801-2022</t>
        </is>
      </c>
      <c r="B483" s="1" t="n">
        <v>44592.65864583333</v>
      </c>
      <c r="C483" s="1" t="n">
        <v>46103</v>
      </c>
      <c r="D483" t="inlineStr">
        <is>
          <t>KRONOBERGS LÄN</t>
        </is>
      </c>
      <c r="E483" t="inlineStr">
        <is>
          <t>LJUNGBY</t>
        </is>
      </c>
      <c r="F483" t="inlineStr">
        <is>
          <t>Kommuner</t>
        </is>
      </c>
      <c r="G483" t="n">
        <v>1.5</v>
      </c>
      <c r="H483" t="n">
        <v>0</v>
      </c>
      <c r="I483" t="n">
        <v>0</v>
      </c>
      <c r="J483" t="n">
        <v>0</v>
      </c>
      <c r="K483" t="n">
        <v>0</v>
      </c>
      <c r="L483" t="n">
        <v>0</v>
      </c>
      <c r="M483" t="n">
        <v>0</v>
      </c>
      <c r="N483" t="n">
        <v>0</v>
      </c>
      <c r="O483" t="n">
        <v>0</v>
      </c>
      <c r="P483" t="n">
        <v>0</v>
      </c>
      <c r="Q483" t="n">
        <v>0</v>
      </c>
      <c r="R483" s="2" t="inlineStr"/>
    </row>
    <row r="484" ht="15" customHeight="1">
      <c r="A484" t="inlineStr">
        <is>
          <t>A 20664-2022</t>
        </is>
      </c>
      <c r="B484" s="1" t="n">
        <v>44700.65099537037</v>
      </c>
      <c r="C484" s="1" t="n">
        <v>46103</v>
      </c>
      <c r="D484" t="inlineStr">
        <is>
          <t>KRONOBERGS LÄN</t>
        </is>
      </c>
      <c r="E484" t="inlineStr">
        <is>
          <t>MARKARYD</t>
        </is>
      </c>
      <c r="G484" t="n">
        <v>0.6</v>
      </c>
      <c r="H484" t="n">
        <v>0</v>
      </c>
      <c r="I484" t="n">
        <v>0</v>
      </c>
      <c r="J484" t="n">
        <v>0</v>
      </c>
      <c r="K484" t="n">
        <v>0</v>
      </c>
      <c r="L484" t="n">
        <v>0</v>
      </c>
      <c r="M484" t="n">
        <v>0</v>
      </c>
      <c r="N484" t="n">
        <v>0</v>
      </c>
      <c r="O484" t="n">
        <v>0</v>
      </c>
      <c r="P484" t="n">
        <v>0</v>
      </c>
      <c r="Q484" t="n">
        <v>0</v>
      </c>
      <c r="R484" s="2" t="inlineStr"/>
    </row>
    <row r="485" ht="15" customHeight="1">
      <c r="A485" t="inlineStr">
        <is>
          <t>A 2666-2022</t>
        </is>
      </c>
      <c r="B485" s="1" t="n">
        <v>44580</v>
      </c>
      <c r="C485" s="1" t="n">
        <v>46103</v>
      </c>
      <c r="D485" t="inlineStr">
        <is>
          <t>KRONOBERGS LÄN</t>
        </is>
      </c>
      <c r="E485" t="inlineStr">
        <is>
          <t>UPPVIDINGE</t>
        </is>
      </c>
      <c r="G485" t="n">
        <v>3.6</v>
      </c>
      <c r="H485" t="n">
        <v>0</v>
      </c>
      <c r="I485" t="n">
        <v>0</v>
      </c>
      <c r="J485" t="n">
        <v>0</v>
      </c>
      <c r="K485" t="n">
        <v>0</v>
      </c>
      <c r="L485" t="n">
        <v>0</v>
      </c>
      <c r="M485" t="n">
        <v>0</v>
      </c>
      <c r="N485" t="n">
        <v>0</v>
      </c>
      <c r="O485" t="n">
        <v>0</v>
      </c>
      <c r="P485" t="n">
        <v>0</v>
      </c>
      <c r="Q485" t="n">
        <v>0</v>
      </c>
      <c r="R485" s="2" t="inlineStr"/>
    </row>
    <row r="486" ht="15" customHeight="1">
      <c r="A486" t="inlineStr">
        <is>
          <t>A 31826-2021</t>
        </is>
      </c>
      <c r="B486" s="1" t="n">
        <v>44370.39163194445</v>
      </c>
      <c r="C486" s="1" t="n">
        <v>46103</v>
      </c>
      <c r="D486" t="inlineStr">
        <is>
          <t>KRONOBERGS LÄN</t>
        </is>
      </c>
      <c r="E486" t="inlineStr">
        <is>
          <t>LJUNGBY</t>
        </is>
      </c>
      <c r="G486" t="n">
        <v>0.4</v>
      </c>
      <c r="H486" t="n">
        <v>0</v>
      </c>
      <c r="I486" t="n">
        <v>0</v>
      </c>
      <c r="J486" t="n">
        <v>0</v>
      </c>
      <c r="K486" t="n">
        <v>0</v>
      </c>
      <c r="L486" t="n">
        <v>0</v>
      </c>
      <c r="M486" t="n">
        <v>0</v>
      </c>
      <c r="N486" t="n">
        <v>0</v>
      </c>
      <c r="O486" t="n">
        <v>0</v>
      </c>
      <c r="P486" t="n">
        <v>0</v>
      </c>
      <c r="Q486" t="n">
        <v>0</v>
      </c>
      <c r="R486" s="2" t="inlineStr"/>
    </row>
    <row r="487" ht="15" customHeight="1">
      <c r="A487" t="inlineStr">
        <is>
          <t>A 13952-2022</t>
        </is>
      </c>
      <c r="B487" s="1" t="n">
        <v>44650.495</v>
      </c>
      <c r="C487" s="1" t="n">
        <v>46103</v>
      </c>
      <c r="D487" t="inlineStr">
        <is>
          <t>KRONOBERGS LÄN</t>
        </is>
      </c>
      <c r="E487" t="inlineStr">
        <is>
          <t>LJUNGBY</t>
        </is>
      </c>
      <c r="G487" t="n">
        <v>0.7</v>
      </c>
      <c r="H487" t="n">
        <v>0</v>
      </c>
      <c r="I487" t="n">
        <v>0</v>
      </c>
      <c r="J487" t="n">
        <v>0</v>
      </c>
      <c r="K487" t="n">
        <v>0</v>
      </c>
      <c r="L487" t="n">
        <v>0</v>
      </c>
      <c r="M487" t="n">
        <v>0</v>
      </c>
      <c r="N487" t="n">
        <v>0</v>
      </c>
      <c r="O487" t="n">
        <v>0</v>
      </c>
      <c r="P487" t="n">
        <v>0</v>
      </c>
      <c r="Q487" t="n">
        <v>0</v>
      </c>
      <c r="R487" s="2" t="inlineStr"/>
    </row>
    <row r="488" ht="15" customHeight="1">
      <c r="A488" t="inlineStr">
        <is>
          <t>A 10420-2022</t>
        </is>
      </c>
      <c r="B488" s="1" t="n">
        <v>44623.46204861111</v>
      </c>
      <c r="C488" s="1" t="n">
        <v>46103</v>
      </c>
      <c r="D488" t="inlineStr">
        <is>
          <t>KRONOBERGS LÄN</t>
        </is>
      </c>
      <c r="E488" t="inlineStr">
        <is>
          <t>LJUNGBY</t>
        </is>
      </c>
      <c r="G488" t="n">
        <v>0.6</v>
      </c>
      <c r="H488" t="n">
        <v>0</v>
      </c>
      <c r="I488" t="n">
        <v>0</v>
      </c>
      <c r="J488" t="n">
        <v>0</v>
      </c>
      <c r="K488" t="n">
        <v>0</v>
      </c>
      <c r="L488" t="n">
        <v>0</v>
      </c>
      <c r="M488" t="n">
        <v>0</v>
      </c>
      <c r="N488" t="n">
        <v>0</v>
      </c>
      <c r="O488" t="n">
        <v>0</v>
      </c>
      <c r="P488" t="n">
        <v>0</v>
      </c>
      <c r="Q488" t="n">
        <v>0</v>
      </c>
      <c r="R488" s="2" t="inlineStr"/>
    </row>
    <row r="489" ht="15" customHeight="1">
      <c r="A489" t="inlineStr">
        <is>
          <t>A 22722-2022</t>
        </is>
      </c>
      <c r="B489" s="1" t="n">
        <v>44714</v>
      </c>
      <c r="C489" s="1" t="n">
        <v>46103</v>
      </c>
      <c r="D489" t="inlineStr">
        <is>
          <t>KRONOBERGS LÄN</t>
        </is>
      </c>
      <c r="E489" t="inlineStr">
        <is>
          <t>LJUNGBY</t>
        </is>
      </c>
      <c r="G489" t="n">
        <v>0</v>
      </c>
      <c r="H489" t="n">
        <v>0</v>
      </c>
      <c r="I489" t="n">
        <v>0</v>
      </c>
      <c r="J489" t="n">
        <v>0</v>
      </c>
      <c r="K489" t="n">
        <v>0</v>
      </c>
      <c r="L489" t="n">
        <v>0</v>
      </c>
      <c r="M489" t="n">
        <v>0</v>
      </c>
      <c r="N489" t="n">
        <v>0</v>
      </c>
      <c r="O489" t="n">
        <v>0</v>
      </c>
      <c r="P489" t="n">
        <v>0</v>
      </c>
      <c r="Q489" t="n">
        <v>0</v>
      </c>
      <c r="R489" s="2" t="inlineStr"/>
    </row>
    <row r="490" ht="15" customHeight="1">
      <c r="A490" t="inlineStr">
        <is>
          <t>A 38692-2022</t>
        </is>
      </c>
      <c r="B490" s="1" t="n">
        <v>44814.31871527778</v>
      </c>
      <c r="C490" s="1" t="n">
        <v>46103</v>
      </c>
      <c r="D490" t="inlineStr">
        <is>
          <t>KRONOBERGS LÄN</t>
        </is>
      </c>
      <c r="E490" t="inlineStr">
        <is>
          <t>VÄXJÖ</t>
        </is>
      </c>
      <c r="G490" t="n">
        <v>0.6</v>
      </c>
      <c r="H490" t="n">
        <v>0</v>
      </c>
      <c r="I490" t="n">
        <v>0</v>
      </c>
      <c r="J490" t="n">
        <v>0</v>
      </c>
      <c r="K490" t="n">
        <v>0</v>
      </c>
      <c r="L490" t="n">
        <v>0</v>
      </c>
      <c r="M490" t="n">
        <v>0</v>
      </c>
      <c r="N490" t="n">
        <v>0</v>
      </c>
      <c r="O490" t="n">
        <v>0</v>
      </c>
      <c r="P490" t="n">
        <v>0</v>
      </c>
      <c r="Q490" t="n">
        <v>0</v>
      </c>
      <c r="R490" s="2" t="inlineStr"/>
    </row>
    <row r="491" ht="15" customHeight="1">
      <c r="A491" t="inlineStr">
        <is>
          <t>A 6807-2022</t>
        </is>
      </c>
      <c r="B491" s="1" t="n">
        <v>44602.57726851852</v>
      </c>
      <c r="C491" s="1" t="n">
        <v>46103</v>
      </c>
      <c r="D491" t="inlineStr">
        <is>
          <t>KRONOBERGS LÄN</t>
        </is>
      </c>
      <c r="E491" t="inlineStr">
        <is>
          <t>UPPVIDINGE</t>
        </is>
      </c>
      <c r="G491" t="n">
        <v>0.7</v>
      </c>
      <c r="H491" t="n">
        <v>0</v>
      </c>
      <c r="I491" t="n">
        <v>0</v>
      </c>
      <c r="J491" t="n">
        <v>0</v>
      </c>
      <c r="K491" t="n">
        <v>0</v>
      </c>
      <c r="L491" t="n">
        <v>0</v>
      </c>
      <c r="M491" t="n">
        <v>0</v>
      </c>
      <c r="N491" t="n">
        <v>0</v>
      </c>
      <c r="O491" t="n">
        <v>0</v>
      </c>
      <c r="P491" t="n">
        <v>0</v>
      </c>
      <c r="Q491" t="n">
        <v>0</v>
      </c>
      <c r="R491" s="2" t="inlineStr"/>
    </row>
    <row r="492" ht="15" customHeight="1">
      <c r="A492" t="inlineStr">
        <is>
          <t>A 21042-2022</t>
        </is>
      </c>
      <c r="B492" s="1" t="n">
        <v>44704</v>
      </c>
      <c r="C492" s="1" t="n">
        <v>46103</v>
      </c>
      <c r="D492" t="inlineStr">
        <is>
          <t>KRONOBERGS LÄN</t>
        </is>
      </c>
      <c r="E492" t="inlineStr">
        <is>
          <t>VÄXJÖ</t>
        </is>
      </c>
      <c r="G492" t="n">
        <v>2</v>
      </c>
      <c r="H492" t="n">
        <v>0</v>
      </c>
      <c r="I492" t="n">
        <v>0</v>
      </c>
      <c r="J492" t="n">
        <v>0</v>
      </c>
      <c r="K492" t="n">
        <v>0</v>
      </c>
      <c r="L492" t="n">
        <v>0</v>
      </c>
      <c r="M492" t="n">
        <v>0</v>
      </c>
      <c r="N492" t="n">
        <v>0</v>
      </c>
      <c r="O492" t="n">
        <v>0</v>
      </c>
      <c r="P492" t="n">
        <v>0</v>
      </c>
      <c r="Q492" t="n">
        <v>0</v>
      </c>
      <c r="R492" s="2" t="inlineStr"/>
    </row>
    <row r="493" ht="15" customHeight="1">
      <c r="A493" t="inlineStr">
        <is>
          <t>A 10762-2022</t>
        </is>
      </c>
      <c r="B493" s="1" t="n">
        <v>44627</v>
      </c>
      <c r="C493" s="1" t="n">
        <v>46103</v>
      </c>
      <c r="D493" t="inlineStr">
        <is>
          <t>KRONOBERGS LÄN</t>
        </is>
      </c>
      <c r="E493" t="inlineStr">
        <is>
          <t>TINGSRYD</t>
        </is>
      </c>
      <c r="G493" t="n">
        <v>1.1</v>
      </c>
      <c r="H493" t="n">
        <v>0</v>
      </c>
      <c r="I493" t="n">
        <v>0</v>
      </c>
      <c r="J493" t="n">
        <v>0</v>
      </c>
      <c r="K493" t="n">
        <v>0</v>
      </c>
      <c r="L493" t="n">
        <v>0</v>
      </c>
      <c r="M493" t="n">
        <v>0</v>
      </c>
      <c r="N493" t="n">
        <v>0</v>
      </c>
      <c r="O493" t="n">
        <v>0</v>
      </c>
      <c r="P493" t="n">
        <v>0</v>
      </c>
      <c r="Q493" t="n">
        <v>0</v>
      </c>
      <c r="R493" s="2" t="inlineStr"/>
    </row>
    <row r="494" ht="15" customHeight="1">
      <c r="A494" t="inlineStr">
        <is>
          <t>A 51899-2021</t>
        </is>
      </c>
      <c r="B494" s="1" t="n">
        <v>44462.89869212963</v>
      </c>
      <c r="C494" s="1" t="n">
        <v>46103</v>
      </c>
      <c r="D494" t="inlineStr">
        <is>
          <t>KRONOBERGS LÄN</t>
        </is>
      </c>
      <c r="E494" t="inlineStr">
        <is>
          <t>ÄLMHULT</t>
        </is>
      </c>
      <c r="G494" t="n">
        <v>3</v>
      </c>
      <c r="H494" t="n">
        <v>0</v>
      </c>
      <c r="I494" t="n">
        <v>0</v>
      </c>
      <c r="J494" t="n">
        <v>0</v>
      </c>
      <c r="K494" t="n">
        <v>0</v>
      </c>
      <c r="L494" t="n">
        <v>0</v>
      </c>
      <c r="M494" t="n">
        <v>0</v>
      </c>
      <c r="N494" t="n">
        <v>0</v>
      </c>
      <c r="O494" t="n">
        <v>0</v>
      </c>
      <c r="P494" t="n">
        <v>0</v>
      </c>
      <c r="Q494" t="n">
        <v>0</v>
      </c>
      <c r="R494" s="2" t="inlineStr"/>
    </row>
    <row r="495" ht="15" customHeight="1">
      <c r="A495" t="inlineStr">
        <is>
          <t>A 45962-2022</t>
        </is>
      </c>
      <c r="B495" s="1" t="n">
        <v>44846.67137731481</v>
      </c>
      <c r="C495" s="1" t="n">
        <v>46103</v>
      </c>
      <c r="D495" t="inlineStr">
        <is>
          <t>KRONOBERGS LÄN</t>
        </is>
      </c>
      <c r="E495" t="inlineStr">
        <is>
          <t>ÄLMHULT</t>
        </is>
      </c>
      <c r="G495" t="n">
        <v>0.5</v>
      </c>
      <c r="H495" t="n">
        <v>0</v>
      </c>
      <c r="I495" t="n">
        <v>0</v>
      </c>
      <c r="J495" t="n">
        <v>0</v>
      </c>
      <c r="K495" t="n">
        <v>0</v>
      </c>
      <c r="L495" t="n">
        <v>0</v>
      </c>
      <c r="M495" t="n">
        <v>0</v>
      </c>
      <c r="N495" t="n">
        <v>0</v>
      </c>
      <c r="O495" t="n">
        <v>0</v>
      </c>
      <c r="P495" t="n">
        <v>0</v>
      </c>
      <c r="Q495" t="n">
        <v>0</v>
      </c>
      <c r="R495" s="2" t="inlineStr"/>
    </row>
    <row r="496" ht="15" customHeight="1">
      <c r="A496" t="inlineStr">
        <is>
          <t>A 45963-2022</t>
        </is>
      </c>
      <c r="B496" s="1" t="n">
        <v>44846.67265046296</v>
      </c>
      <c r="C496" s="1" t="n">
        <v>46103</v>
      </c>
      <c r="D496" t="inlineStr">
        <is>
          <t>KRONOBERGS LÄN</t>
        </is>
      </c>
      <c r="E496" t="inlineStr">
        <is>
          <t>LESSEBO</t>
        </is>
      </c>
      <c r="G496" t="n">
        <v>0.5</v>
      </c>
      <c r="H496" t="n">
        <v>0</v>
      </c>
      <c r="I496" t="n">
        <v>0</v>
      </c>
      <c r="J496" t="n">
        <v>0</v>
      </c>
      <c r="K496" t="n">
        <v>0</v>
      </c>
      <c r="L496" t="n">
        <v>0</v>
      </c>
      <c r="M496" t="n">
        <v>0</v>
      </c>
      <c r="N496" t="n">
        <v>0</v>
      </c>
      <c r="O496" t="n">
        <v>0</v>
      </c>
      <c r="P496" t="n">
        <v>0</v>
      </c>
      <c r="Q496" t="n">
        <v>0</v>
      </c>
      <c r="R496" s="2" t="inlineStr"/>
    </row>
    <row r="497" ht="15" customHeight="1">
      <c r="A497" t="inlineStr">
        <is>
          <t>A 42968-2021</t>
        </is>
      </c>
      <c r="B497" s="1" t="n">
        <v>44431</v>
      </c>
      <c r="C497" s="1" t="n">
        <v>46103</v>
      </c>
      <c r="D497" t="inlineStr">
        <is>
          <t>KRONOBERGS LÄN</t>
        </is>
      </c>
      <c r="E497" t="inlineStr">
        <is>
          <t>MARKARYD</t>
        </is>
      </c>
      <c r="G497" t="n">
        <v>1</v>
      </c>
      <c r="H497" t="n">
        <v>0</v>
      </c>
      <c r="I497" t="n">
        <v>0</v>
      </c>
      <c r="J497" t="n">
        <v>0</v>
      </c>
      <c r="K497" t="n">
        <v>0</v>
      </c>
      <c r="L497" t="n">
        <v>0</v>
      </c>
      <c r="M497" t="n">
        <v>0</v>
      </c>
      <c r="N497" t="n">
        <v>0</v>
      </c>
      <c r="O497" t="n">
        <v>0</v>
      </c>
      <c r="P497" t="n">
        <v>0</v>
      </c>
      <c r="Q497" t="n">
        <v>0</v>
      </c>
      <c r="R497" s="2" t="inlineStr"/>
    </row>
    <row r="498" ht="15" customHeight="1">
      <c r="A498" t="inlineStr">
        <is>
          <t>A 44732-2021</t>
        </is>
      </c>
      <c r="B498" s="1" t="n">
        <v>44438</v>
      </c>
      <c r="C498" s="1" t="n">
        <v>46103</v>
      </c>
      <c r="D498" t="inlineStr">
        <is>
          <t>KRONOBERGS LÄN</t>
        </is>
      </c>
      <c r="E498" t="inlineStr">
        <is>
          <t>TINGSRYD</t>
        </is>
      </c>
      <c r="G498" t="n">
        <v>0.6</v>
      </c>
      <c r="H498" t="n">
        <v>0</v>
      </c>
      <c r="I498" t="n">
        <v>0</v>
      </c>
      <c r="J498" t="n">
        <v>0</v>
      </c>
      <c r="K498" t="n">
        <v>0</v>
      </c>
      <c r="L498" t="n">
        <v>0</v>
      </c>
      <c r="M498" t="n">
        <v>0</v>
      </c>
      <c r="N498" t="n">
        <v>0</v>
      </c>
      <c r="O498" t="n">
        <v>0</v>
      </c>
      <c r="P498" t="n">
        <v>0</v>
      </c>
      <c r="Q498" t="n">
        <v>0</v>
      </c>
      <c r="R498" s="2" t="inlineStr"/>
    </row>
    <row r="499" ht="15" customHeight="1">
      <c r="A499" t="inlineStr">
        <is>
          <t>A 46309-2022</t>
        </is>
      </c>
      <c r="B499" s="1" t="n">
        <v>44847</v>
      </c>
      <c r="C499" s="1" t="n">
        <v>46103</v>
      </c>
      <c r="D499" t="inlineStr">
        <is>
          <t>KRONOBERGS LÄN</t>
        </is>
      </c>
      <c r="E499" t="inlineStr">
        <is>
          <t>LJUNGBY</t>
        </is>
      </c>
      <c r="G499" t="n">
        <v>0.5</v>
      </c>
      <c r="H499" t="n">
        <v>0</v>
      </c>
      <c r="I499" t="n">
        <v>0</v>
      </c>
      <c r="J499" t="n">
        <v>0</v>
      </c>
      <c r="K499" t="n">
        <v>0</v>
      </c>
      <c r="L499" t="n">
        <v>0</v>
      </c>
      <c r="M499" t="n">
        <v>0</v>
      </c>
      <c r="N499" t="n">
        <v>0</v>
      </c>
      <c r="O499" t="n">
        <v>0</v>
      </c>
      <c r="P499" t="n">
        <v>0</v>
      </c>
      <c r="Q499" t="n">
        <v>0</v>
      </c>
      <c r="R499" s="2" t="inlineStr"/>
    </row>
    <row r="500" ht="15" customHeight="1">
      <c r="A500" t="inlineStr">
        <is>
          <t>A 46311-2022</t>
        </is>
      </c>
      <c r="B500" s="1" t="n">
        <v>44847</v>
      </c>
      <c r="C500" s="1" t="n">
        <v>46103</v>
      </c>
      <c r="D500" t="inlineStr">
        <is>
          <t>KRONOBERGS LÄN</t>
        </is>
      </c>
      <c r="E500" t="inlineStr">
        <is>
          <t>LJUNGBY</t>
        </is>
      </c>
      <c r="G500" t="n">
        <v>0.6</v>
      </c>
      <c r="H500" t="n">
        <v>0</v>
      </c>
      <c r="I500" t="n">
        <v>0</v>
      </c>
      <c r="J500" t="n">
        <v>0</v>
      </c>
      <c r="K500" t="n">
        <v>0</v>
      </c>
      <c r="L500" t="n">
        <v>0</v>
      </c>
      <c r="M500" t="n">
        <v>0</v>
      </c>
      <c r="N500" t="n">
        <v>0</v>
      </c>
      <c r="O500" t="n">
        <v>0</v>
      </c>
      <c r="P500" t="n">
        <v>0</v>
      </c>
      <c r="Q500" t="n">
        <v>0</v>
      </c>
      <c r="R500" s="2" t="inlineStr"/>
    </row>
    <row r="501" ht="15" customHeight="1">
      <c r="A501" t="inlineStr">
        <is>
          <t>A 36468-2022</t>
        </is>
      </c>
      <c r="B501" s="1" t="n">
        <v>44804.43328703703</v>
      </c>
      <c r="C501" s="1" t="n">
        <v>46103</v>
      </c>
      <c r="D501" t="inlineStr">
        <is>
          <t>KRONOBERGS LÄN</t>
        </is>
      </c>
      <c r="E501" t="inlineStr">
        <is>
          <t>TINGSRYD</t>
        </is>
      </c>
      <c r="G501" t="n">
        <v>1.1</v>
      </c>
      <c r="H501" t="n">
        <v>0</v>
      </c>
      <c r="I501" t="n">
        <v>0</v>
      </c>
      <c r="J501" t="n">
        <v>0</v>
      </c>
      <c r="K501" t="n">
        <v>0</v>
      </c>
      <c r="L501" t="n">
        <v>0</v>
      </c>
      <c r="M501" t="n">
        <v>0</v>
      </c>
      <c r="N501" t="n">
        <v>0</v>
      </c>
      <c r="O501" t="n">
        <v>0</v>
      </c>
      <c r="P501" t="n">
        <v>0</v>
      </c>
      <c r="Q501" t="n">
        <v>0</v>
      </c>
      <c r="R501" s="2" t="inlineStr"/>
    </row>
    <row r="502" ht="15" customHeight="1">
      <c r="A502" t="inlineStr">
        <is>
          <t>A 38608-2021</t>
        </is>
      </c>
      <c r="B502" s="1" t="n">
        <v>44409</v>
      </c>
      <c r="C502" s="1" t="n">
        <v>46103</v>
      </c>
      <c r="D502" t="inlineStr">
        <is>
          <t>KRONOBERGS LÄN</t>
        </is>
      </c>
      <c r="E502" t="inlineStr">
        <is>
          <t>MARKARYD</t>
        </is>
      </c>
      <c r="G502" t="n">
        <v>1.3</v>
      </c>
      <c r="H502" t="n">
        <v>0</v>
      </c>
      <c r="I502" t="n">
        <v>0</v>
      </c>
      <c r="J502" t="n">
        <v>0</v>
      </c>
      <c r="K502" t="n">
        <v>0</v>
      </c>
      <c r="L502" t="n">
        <v>0</v>
      </c>
      <c r="M502" t="n">
        <v>0</v>
      </c>
      <c r="N502" t="n">
        <v>0</v>
      </c>
      <c r="O502" t="n">
        <v>0</v>
      </c>
      <c r="P502" t="n">
        <v>0</v>
      </c>
      <c r="Q502" t="n">
        <v>0</v>
      </c>
      <c r="R502" s="2" t="inlineStr"/>
    </row>
    <row r="503" ht="15" customHeight="1">
      <c r="A503" t="inlineStr">
        <is>
          <t>A 49706-2022</t>
        </is>
      </c>
      <c r="B503" s="1" t="n">
        <v>44859</v>
      </c>
      <c r="C503" s="1" t="n">
        <v>46103</v>
      </c>
      <c r="D503" t="inlineStr">
        <is>
          <t>KRONOBERGS LÄN</t>
        </is>
      </c>
      <c r="E503" t="inlineStr">
        <is>
          <t>UPPVIDINGE</t>
        </is>
      </c>
      <c r="G503" t="n">
        <v>4.1</v>
      </c>
      <c r="H503" t="n">
        <v>0</v>
      </c>
      <c r="I503" t="n">
        <v>0</v>
      </c>
      <c r="J503" t="n">
        <v>0</v>
      </c>
      <c r="K503" t="n">
        <v>0</v>
      </c>
      <c r="L503" t="n">
        <v>0</v>
      </c>
      <c r="M503" t="n">
        <v>0</v>
      </c>
      <c r="N503" t="n">
        <v>0</v>
      </c>
      <c r="O503" t="n">
        <v>0</v>
      </c>
      <c r="P503" t="n">
        <v>0</v>
      </c>
      <c r="Q503" t="n">
        <v>0</v>
      </c>
      <c r="R503" s="2" t="inlineStr"/>
    </row>
    <row r="504" ht="15" customHeight="1">
      <c r="A504" t="inlineStr">
        <is>
          <t>A 29182-2021</t>
        </is>
      </c>
      <c r="B504" s="1" t="n">
        <v>44358</v>
      </c>
      <c r="C504" s="1" t="n">
        <v>46103</v>
      </c>
      <c r="D504" t="inlineStr">
        <is>
          <t>KRONOBERGS LÄN</t>
        </is>
      </c>
      <c r="E504" t="inlineStr">
        <is>
          <t>VÄXJÖ</t>
        </is>
      </c>
      <c r="F504" t="inlineStr">
        <is>
          <t>Kyrkan</t>
        </is>
      </c>
      <c r="G504" t="n">
        <v>1.5</v>
      </c>
      <c r="H504" t="n">
        <v>0</v>
      </c>
      <c r="I504" t="n">
        <v>0</v>
      </c>
      <c r="J504" t="n">
        <v>0</v>
      </c>
      <c r="K504" t="n">
        <v>0</v>
      </c>
      <c r="L504" t="n">
        <v>0</v>
      </c>
      <c r="M504" t="n">
        <v>0</v>
      </c>
      <c r="N504" t="n">
        <v>0</v>
      </c>
      <c r="O504" t="n">
        <v>0</v>
      </c>
      <c r="P504" t="n">
        <v>0</v>
      </c>
      <c r="Q504" t="n">
        <v>0</v>
      </c>
      <c r="R504" s="2" t="inlineStr"/>
    </row>
    <row r="505" ht="15" customHeight="1">
      <c r="A505" t="inlineStr">
        <is>
          <t>A 46254-2021</t>
        </is>
      </c>
      <c r="B505" s="1" t="n">
        <v>44442</v>
      </c>
      <c r="C505" s="1" t="n">
        <v>46103</v>
      </c>
      <c r="D505" t="inlineStr">
        <is>
          <t>KRONOBERGS LÄN</t>
        </is>
      </c>
      <c r="E505" t="inlineStr">
        <is>
          <t>VÄXJÖ</t>
        </is>
      </c>
      <c r="G505" t="n">
        <v>0.4</v>
      </c>
      <c r="H505" t="n">
        <v>0</v>
      </c>
      <c r="I505" t="n">
        <v>0</v>
      </c>
      <c r="J505" t="n">
        <v>0</v>
      </c>
      <c r="K505" t="n">
        <v>0</v>
      </c>
      <c r="L505" t="n">
        <v>0</v>
      </c>
      <c r="M505" t="n">
        <v>0</v>
      </c>
      <c r="N505" t="n">
        <v>0</v>
      </c>
      <c r="O505" t="n">
        <v>0</v>
      </c>
      <c r="P505" t="n">
        <v>0</v>
      </c>
      <c r="Q505" t="n">
        <v>0</v>
      </c>
      <c r="R505" s="2" t="inlineStr"/>
    </row>
    <row r="506" ht="15" customHeight="1">
      <c r="A506" t="inlineStr">
        <is>
          <t>A 53165-2021</t>
        </is>
      </c>
      <c r="B506" s="1" t="n">
        <v>44467</v>
      </c>
      <c r="C506" s="1" t="n">
        <v>46103</v>
      </c>
      <c r="D506" t="inlineStr">
        <is>
          <t>KRONOBERGS LÄN</t>
        </is>
      </c>
      <c r="E506" t="inlineStr">
        <is>
          <t>TINGSRYD</t>
        </is>
      </c>
      <c r="G506" t="n">
        <v>1.1</v>
      </c>
      <c r="H506" t="n">
        <v>0</v>
      </c>
      <c r="I506" t="n">
        <v>0</v>
      </c>
      <c r="J506" t="n">
        <v>0</v>
      </c>
      <c r="K506" t="n">
        <v>0</v>
      </c>
      <c r="L506" t="n">
        <v>0</v>
      </c>
      <c r="M506" t="n">
        <v>0</v>
      </c>
      <c r="N506" t="n">
        <v>0</v>
      </c>
      <c r="O506" t="n">
        <v>0</v>
      </c>
      <c r="P506" t="n">
        <v>0</v>
      </c>
      <c r="Q506" t="n">
        <v>0</v>
      </c>
      <c r="R506" s="2" t="inlineStr"/>
    </row>
    <row r="507" ht="15" customHeight="1">
      <c r="A507" t="inlineStr">
        <is>
          <t>A 19108-2021</t>
        </is>
      </c>
      <c r="B507" s="1" t="n">
        <v>44308</v>
      </c>
      <c r="C507" s="1" t="n">
        <v>46103</v>
      </c>
      <c r="D507" t="inlineStr">
        <is>
          <t>KRONOBERGS LÄN</t>
        </is>
      </c>
      <c r="E507" t="inlineStr">
        <is>
          <t>UPPVIDINGE</t>
        </is>
      </c>
      <c r="G507" t="n">
        <v>4.3</v>
      </c>
      <c r="H507" t="n">
        <v>0</v>
      </c>
      <c r="I507" t="n">
        <v>0</v>
      </c>
      <c r="J507" t="n">
        <v>0</v>
      </c>
      <c r="K507" t="n">
        <v>0</v>
      </c>
      <c r="L507" t="n">
        <v>0</v>
      </c>
      <c r="M507" t="n">
        <v>0</v>
      </c>
      <c r="N507" t="n">
        <v>0</v>
      </c>
      <c r="O507" t="n">
        <v>0</v>
      </c>
      <c r="P507" t="n">
        <v>0</v>
      </c>
      <c r="Q507" t="n">
        <v>0</v>
      </c>
      <c r="R507" s="2" t="inlineStr"/>
    </row>
    <row r="508" ht="15" customHeight="1">
      <c r="A508" t="inlineStr">
        <is>
          <t>A 16224-2021</t>
        </is>
      </c>
      <c r="B508" s="1" t="n">
        <v>44292</v>
      </c>
      <c r="C508" s="1" t="n">
        <v>46103</v>
      </c>
      <c r="D508" t="inlineStr">
        <is>
          <t>KRONOBERGS LÄN</t>
        </is>
      </c>
      <c r="E508" t="inlineStr">
        <is>
          <t>LJUNGBY</t>
        </is>
      </c>
      <c r="G508" t="n">
        <v>0.8</v>
      </c>
      <c r="H508" t="n">
        <v>0</v>
      </c>
      <c r="I508" t="n">
        <v>0</v>
      </c>
      <c r="J508" t="n">
        <v>0</v>
      </c>
      <c r="K508" t="n">
        <v>0</v>
      </c>
      <c r="L508" t="n">
        <v>0</v>
      </c>
      <c r="M508" t="n">
        <v>0</v>
      </c>
      <c r="N508" t="n">
        <v>0</v>
      </c>
      <c r="O508" t="n">
        <v>0</v>
      </c>
      <c r="P508" t="n">
        <v>0</v>
      </c>
      <c r="Q508" t="n">
        <v>0</v>
      </c>
      <c r="R508" s="2" t="inlineStr"/>
    </row>
    <row r="509" ht="15" customHeight="1">
      <c r="A509" t="inlineStr">
        <is>
          <t>A 28988-2022</t>
        </is>
      </c>
      <c r="B509" s="1" t="n">
        <v>44749</v>
      </c>
      <c r="C509" s="1" t="n">
        <v>46103</v>
      </c>
      <c r="D509" t="inlineStr">
        <is>
          <t>KRONOBERGS LÄN</t>
        </is>
      </c>
      <c r="E509" t="inlineStr">
        <is>
          <t>LJUNGBY</t>
        </is>
      </c>
      <c r="G509" t="n">
        <v>1.1</v>
      </c>
      <c r="H509" t="n">
        <v>0</v>
      </c>
      <c r="I509" t="n">
        <v>0</v>
      </c>
      <c r="J509" t="n">
        <v>0</v>
      </c>
      <c r="K509" t="n">
        <v>0</v>
      </c>
      <c r="L509" t="n">
        <v>0</v>
      </c>
      <c r="M509" t="n">
        <v>0</v>
      </c>
      <c r="N509" t="n">
        <v>0</v>
      </c>
      <c r="O509" t="n">
        <v>0</v>
      </c>
      <c r="P509" t="n">
        <v>0</v>
      </c>
      <c r="Q509" t="n">
        <v>0</v>
      </c>
      <c r="R509" s="2" t="inlineStr"/>
    </row>
    <row r="510" ht="15" customHeight="1">
      <c r="A510" t="inlineStr">
        <is>
          <t>A 31099-2022</t>
        </is>
      </c>
      <c r="B510" s="1" t="n">
        <v>44769.63366898148</v>
      </c>
      <c r="C510" s="1" t="n">
        <v>46103</v>
      </c>
      <c r="D510" t="inlineStr">
        <is>
          <t>KRONOBERGS LÄN</t>
        </is>
      </c>
      <c r="E510" t="inlineStr">
        <is>
          <t>VÄXJÖ</t>
        </is>
      </c>
      <c r="F510" t="inlineStr">
        <is>
          <t>Sveaskog</t>
        </is>
      </c>
      <c r="G510" t="n">
        <v>1</v>
      </c>
      <c r="H510" t="n">
        <v>0</v>
      </c>
      <c r="I510" t="n">
        <v>0</v>
      </c>
      <c r="J510" t="n">
        <v>0</v>
      </c>
      <c r="K510" t="n">
        <v>0</v>
      </c>
      <c r="L510" t="n">
        <v>0</v>
      </c>
      <c r="M510" t="n">
        <v>0</v>
      </c>
      <c r="N510" t="n">
        <v>0</v>
      </c>
      <c r="O510" t="n">
        <v>0</v>
      </c>
      <c r="P510" t="n">
        <v>0</v>
      </c>
      <c r="Q510" t="n">
        <v>0</v>
      </c>
      <c r="R510" s="2" t="inlineStr"/>
    </row>
    <row r="511" ht="15" customHeight="1">
      <c r="A511" t="inlineStr">
        <is>
          <t>A 53309-2021</t>
        </is>
      </c>
      <c r="B511" s="1" t="n">
        <v>44468</v>
      </c>
      <c r="C511" s="1" t="n">
        <v>46103</v>
      </c>
      <c r="D511" t="inlineStr">
        <is>
          <t>KRONOBERGS LÄN</t>
        </is>
      </c>
      <c r="E511" t="inlineStr">
        <is>
          <t>LJUNGBY</t>
        </is>
      </c>
      <c r="G511" t="n">
        <v>1.3</v>
      </c>
      <c r="H511" t="n">
        <v>0</v>
      </c>
      <c r="I511" t="n">
        <v>0</v>
      </c>
      <c r="J511" t="n">
        <v>0</v>
      </c>
      <c r="K511" t="n">
        <v>0</v>
      </c>
      <c r="L511" t="n">
        <v>0</v>
      </c>
      <c r="M511" t="n">
        <v>0</v>
      </c>
      <c r="N511" t="n">
        <v>0</v>
      </c>
      <c r="O511" t="n">
        <v>0</v>
      </c>
      <c r="P511" t="n">
        <v>0</v>
      </c>
      <c r="Q511" t="n">
        <v>0</v>
      </c>
      <c r="R511" s="2" t="inlineStr"/>
    </row>
    <row r="512" ht="15" customHeight="1">
      <c r="A512" t="inlineStr">
        <is>
          <t>A 51009-2021</t>
        </is>
      </c>
      <c r="B512" s="1" t="n">
        <v>44460</v>
      </c>
      <c r="C512" s="1" t="n">
        <v>46103</v>
      </c>
      <c r="D512" t="inlineStr">
        <is>
          <t>KRONOBERGS LÄN</t>
        </is>
      </c>
      <c r="E512" t="inlineStr">
        <is>
          <t>LJUNGBY</t>
        </is>
      </c>
      <c r="G512" t="n">
        <v>0.8</v>
      </c>
      <c r="H512" t="n">
        <v>0</v>
      </c>
      <c r="I512" t="n">
        <v>0</v>
      </c>
      <c r="J512" t="n">
        <v>0</v>
      </c>
      <c r="K512" t="n">
        <v>0</v>
      </c>
      <c r="L512" t="n">
        <v>0</v>
      </c>
      <c r="M512" t="n">
        <v>0</v>
      </c>
      <c r="N512" t="n">
        <v>0</v>
      </c>
      <c r="O512" t="n">
        <v>0</v>
      </c>
      <c r="P512" t="n">
        <v>0</v>
      </c>
      <c r="Q512" t="n">
        <v>0</v>
      </c>
      <c r="R512" s="2" t="inlineStr"/>
    </row>
    <row r="513" ht="15" customHeight="1">
      <c r="A513" t="inlineStr">
        <is>
          <t>A 16280-2021</t>
        </is>
      </c>
      <c r="B513" s="1" t="n">
        <v>44292</v>
      </c>
      <c r="C513" s="1" t="n">
        <v>46103</v>
      </c>
      <c r="D513" t="inlineStr">
        <is>
          <t>KRONOBERGS LÄN</t>
        </is>
      </c>
      <c r="E513" t="inlineStr">
        <is>
          <t>TINGSRYD</t>
        </is>
      </c>
      <c r="G513" t="n">
        <v>0.7</v>
      </c>
      <c r="H513" t="n">
        <v>0</v>
      </c>
      <c r="I513" t="n">
        <v>0</v>
      </c>
      <c r="J513" t="n">
        <v>0</v>
      </c>
      <c r="K513" t="n">
        <v>0</v>
      </c>
      <c r="L513" t="n">
        <v>0</v>
      </c>
      <c r="M513" t="n">
        <v>0</v>
      </c>
      <c r="N513" t="n">
        <v>0</v>
      </c>
      <c r="O513" t="n">
        <v>0</v>
      </c>
      <c r="P513" t="n">
        <v>0</v>
      </c>
      <c r="Q513" t="n">
        <v>0</v>
      </c>
      <c r="R513" s="2" t="inlineStr"/>
    </row>
    <row r="514" ht="15" customHeight="1">
      <c r="A514" t="inlineStr">
        <is>
          <t>A 45753-2021</t>
        </is>
      </c>
      <c r="B514" s="1" t="n">
        <v>44441</v>
      </c>
      <c r="C514" s="1" t="n">
        <v>46103</v>
      </c>
      <c r="D514" t="inlineStr">
        <is>
          <t>KRONOBERGS LÄN</t>
        </is>
      </c>
      <c r="E514" t="inlineStr">
        <is>
          <t>LJUNGBY</t>
        </is>
      </c>
      <c r="G514" t="n">
        <v>0.5</v>
      </c>
      <c r="H514" t="n">
        <v>0</v>
      </c>
      <c r="I514" t="n">
        <v>0</v>
      </c>
      <c r="J514" t="n">
        <v>0</v>
      </c>
      <c r="K514" t="n">
        <v>0</v>
      </c>
      <c r="L514" t="n">
        <v>0</v>
      </c>
      <c r="M514" t="n">
        <v>0</v>
      </c>
      <c r="N514" t="n">
        <v>0</v>
      </c>
      <c r="O514" t="n">
        <v>0</v>
      </c>
      <c r="P514" t="n">
        <v>0</v>
      </c>
      <c r="Q514" t="n">
        <v>0</v>
      </c>
      <c r="R514" s="2" t="inlineStr"/>
    </row>
    <row r="515" ht="15" customHeight="1">
      <c r="A515" t="inlineStr">
        <is>
          <t>A 45763-2021</t>
        </is>
      </c>
      <c r="B515" s="1" t="n">
        <v>44441</v>
      </c>
      <c r="C515" s="1" t="n">
        <v>46103</v>
      </c>
      <c r="D515" t="inlineStr">
        <is>
          <t>KRONOBERGS LÄN</t>
        </is>
      </c>
      <c r="E515" t="inlineStr">
        <is>
          <t>LJUNGBY</t>
        </is>
      </c>
      <c r="G515" t="n">
        <v>0.5</v>
      </c>
      <c r="H515" t="n">
        <v>0</v>
      </c>
      <c r="I515" t="n">
        <v>0</v>
      </c>
      <c r="J515" t="n">
        <v>0</v>
      </c>
      <c r="K515" t="n">
        <v>0</v>
      </c>
      <c r="L515" t="n">
        <v>0</v>
      </c>
      <c r="M515" t="n">
        <v>0</v>
      </c>
      <c r="N515" t="n">
        <v>0</v>
      </c>
      <c r="O515" t="n">
        <v>0</v>
      </c>
      <c r="P515" t="n">
        <v>0</v>
      </c>
      <c r="Q515" t="n">
        <v>0</v>
      </c>
      <c r="R515" s="2" t="inlineStr"/>
    </row>
    <row r="516" ht="15" customHeight="1">
      <c r="A516" t="inlineStr">
        <is>
          <t>A 42865-2021</t>
        </is>
      </c>
      <c r="B516" s="1" t="n">
        <v>44430.93283564815</v>
      </c>
      <c r="C516" s="1" t="n">
        <v>46103</v>
      </c>
      <c r="D516" t="inlineStr">
        <is>
          <t>KRONOBERGS LÄN</t>
        </is>
      </c>
      <c r="E516" t="inlineStr">
        <is>
          <t>UPPVIDINGE</t>
        </is>
      </c>
      <c r="G516" t="n">
        <v>0.8</v>
      </c>
      <c r="H516" t="n">
        <v>0</v>
      </c>
      <c r="I516" t="n">
        <v>0</v>
      </c>
      <c r="J516" t="n">
        <v>0</v>
      </c>
      <c r="K516" t="n">
        <v>0</v>
      </c>
      <c r="L516" t="n">
        <v>0</v>
      </c>
      <c r="M516" t="n">
        <v>0</v>
      </c>
      <c r="N516" t="n">
        <v>0</v>
      </c>
      <c r="O516" t="n">
        <v>0</v>
      </c>
      <c r="P516" t="n">
        <v>0</v>
      </c>
      <c r="Q516" t="n">
        <v>0</v>
      </c>
      <c r="R516" s="2" t="inlineStr"/>
    </row>
    <row r="517" ht="15" customHeight="1">
      <c r="A517" t="inlineStr">
        <is>
          <t>A 46518-2021</t>
        </is>
      </c>
      <c r="B517" s="1" t="n">
        <v>44445.44356481481</v>
      </c>
      <c r="C517" s="1" t="n">
        <v>46103</v>
      </c>
      <c r="D517" t="inlineStr">
        <is>
          <t>KRONOBERGS LÄN</t>
        </is>
      </c>
      <c r="E517" t="inlineStr">
        <is>
          <t>ALVESTA</t>
        </is>
      </c>
      <c r="G517" t="n">
        <v>0.7</v>
      </c>
      <c r="H517" t="n">
        <v>0</v>
      </c>
      <c r="I517" t="n">
        <v>0</v>
      </c>
      <c r="J517" t="n">
        <v>0</v>
      </c>
      <c r="K517" t="n">
        <v>0</v>
      </c>
      <c r="L517" t="n">
        <v>0</v>
      </c>
      <c r="M517" t="n">
        <v>0</v>
      </c>
      <c r="N517" t="n">
        <v>0</v>
      </c>
      <c r="O517" t="n">
        <v>0</v>
      </c>
      <c r="P517" t="n">
        <v>0</v>
      </c>
      <c r="Q517" t="n">
        <v>0</v>
      </c>
      <c r="R517" s="2" t="inlineStr"/>
    </row>
    <row r="518" ht="15" customHeight="1">
      <c r="A518" t="inlineStr">
        <is>
          <t>A 2096-2022</t>
        </is>
      </c>
      <c r="B518" s="1" t="n">
        <v>44577.67608796297</v>
      </c>
      <c r="C518" s="1" t="n">
        <v>46103</v>
      </c>
      <c r="D518" t="inlineStr">
        <is>
          <t>KRONOBERGS LÄN</t>
        </is>
      </c>
      <c r="E518" t="inlineStr">
        <is>
          <t>VÄXJÖ</t>
        </is>
      </c>
      <c r="G518" t="n">
        <v>2.5</v>
      </c>
      <c r="H518" t="n">
        <v>0</v>
      </c>
      <c r="I518" t="n">
        <v>0</v>
      </c>
      <c r="J518" t="n">
        <v>0</v>
      </c>
      <c r="K518" t="n">
        <v>0</v>
      </c>
      <c r="L518" t="n">
        <v>0</v>
      </c>
      <c r="M518" t="n">
        <v>0</v>
      </c>
      <c r="N518" t="n">
        <v>0</v>
      </c>
      <c r="O518" t="n">
        <v>0</v>
      </c>
      <c r="P518" t="n">
        <v>0</v>
      </c>
      <c r="Q518" t="n">
        <v>0</v>
      </c>
      <c r="R518" s="2" t="inlineStr"/>
    </row>
    <row r="519" ht="15" customHeight="1">
      <c r="A519" t="inlineStr">
        <is>
          <t>A 50989-2021</t>
        </is>
      </c>
      <c r="B519" s="1" t="n">
        <v>44460.73518518519</v>
      </c>
      <c r="C519" s="1" t="n">
        <v>46103</v>
      </c>
      <c r="D519" t="inlineStr">
        <is>
          <t>KRONOBERGS LÄN</t>
        </is>
      </c>
      <c r="E519" t="inlineStr">
        <is>
          <t>ÄLMHULT</t>
        </is>
      </c>
      <c r="G519" t="n">
        <v>0.6</v>
      </c>
      <c r="H519" t="n">
        <v>0</v>
      </c>
      <c r="I519" t="n">
        <v>0</v>
      </c>
      <c r="J519" t="n">
        <v>0</v>
      </c>
      <c r="K519" t="n">
        <v>0</v>
      </c>
      <c r="L519" t="n">
        <v>0</v>
      </c>
      <c r="M519" t="n">
        <v>0</v>
      </c>
      <c r="N519" t="n">
        <v>0</v>
      </c>
      <c r="O519" t="n">
        <v>0</v>
      </c>
      <c r="P519" t="n">
        <v>0</v>
      </c>
      <c r="Q519" t="n">
        <v>0</v>
      </c>
      <c r="R519" s="2" t="inlineStr"/>
    </row>
    <row r="520" ht="15" customHeight="1">
      <c r="A520" t="inlineStr">
        <is>
          <t>A 51004-2021</t>
        </is>
      </c>
      <c r="B520" s="1" t="n">
        <v>44460</v>
      </c>
      <c r="C520" s="1" t="n">
        <v>46103</v>
      </c>
      <c r="D520" t="inlineStr">
        <is>
          <t>KRONOBERGS LÄN</t>
        </is>
      </c>
      <c r="E520" t="inlineStr">
        <is>
          <t>LJUNGBY</t>
        </is>
      </c>
      <c r="G520" t="n">
        <v>0.5</v>
      </c>
      <c r="H520" t="n">
        <v>0</v>
      </c>
      <c r="I520" t="n">
        <v>0</v>
      </c>
      <c r="J520" t="n">
        <v>0</v>
      </c>
      <c r="K520" t="n">
        <v>0</v>
      </c>
      <c r="L520" t="n">
        <v>0</v>
      </c>
      <c r="M520" t="n">
        <v>0</v>
      </c>
      <c r="N520" t="n">
        <v>0</v>
      </c>
      <c r="O520" t="n">
        <v>0</v>
      </c>
      <c r="P520" t="n">
        <v>0</v>
      </c>
      <c r="Q520" t="n">
        <v>0</v>
      </c>
      <c r="R520" s="2" t="inlineStr"/>
    </row>
    <row r="521" ht="15" customHeight="1">
      <c r="A521" t="inlineStr">
        <is>
          <t>A 38053-2021</t>
        </is>
      </c>
      <c r="B521" s="1" t="n">
        <v>44404</v>
      </c>
      <c r="C521" s="1" t="n">
        <v>46103</v>
      </c>
      <c r="D521" t="inlineStr">
        <is>
          <t>KRONOBERGS LÄN</t>
        </is>
      </c>
      <c r="E521" t="inlineStr">
        <is>
          <t>LJUNGBY</t>
        </is>
      </c>
      <c r="G521" t="n">
        <v>1.9</v>
      </c>
      <c r="H521" t="n">
        <v>0</v>
      </c>
      <c r="I521" t="n">
        <v>0</v>
      </c>
      <c r="J521" t="n">
        <v>0</v>
      </c>
      <c r="K521" t="n">
        <v>0</v>
      </c>
      <c r="L521" t="n">
        <v>0</v>
      </c>
      <c r="M521" t="n">
        <v>0</v>
      </c>
      <c r="N521" t="n">
        <v>0</v>
      </c>
      <c r="O521" t="n">
        <v>0</v>
      </c>
      <c r="P521" t="n">
        <v>0</v>
      </c>
      <c r="Q521" t="n">
        <v>0</v>
      </c>
      <c r="R521" s="2" t="inlineStr"/>
    </row>
    <row r="522" ht="15" customHeight="1">
      <c r="A522" t="inlineStr">
        <is>
          <t>A 34669-2022</t>
        </is>
      </c>
      <c r="B522" s="1" t="n">
        <v>44795.48144675926</v>
      </c>
      <c r="C522" s="1" t="n">
        <v>46103</v>
      </c>
      <c r="D522" t="inlineStr">
        <is>
          <t>KRONOBERGS LÄN</t>
        </is>
      </c>
      <c r="E522" t="inlineStr">
        <is>
          <t>UPPVIDINGE</t>
        </is>
      </c>
      <c r="G522" t="n">
        <v>0.6</v>
      </c>
      <c r="H522" t="n">
        <v>0</v>
      </c>
      <c r="I522" t="n">
        <v>0</v>
      </c>
      <c r="J522" t="n">
        <v>0</v>
      </c>
      <c r="K522" t="n">
        <v>0</v>
      </c>
      <c r="L522" t="n">
        <v>0</v>
      </c>
      <c r="M522" t="n">
        <v>0</v>
      </c>
      <c r="N522" t="n">
        <v>0</v>
      </c>
      <c r="O522" t="n">
        <v>0</v>
      </c>
      <c r="P522" t="n">
        <v>0</v>
      </c>
      <c r="Q522" t="n">
        <v>0</v>
      </c>
      <c r="R522" s="2" t="inlineStr"/>
    </row>
    <row r="523" ht="15" customHeight="1">
      <c r="A523" t="inlineStr">
        <is>
          <t>A 48698-2021</t>
        </is>
      </c>
      <c r="B523" s="1" t="n">
        <v>44452.57803240741</v>
      </c>
      <c r="C523" s="1" t="n">
        <v>46103</v>
      </c>
      <c r="D523" t="inlineStr">
        <is>
          <t>KRONOBERGS LÄN</t>
        </is>
      </c>
      <c r="E523" t="inlineStr">
        <is>
          <t>TINGSRYD</t>
        </is>
      </c>
      <c r="G523" t="n">
        <v>1.5</v>
      </c>
      <c r="H523" t="n">
        <v>0</v>
      </c>
      <c r="I523" t="n">
        <v>0</v>
      </c>
      <c r="J523" t="n">
        <v>0</v>
      </c>
      <c r="K523" t="n">
        <v>0</v>
      </c>
      <c r="L523" t="n">
        <v>0</v>
      </c>
      <c r="M523" t="n">
        <v>0</v>
      </c>
      <c r="N523" t="n">
        <v>0</v>
      </c>
      <c r="O523" t="n">
        <v>0</v>
      </c>
      <c r="P523" t="n">
        <v>0</v>
      </c>
      <c r="Q523" t="n">
        <v>0</v>
      </c>
      <c r="R523" s="2" t="inlineStr"/>
    </row>
    <row r="524" ht="15" customHeight="1">
      <c r="A524" t="inlineStr">
        <is>
          <t>A 33663-2022</t>
        </is>
      </c>
      <c r="B524" s="1" t="n">
        <v>44789</v>
      </c>
      <c r="C524" s="1" t="n">
        <v>46103</v>
      </c>
      <c r="D524" t="inlineStr">
        <is>
          <t>KRONOBERGS LÄN</t>
        </is>
      </c>
      <c r="E524" t="inlineStr">
        <is>
          <t>TINGSRYD</t>
        </is>
      </c>
      <c r="G524" t="n">
        <v>0.5</v>
      </c>
      <c r="H524" t="n">
        <v>0</v>
      </c>
      <c r="I524" t="n">
        <v>0</v>
      </c>
      <c r="J524" t="n">
        <v>0</v>
      </c>
      <c r="K524" t="n">
        <v>0</v>
      </c>
      <c r="L524" t="n">
        <v>0</v>
      </c>
      <c r="M524" t="n">
        <v>0</v>
      </c>
      <c r="N524" t="n">
        <v>0</v>
      </c>
      <c r="O524" t="n">
        <v>0</v>
      </c>
      <c r="P524" t="n">
        <v>0</v>
      </c>
      <c r="Q524" t="n">
        <v>0</v>
      </c>
      <c r="R524" s="2" t="inlineStr"/>
    </row>
    <row r="525" ht="15" customHeight="1">
      <c r="A525" t="inlineStr">
        <is>
          <t>A 15165-2021</t>
        </is>
      </c>
      <c r="B525" s="1" t="n">
        <v>44284</v>
      </c>
      <c r="C525" s="1" t="n">
        <v>46103</v>
      </c>
      <c r="D525" t="inlineStr">
        <is>
          <t>KRONOBERGS LÄN</t>
        </is>
      </c>
      <c r="E525" t="inlineStr">
        <is>
          <t>ÄLMHULT</t>
        </is>
      </c>
      <c r="G525" t="n">
        <v>0.5</v>
      </c>
      <c r="H525" t="n">
        <v>0</v>
      </c>
      <c r="I525" t="n">
        <v>0</v>
      </c>
      <c r="J525" t="n">
        <v>0</v>
      </c>
      <c r="K525" t="n">
        <v>0</v>
      </c>
      <c r="L525" t="n">
        <v>0</v>
      </c>
      <c r="M525" t="n">
        <v>0</v>
      </c>
      <c r="N525" t="n">
        <v>0</v>
      </c>
      <c r="O525" t="n">
        <v>0</v>
      </c>
      <c r="P525" t="n">
        <v>0</v>
      </c>
      <c r="Q525" t="n">
        <v>0</v>
      </c>
      <c r="R525" s="2" t="inlineStr"/>
    </row>
    <row r="526" ht="15" customHeight="1">
      <c r="A526" t="inlineStr">
        <is>
          <t>A 30111-2022</t>
        </is>
      </c>
      <c r="B526" s="1" t="n">
        <v>44757.40570601852</v>
      </c>
      <c r="C526" s="1" t="n">
        <v>46103</v>
      </c>
      <c r="D526" t="inlineStr">
        <is>
          <t>KRONOBERGS LÄN</t>
        </is>
      </c>
      <c r="E526" t="inlineStr">
        <is>
          <t>UPPVIDINGE</t>
        </is>
      </c>
      <c r="F526" t="inlineStr">
        <is>
          <t>Sveaskog</t>
        </is>
      </c>
      <c r="G526" t="n">
        <v>1.1</v>
      </c>
      <c r="H526" t="n">
        <v>0</v>
      </c>
      <c r="I526" t="n">
        <v>0</v>
      </c>
      <c r="J526" t="n">
        <v>0</v>
      </c>
      <c r="K526" t="n">
        <v>0</v>
      </c>
      <c r="L526" t="n">
        <v>0</v>
      </c>
      <c r="M526" t="n">
        <v>0</v>
      </c>
      <c r="N526" t="n">
        <v>0</v>
      </c>
      <c r="O526" t="n">
        <v>0</v>
      </c>
      <c r="P526" t="n">
        <v>0</v>
      </c>
      <c r="Q526" t="n">
        <v>0</v>
      </c>
      <c r="R526" s="2" t="inlineStr"/>
    </row>
    <row r="527" ht="15" customHeight="1">
      <c r="A527" t="inlineStr">
        <is>
          <t>A 40697-2022</t>
        </is>
      </c>
      <c r="B527" s="1" t="n">
        <v>44820</v>
      </c>
      <c r="C527" s="1" t="n">
        <v>46103</v>
      </c>
      <c r="D527" t="inlineStr">
        <is>
          <t>KRONOBERGS LÄN</t>
        </is>
      </c>
      <c r="E527" t="inlineStr">
        <is>
          <t>VÄXJÖ</t>
        </is>
      </c>
      <c r="G527" t="n">
        <v>5.1</v>
      </c>
      <c r="H527" t="n">
        <v>0</v>
      </c>
      <c r="I527" t="n">
        <v>0</v>
      </c>
      <c r="J527" t="n">
        <v>0</v>
      </c>
      <c r="K527" t="n">
        <v>0</v>
      </c>
      <c r="L527" t="n">
        <v>0</v>
      </c>
      <c r="M527" t="n">
        <v>0</v>
      </c>
      <c r="N527" t="n">
        <v>0</v>
      </c>
      <c r="O527" t="n">
        <v>0</v>
      </c>
      <c r="P527" t="n">
        <v>0</v>
      </c>
      <c r="Q527" t="n">
        <v>0</v>
      </c>
      <c r="R527" s="2" t="inlineStr"/>
    </row>
    <row r="528" ht="15" customHeight="1">
      <c r="A528" t="inlineStr">
        <is>
          <t>A 21932-2022</t>
        </is>
      </c>
      <c r="B528" s="1" t="n">
        <v>44711.47668981482</v>
      </c>
      <c r="C528" s="1" t="n">
        <v>46103</v>
      </c>
      <c r="D528" t="inlineStr">
        <is>
          <t>KRONOBERGS LÄN</t>
        </is>
      </c>
      <c r="E528" t="inlineStr">
        <is>
          <t>VÄXJÖ</t>
        </is>
      </c>
      <c r="G528" t="n">
        <v>0.6</v>
      </c>
      <c r="H528" t="n">
        <v>0</v>
      </c>
      <c r="I528" t="n">
        <v>0</v>
      </c>
      <c r="J528" t="n">
        <v>0</v>
      </c>
      <c r="K528" t="n">
        <v>0</v>
      </c>
      <c r="L528" t="n">
        <v>0</v>
      </c>
      <c r="M528" t="n">
        <v>0</v>
      </c>
      <c r="N528" t="n">
        <v>0</v>
      </c>
      <c r="O528" t="n">
        <v>0</v>
      </c>
      <c r="P528" t="n">
        <v>0</v>
      </c>
      <c r="Q528" t="n">
        <v>0</v>
      </c>
      <c r="R528" s="2" t="inlineStr"/>
    </row>
    <row r="529" ht="15" customHeight="1">
      <c r="A529" t="inlineStr">
        <is>
          <t>A 46354-2021</t>
        </is>
      </c>
      <c r="B529" s="1" t="n">
        <v>44442</v>
      </c>
      <c r="C529" s="1" t="n">
        <v>46103</v>
      </c>
      <c r="D529" t="inlineStr">
        <is>
          <t>KRONOBERGS LÄN</t>
        </is>
      </c>
      <c r="E529" t="inlineStr">
        <is>
          <t>ALVESTA</t>
        </is>
      </c>
      <c r="G529" t="n">
        <v>1</v>
      </c>
      <c r="H529" t="n">
        <v>0</v>
      </c>
      <c r="I529" t="n">
        <v>0</v>
      </c>
      <c r="J529" t="n">
        <v>0</v>
      </c>
      <c r="K529" t="n">
        <v>0</v>
      </c>
      <c r="L529" t="n">
        <v>0</v>
      </c>
      <c r="M529" t="n">
        <v>0</v>
      </c>
      <c r="N529" t="n">
        <v>0</v>
      </c>
      <c r="O529" t="n">
        <v>0</v>
      </c>
      <c r="P529" t="n">
        <v>0</v>
      </c>
      <c r="Q529" t="n">
        <v>0</v>
      </c>
      <c r="R529" s="2" t="inlineStr"/>
    </row>
    <row r="530" ht="15" customHeight="1">
      <c r="A530" t="inlineStr">
        <is>
          <t>A 63571-2021</t>
        </is>
      </c>
      <c r="B530" s="1" t="n">
        <v>44508</v>
      </c>
      <c r="C530" s="1" t="n">
        <v>46103</v>
      </c>
      <c r="D530" t="inlineStr">
        <is>
          <t>KRONOBERGS LÄN</t>
        </is>
      </c>
      <c r="E530" t="inlineStr">
        <is>
          <t>TINGSRYD</t>
        </is>
      </c>
      <c r="G530" t="n">
        <v>2.5</v>
      </c>
      <c r="H530" t="n">
        <v>0</v>
      </c>
      <c r="I530" t="n">
        <v>0</v>
      </c>
      <c r="J530" t="n">
        <v>0</v>
      </c>
      <c r="K530" t="n">
        <v>0</v>
      </c>
      <c r="L530" t="n">
        <v>0</v>
      </c>
      <c r="M530" t="n">
        <v>0</v>
      </c>
      <c r="N530" t="n">
        <v>0</v>
      </c>
      <c r="O530" t="n">
        <v>0</v>
      </c>
      <c r="P530" t="n">
        <v>0</v>
      </c>
      <c r="Q530" t="n">
        <v>0</v>
      </c>
      <c r="R530" s="2" t="inlineStr"/>
    </row>
    <row r="531" ht="15" customHeight="1">
      <c r="A531" t="inlineStr">
        <is>
          <t>A 54891-2021</t>
        </is>
      </c>
      <c r="B531" s="1" t="n">
        <v>44474</v>
      </c>
      <c r="C531" s="1" t="n">
        <v>46103</v>
      </c>
      <c r="D531" t="inlineStr">
        <is>
          <t>KRONOBERGS LÄN</t>
        </is>
      </c>
      <c r="E531" t="inlineStr">
        <is>
          <t>LJUNGBY</t>
        </is>
      </c>
      <c r="G531" t="n">
        <v>4.5</v>
      </c>
      <c r="H531" t="n">
        <v>0</v>
      </c>
      <c r="I531" t="n">
        <v>0</v>
      </c>
      <c r="J531" t="n">
        <v>0</v>
      </c>
      <c r="K531" t="n">
        <v>0</v>
      </c>
      <c r="L531" t="n">
        <v>0</v>
      </c>
      <c r="M531" t="n">
        <v>0</v>
      </c>
      <c r="N531" t="n">
        <v>0</v>
      </c>
      <c r="O531" t="n">
        <v>0</v>
      </c>
      <c r="P531" t="n">
        <v>0</v>
      </c>
      <c r="Q531" t="n">
        <v>0</v>
      </c>
      <c r="R531" s="2" t="inlineStr"/>
    </row>
    <row r="532" ht="15" customHeight="1">
      <c r="A532" t="inlineStr">
        <is>
          <t>A 54972-2021</t>
        </is>
      </c>
      <c r="B532" s="1" t="n">
        <v>44474</v>
      </c>
      <c r="C532" s="1" t="n">
        <v>46103</v>
      </c>
      <c r="D532" t="inlineStr">
        <is>
          <t>KRONOBERGS LÄN</t>
        </is>
      </c>
      <c r="E532" t="inlineStr">
        <is>
          <t>VÄXJÖ</t>
        </is>
      </c>
      <c r="G532" t="n">
        <v>0.6</v>
      </c>
      <c r="H532" t="n">
        <v>0</v>
      </c>
      <c r="I532" t="n">
        <v>0</v>
      </c>
      <c r="J532" t="n">
        <v>0</v>
      </c>
      <c r="K532" t="n">
        <v>0</v>
      </c>
      <c r="L532" t="n">
        <v>0</v>
      </c>
      <c r="M532" t="n">
        <v>0</v>
      </c>
      <c r="N532" t="n">
        <v>0</v>
      </c>
      <c r="O532" t="n">
        <v>0</v>
      </c>
      <c r="P532" t="n">
        <v>0</v>
      </c>
      <c r="Q532" t="n">
        <v>0</v>
      </c>
      <c r="R532" s="2" t="inlineStr"/>
    </row>
    <row r="533" ht="15" customHeight="1">
      <c r="A533" t="inlineStr">
        <is>
          <t>A 16162-2021</t>
        </is>
      </c>
      <c r="B533" s="1" t="n">
        <v>44292.38614583333</v>
      </c>
      <c r="C533" s="1" t="n">
        <v>46103</v>
      </c>
      <c r="D533" t="inlineStr">
        <is>
          <t>KRONOBERGS LÄN</t>
        </is>
      </c>
      <c r="E533" t="inlineStr">
        <is>
          <t>VÄXJÖ</t>
        </is>
      </c>
      <c r="G533" t="n">
        <v>0.9</v>
      </c>
      <c r="H533" t="n">
        <v>0</v>
      </c>
      <c r="I533" t="n">
        <v>0</v>
      </c>
      <c r="J533" t="n">
        <v>0</v>
      </c>
      <c r="K533" t="n">
        <v>0</v>
      </c>
      <c r="L533" t="n">
        <v>0</v>
      </c>
      <c r="M533" t="n">
        <v>0</v>
      </c>
      <c r="N533" t="n">
        <v>0</v>
      </c>
      <c r="O533" t="n">
        <v>0</v>
      </c>
      <c r="P533" t="n">
        <v>0</v>
      </c>
      <c r="Q533" t="n">
        <v>0</v>
      </c>
      <c r="R533" s="2" t="inlineStr"/>
    </row>
    <row r="534" ht="15" customHeight="1">
      <c r="A534" t="inlineStr">
        <is>
          <t>A 61084-2021</t>
        </is>
      </c>
      <c r="B534" s="1" t="n">
        <v>44498.27439814815</v>
      </c>
      <c r="C534" s="1" t="n">
        <v>46103</v>
      </c>
      <c r="D534" t="inlineStr">
        <is>
          <t>KRONOBERGS LÄN</t>
        </is>
      </c>
      <c r="E534" t="inlineStr">
        <is>
          <t>ÄLMHULT</t>
        </is>
      </c>
      <c r="G534" t="n">
        <v>1</v>
      </c>
      <c r="H534" t="n">
        <v>0</v>
      </c>
      <c r="I534" t="n">
        <v>0</v>
      </c>
      <c r="J534" t="n">
        <v>0</v>
      </c>
      <c r="K534" t="n">
        <v>0</v>
      </c>
      <c r="L534" t="n">
        <v>0</v>
      </c>
      <c r="M534" t="n">
        <v>0</v>
      </c>
      <c r="N534" t="n">
        <v>0</v>
      </c>
      <c r="O534" t="n">
        <v>0</v>
      </c>
      <c r="P534" t="n">
        <v>0</v>
      </c>
      <c r="Q534" t="n">
        <v>0</v>
      </c>
      <c r="R534" s="2" t="inlineStr"/>
    </row>
    <row r="535" ht="15" customHeight="1">
      <c r="A535" t="inlineStr">
        <is>
          <t>A 46170-2022</t>
        </is>
      </c>
      <c r="B535" s="1" t="n">
        <v>44847.48289351852</v>
      </c>
      <c r="C535" s="1" t="n">
        <v>46103</v>
      </c>
      <c r="D535" t="inlineStr">
        <is>
          <t>KRONOBERGS LÄN</t>
        </is>
      </c>
      <c r="E535" t="inlineStr">
        <is>
          <t>ÄLMHULT</t>
        </is>
      </c>
      <c r="G535" t="n">
        <v>0.5</v>
      </c>
      <c r="H535" t="n">
        <v>0</v>
      </c>
      <c r="I535" t="n">
        <v>0</v>
      </c>
      <c r="J535" t="n">
        <v>0</v>
      </c>
      <c r="K535" t="n">
        <v>0</v>
      </c>
      <c r="L535" t="n">
        <v>0</v>
      </c>
      <c r="M535" t="n">
        <v>0</v>
      </c>
      <c r="N535" t="n">
        <v>0</v>
      </c>
      <c r="O535" t="n">
        <v>0</v>
      </c>
      <c r="P535" t="n">
        <v>0</v>
      </c>
      <c r="Q535" t="n">
        <v>0</v>
      </c>
      <c r="R535" s="2" t="inlineStr"/>
    </row>
    <row r="536" ht="15" customHeight="1">
      <c r="A536" t="inlineStr">
        <is>
          <t>A 53683-2022</t>
        </is>
      </c>
      <c r="B536" s="1" t="n">
        <v>44880.28204861111</v>
      </c>
      <c r="C536" s="1" t="n">
        <v>46103</v>
      </c>
      <c r="D536" t="inlineStr">
        <is>
          <t>KRONOBERGS LÄN</t>
        </is>
      </c>
      <c r="E536" t="inlineStr">
        <is>
          <t>VÄXJÖ</t>
        </is>
      </c>
      <c r="G536" t="n">
        <v>0.7</v>
      </c>
      <c r="H536" t="n">
        <v>0</v>
      </c>
      <c r="I536" t="n">
        <v>0</v>
      </c>
      <c r="J536" t="n">
        <v>0</v>
      </c>
      <c r="K536" t="n">
        <v>0</v>
      </c>
      <c r="L536" t="n">
        <v>0</v>
      </c>
      <c r="M536" t="n">
        <v>0</v>
      </c>
      <c r="N536" t="n">
        <v>0</v>
      </c>
      <c r="O536" t="n">
        <v>0</v>
      </c>
      <c r="P536" t="n">
        <v>0</v>
      </c>
      <c r="Q536" t="n">
        <v>0</v>
      </c>
      <c r="R536" s="2" t="inlineStr"/>
    </row>
    <row r="537" ht="15" customHeight="1">
      <c r="A537" t="inlineStr">
        <is>
          <t>A 63420-2021</t>
        </is>
      </c>
      <c r="B537" s="1" t="n">
        <v>44508.56681712963</v>
      </c>
      <c r="C537" s="1" t="n">
        <v>46103</v>
      </c>
      <c r="D537" t="inlineStr">
        <is>
          <t>KRONOBERGS LÄN</t>
        </is>
      </c>
      <c r="E537" t="inlineStr">
        <is>
          <t>VÄXJÖ</t>
        </is>
      </c>
      <c r="G537" t="n">
        <v>2.8</v>
      </c>
      <c r="H537" t="n">
        <v>0</v>
      </c>
      <c r="I537" t="n">
        <v>0</v>
      </c>
      <c r="J537" t="n">
        <v>0</v>
      </c>
      <c r="K537" t="n">
        <v>0</v>
      </c>
      <c r="L537" t="n">
        <v>0</v>
      </c>
      <c r="M537" t="n">
        <v>0</v>
      </c>
      <c r="N537" t="n">
        <v>0</v>
      </c>
      <c r="O537" t="n">
        <v>0</v>
      </c>
      <c r="P537" t="n">
        <v>0</v>
      </c>
      <c r="Q537" t="n">
        <v>0</v>
      </c>
      <c r="R537" s="2" t="inlineStr"/>
    </row>
    <row r="538" ht="15" customHeight="1">
      <c r="A538" t="inlineStr">
        <is>
          <t>A 37336-2021</t>
        </is>
      </c>
      <c r="B538" s="1" t="n">
        <v>44397</v>
      </c>
      <c r="C538" s="1" t="n">
        <v>46103</v>
      </c>
      <c r="D538" t="inlineStr">
        <is>
          <t>KRONOBERGS LÄN</t>
        </is>
      </c>
      <c r="E538" t="inlineStr">
        <is>
          <t>ÄLMHULT</t>
        </is>
      </c>
      <c r="G538" t="n">
        <v>1.8</v>
      </c>
      <c r="H538" t="n">
        <v>0</v>
      </c>
      <c r="I538" t="n">
        <v>0</v>
      </c>
      <c r="J538" t="n">
        <v>0</v>
      </c>
      <c r="K538" t="n">
        <v>0</v>
      </c>
      <c r="L538" t="n">
        <v>0</v>
      </c>
      <c r="M538" t="n">
        <v>0</v>
      </c>
      <c r="N538" t="n">
        <v>0</v>
      </c>
      <c r="O538" t="n">
        <v>0</v>
      </c>
      <c r="P538" t="n">
        <v>0</v>
      </c>
      <c r="Q538" t="n">
        <v>0</v>
      </c>
      <c r="R538" s="2" t="inlineStr"/>
    </row>
    <row r="539" ht="15" customHeight="1">
      <c r="A539" t="inlineStr">
        <is>
          <t>A 60233-2021</t>
        </is>
      </c>
      <c r="B539" s="1" t="n">
        <v>44495.62099537037</v>
      </c>
      <c r="C539" s="1" t="n">
        <v>46103</v>
      </c>
      <c r="D539" t="inlineStr">
        <is>
          <t>KRONOBERGS LÄN</t>
        </is>
      </c>
      <c r="E539" t="inlineStr">
        <is>
          <t>VÄXJÖ</t>
        </is>
      </c>
      <c r="G539" t="n">
        <v>0.4</v>
      </c>
      <c r="H539" t="n">
        <v>0</v>
      </c>
      <c r="I539" t="n">
        <v>0</v>
      </c>
      <c r="J539" t="n">
        <v>0</v>
      </c>
      <c r="K539" t="n">
        <v>0</v>
      </c>
      <c r="L539" t="n">
        <v>0</v>
      </c>
      <c r="M539" t="n">
        <v>0</v>
      </c>
      <c r="N539" t="n">
        <v>0</v>
      </c>
      <c r="O539" t="n">
        <v>0</v>
      </c>
      <c r="P539" t="n">
        <v>0</v>
      </c>
      <c r="Q539" t="n">
        <v>0</v>
      </c>
      <c r="R539" s="2" t="inlineStr"/>
    </row>
    <row r="540" ht="15" customHeight="1">
      <c r="A540" t="inlineStr">
        <is>
          <t>A 60237-2021</t>
        </is>
      </c>
      <c r="B540" s="1" t="n">
        <v>44495.63184027778</v>
      </c>
      <c r="C540" s="1" t="n">
        <v>46103</v>
      </c>
      <c r="D540" t="inlineStr">
        <is>
          <t>KRONOBERGS LÄN</t>
        </is>
      </c>
      <c r="E540" t="inlineStr">
        <is>
          <t>MARKARYD</t>
        </is>
      </c>
      <c r="G540" t="n">
        <v>0.6</v>
      </c>
      <c r="H540" t="n">
        <v>0</v>
      </c>
      <c r="I540" t="n">
        <v>0</v>
      </c>
      <c r="J540" t="n">
        <v>0</v>
      </c>
      <c r="K540" t="n">
        <v>0</v>
      </c>
      <c r="L540" t="n">
        <v>0</v>
      </c>
      <c r="M540" t="n">
        <v>0</v>
      </c>
      <c r="N540" t="n">
        <v>0</v>
      </c>
      <c r="O540" t="n">
        <v>0</v>
      </c>
      <c r="P540" t="n">
        <v>0</v>
      </c>
      <c r="Q540" t="n">
        <v>0</v>
      </c>
      <c r="R540" s="2" t="inlineStr"/>
    </row>
    <row r="541" ht="15" customHeight="1">
      <c r="A541" t="inlineStr">
        <is>
          <t>A 53777-2022</t>
        </is>
      </c>
      <c r="B541" s="1" t="n">
        <v>44880.48260416667</v>
      </c>
      <c r="C541" s="1" t="n">
        <v>46103</v>
      </c>
      <c r="D541" t="inlineStr">
        <is>
          <t>KRONOBERGS LÄN</t>
        </is>
      </c>
      <c r="E541" t="inlineStr">
        <is>
          <t>LJUNGBY</t>
        </is>
      </c>
      <c r="G541" t="n">
        <v>0.5</v>
      </c>
      <c r="H541" t="n">
        <v>0</v>
      </c>
      <c r="I541" t="n">
        <v>0</v>
      </c>
      <c r="J541" t="n">
        <v>0</v>
      </c>
      <c r="K541" t="n">
        <v>0</v>
      </c>
      <c r="L541" t="n">
        <v>0</v>
      </c>
      <c r="M541" t="n">
        <v>0</v>
      </c>
      <c r="N541" t="n">
        <v>0</v>
      </c>
      <c r="O541" t="n">
        <v>0</v>
      </c>
      <c r="P541" t="n">
        <v>0</v>
      </c>
      <c r="Q541" t="n">
        <v>0</v>
      </c>
      <c r="R541" s="2" t="inlineStr"/>
    </row>
    <row r="542" ht="15" customHeight="1">
      <c r="A542" t="inlineStr">
        <is>
          <t>A 43546-2022</t>
        </is>
      </c>
      <c r="B542" s="1" t="n">
        <v>44837.42782407408</v>
      </c>
      <c r="C542" s="1" t="n">
        <v>46103</v>
      </c>
      <c r="D542" t="inlineStr">
        <is>
          <t>KRONOBERGS LÄN</t>
        </is>
      </c>
      <c r="E542" t="inlineStr">
        <is>
          <t>LJUNGBY</t>
        </is>
      </c>
      <c r="G542" t="n">
        <v>0.6</v>
      </c>
      <c r="H542" t="n">
        <v>0</v>
      </c>
      <c r="I542" t="n">
        <v>0</v>
      </c>
      <c r="J542" t="n">
        <v>0</v>
      </c>
      <c r="K542" t="n">
        <v>0</v>
      </c>
      <c r="L542" t="n">
        <v>0</v>
      </c>
      <c r="M542" t="n">
        <v>0</v>
      </c>
      <c r="N542" t="n">
        <v>0</v>
      </c>
      <c r="O542" t="n">
        <v>0</v>
      </c>
      <c r="P542" t="n">
        <v>0</v>
      </c>
      <c r="Q542" t="n">
        <v>0</v>
      </c>
      <c r="R542" s="2" t="inlineStr"/>
    </row>
    <row r="543" ht="15" customHeight="1">
      <c r="A543" t="inlineStr">
        <is>
          <t>A 40563-2022</t>
        </is>
      </c>
      <c r="B543" s="1" t="n">
        <v>44823.67513888889</v>
      </c>
      <c r="C543" s="1" t="n">
        <v>46103</v>
      </c>
      <c r="D543" t="inlineStr">
        <is>
          <t>KRONOBERGS LÄN</t>
        </is>
      </c>
      <c r="E543" t="inlineStr">
        <is>
          <t>ALVESTA</t>
        </is>
      </c>
      <c r="G543" t="n">
        <v>3</v>
      </c>
      <c r="H543" t="n">
        <v>0</v>
      </c>
      <c r="I543" t="n">
        <v>0</v>
      </c>
      <c r="J543" t="n">
        <v>0</v>
      </c>
      <c r="K543" t="n">
        <v>0</v>
      </c>
      <c r="L543" t="n">
        <v>0</v>
      </c>
      <c r="M543" t="n">
        <v>0</v>
      </c>
      <c r="N543" t="n">
        <v>0</v>
      </c>
      <c r="O543" t="n">
        <v>0</v>
      </c>
      <c r="P543" t="n">
        <v>0</v>
      </c>
      <c r="Q543" t="n">
        <v>0</v>
      </c>
      <c r="R543" s="2" t="inlineStr"/>
    </row>
    <row r="544" ht="15" customHeight="1">
      <c r="A544" t="inlineStr">
        <is>
          <t>A 45956-2022</t>
        </is>
      </c>
      <c r="B544" s="1" t="n">
        <v>44846.66394675926</v>
      </c>
      <c r="C544" s="1" t="n">
        <v>46103</v>
      </c>
      <c r="D544" t="inlineStr">
        <is>
          <t>KRONOBERGS LÄN</t>
        </is>
      </c>
      <c r="E544" t="inlineStr">
        <is>
          <t>LESSEBO</t>
        </is>
      </c>
      <c r="G544" t="n">
        <v>0.6</v>
      </c>
      <c r="H544" t="n">
        <v>0</v>
      </c>
      <c r="I544" t="n">
        <v>0</v>
      </c>
      <c r="J544" t="n">
        <v>0</v>
      </c>
      <c r="K544" t="n">
        <v>0</v>
      </c>
      <c r="L544" t="n">
        <v>0</v>
      </c>
      <c r="M544" t="n">
        <v>0</v>
      </c>
      <c r="N544" t="n">
        <v>0</v>
      </c>
      <c r="O544" t="n">
        <v>0</v>
      </c>
      <c r="P544" t="n">
        <v>0</v>
      </c>
      <c r="Q544" t="n">
        <v>0</v>
      </c>
      <c r="R544" s="2" t="inlineStr"/>
    </row>
    <row r="545" ht="15" customHeight="1">
      <c r="A545" t="inlineStr">
        <is>
          <t>A 64428-2021</t>
        </is>
      </c>
      <c r="B545" s="1" t="n">
        <v>44511</v>
      </c>
      <c r="C545" s="1" t="n">
        <v>46103</v>
      </c>
      <c r="D545" t="inlineStr">
        <is>
          <t>KRONOBERGS LÄN</t>
        </is>
      </c>
      <c r="E545" t="inlineStr">
        <is>
          <t>ALVESTA</t>
        </is>
      </c>
      <c r="G545" t="n">
        <v>0.9</v>
      </c>
      <c r="H545" t="n">
        <v>0</v>
      </c>
      <c r="I545" t="n">
        <v>0</v>
      </c>
      <c r="J545" t="n">
        <v>0</v>
      </c>
      <c r="K545" t="n">
        <v>0</v>
      </c>
      <c r="L545" t="n">
        <v>0</v>
      </c>
      <c r="M545" t="n">
        <v>0</v>
      </c>
      <c r="N545" t="n">
        <v>0</v>
      </c>
      <c r="O545" t="n">
        <v>0</v>
      </c>
      <c r="P545" t="n">
        <v>0</v>
      </c>
      <c r="Q545" t="n">
        <v>0</v>
      </c>
      <c r="R545" s="2" t="inlineStr"/>
    </row>
    <row r="546" ht="15" customHeight="1">
      <c r="A546" t="inlineStr">
        <is>
          <t>A 72908-2021</t>
        </is>
      </c>
      <c r="B546" s="1" t="n">
        <v>44546</v>
      </c>
      <c r="C546" s="1" t="n">
        <v>46103</v>
      </c>
      <c r="D546" t="inlineStr">
        <is>
          <t>KRONOBERGS LÄN</t>
        </is>
      </c>
      <c r="E546" t="inlineStr">
        <is>
          <t>TINGSRYD</t>
        </is>
      </c>
      <c r="G546" t="n">
        <v>1.1</v>
      </c>
      <c r="H546" t="n">
        <v>0</v>
      </c>
      <c r="I546" t="n">
        <v>0</v>
      </c>
      <c r="J546" t="n">
        <v>0</v>
      </c>
      <c r="K546" t="n">
        <v>0</v>
      </c>
      <c r="L546" t="n">
        <v>0</v>
      </c>
      <c r="M546" t="n">
        <v>0</v>
      </c>
      <c r="N546" t="n">
        <v>0</v>
      </c>
      <c r="O546" t="n">
        <v>0</v>
      </c>
      <c r="P546" t="n">
        <v>0</v>
      </c>
      <c r="Q546" t="n">
        <v>0</v>
      </c>
      <c r="R546" s="2" t="inlineStr"/>
    </row>
    <row r="547" ht="15" customHeight="1">
      <c r="A547" t="inlineStr">
        <is>
          <t>A 49510-2022</t>
        </is>
      </c>
      <c r="B547" s="1" t="n">
        <v>44861</v>
      </c>
      <c r="C547" s="1" t="n">
        <v>46103</v>
      </c>
      <c r="D547" t="inlineStr">
        <is>
          <t>KRONOBERGS LÄN</t>
        </is>
      </c>
      <c r="E547" t="inlineStr">
        <is>
          <t>LJUNGBY</t>
        </is>
      </c>
      <c r="G547" t="n">
        <v>0.6</v>
      </c>
      <c r="H547" t="n">
        <v>0</v>
      </c>
      <c r="I547" t="n">
        <v>0</v>
      </c>
      <c r="J547" t="n">
        <v>0</v>
      </c>
      <c r="K547" t="n">
        <v>0</v>
      </c>
      <c r="L547" t="n">
        <v>0</v>
      </c>
      <c r="M547" t="n">
        <v>0</v>
      </c>
      <c r="N547" t="n">
        <v>0</v>
      </c>
      <c r="O547" t="n">
        <v>0</v>
      </c>
      <c r="P547" t="n">
        <v>0</v>
      </c>
      <c r="Q547" t="n">
        <v>0</v>
      </c>
      <c r="R547" s="2" t="inlineStr"/>
    </row>
    <row r="548" ht="15" customHeight="1">
      <c r="A548" t="inlineStr">
        <is>
          <t>A 45958-2022</t>
        </is>
      </c>
      <c r="B548" s="1" t="n">
        <v>44846.66921296297</v>
      </c>
      <c r="C548" s="1" t="n">
        <v>46103</v>
      </c>
      <c r="D548" t="inlineStr">
        <is>
          <t>KRONOBERGS LÄN</t>
        </is>
      </c>
      <c r="E548" t="inlineStr">
        <is>
          <t>MARKARYD</t>
        </is>
      </c>
      <c r="G548" t="n">
        <v>0.5</v>
      </c>
      <c r="H548" t="n">
        <v>0</v>
      </c>
      <c r="I548" t="n">
        <v>0</v>
      </c>
      <c r="J548" t="n">
        <v>0</v>
      </c>
      <c r="K548" t="n">
        <v>0</v>
      </c>
      <c r="L548" t="n">
        <v>0</v>
      </c>
      <c r="M548" t="n">
        <v>0</v>
      </c>
      <c r="N548" t="n">
        <v>0</v>
      </c>
      <c r="O548" t="n">
        <v>0</v>
      </c>
      <c r="P548" t="n">
        <v>0</v>
      </c>
      <c r="Q548" t="n">
        <v>0</v>
      </c>
      <c r="R548" s="2" t="inlineStr"/>
    </row>
    <row r="549" ht="15" customHeight="1">
      <c r="A549" t="inlineStr">
        <is>
          <t>A 20809-2021</t>
        </is>
      </c>
      <c r="B549" s="1" t="n">
        <v>44317</v>
      </c>
      <c r="C549" s="1" t="n">
        <v>46103</v>
      </c>
      <c r="D549" t="inlineStr">
        <is>
          <t>KRONOBERGS LÄN</t>
        </is>
      </c>
      <c r="E549" t="inlineStr">
        <is>
          <t>VÄXJÖ</t>
        </is>
      </c>
      <c r="G549" t="n">
        <v>2.1</v>
      </c>
      <c r="H549" t="n">
        <v>0</v>
      </c>
      <c r="I549" t="n">
        <v>0</v>
      </c>
      <c r="J549" t="n">
        <v>0</v>
      </c>
      <c r="K549" t="n">
        <v>0</v>
      </c>
      <c r="L549" t="n">
        <v>0</v>
      </c>
      <c r="M549" t="n">
        <v>0</v>
      </c>
      <c r="N549" t="n">
        <v>0</v>
      </c>
      <c r="O549" t="n">
        <v>0</v>
      </c>
      <c r="P549" t="n">
        <v>0</v>
      </c>
      <c r="Q549" t="n">
        <v>0</v>
      </c>
      <c r="R549" s="2" t="inlineStr"/>
    </row>
    <row r="550" ht="15" customHeight="1">
      <c r="A550" t="inlineStr">
        <is>
          <t>A 65206-2021</t>
        </is>
      </c>
      <c r="B550" s="1" t="n">
        <v>44515</v>
      </c>
      <c r="C550" s="1" t="n">
        <v>46103</v>
      </c>
      <c r="D550" t="inlineStr">
        <is>
          <t>KRONOBERGS LÄN</t>
        </is>
      </c>
      <c r="E550" t="inlineStr">
        <is>
          <t>VÄXJÖ</t>
        </is>
      </c>
      <c r="G550" t="n">
        <v>0.4</v>
      </c>
      <c r="H550" t="n">
        <v>0</v>
      </c>
      <c r="I550" t="n">
        <v>0</v>
      </c>
      <c r="J550" t="n">
        <v>0</v>
      </c>
      <c r="K550" t="n">
        <v>0</v>
      </c>
      <c r="L550" t="n">
        <v>0</v>
      </c>
      <c r="M550" t="n">
        <v>0</v>
      </c>
      <c r="N550" t="n">
        <v>0</v>
      </c>
      <c r="O550" t="n">
        <v>0</v>
      </c>
      <c r="P550" t="n">
        <v>0</v>
      </c>
      <c r="Q550" t="n">
        <v>0</v>
      </c>
      <c r="R550" s="2" t="inlineStr"/>
    </row>
    <row r="551" ht="15" customHeight="1">
      <c r="A551" t="inlineStr">
        <is>
          <t>A 35945-2021</t>
        </is>
      </c>
      <c r="B551" s="1" t="n">
        <v>44388.75799768518</v>
      </c>
      <c r="C551" s="1" t="n">
        <v>46103</v>
      </c>
      <c r="D551" t="inlineStr">
        <is>
          <t>KRONOBERGS LÄN</t>
        </is>
      </c>
      <c r="E551" t="inlineStr">
        <is>
          <t>TINGSRYD</t>
        </is>
      </c>
      <c r="G551" t="n">
        <v>2.3</v>
      </c>
      <c r="H551" t="n">
        <v>0</v>
      </c>
      <c r="I551" t="n">
        <v>0</v>
      </c>
      <c r="J551" t="n">
        <v>0</v>
      </c>
      <c r="K551" t="n">
        <v>0</v>
      </c>
      <c r="L551" t="n">
        <v>0</v>
      </c>
      <c r="M551" t="n">
        <v>0</v>
      </c>
      <c r="N551" t="n">
        <v>0</v>
      </c>
      <c r="O551" t="n">
        <v>0</v>
      </c>
      <c r="P551" t="n">
        <v>0</v>
      </c>
      <c r="Q551" t="n">
        <v>0</v>
      </c>
      <c r="R551" s="2" t="inlineStr"/>
    </row>
    <row r="552" ht="15" customHeight="1">
      <c r="A552" t="inlineStr">
        <is>
          <t>A 8653-2022</t>
        </is>
      </c>
      <c r="B552" s="1" t="n">
        <v>44613</v>
      </c>
      <c r="C552" s="1" t="n">
        <v>46103</v>
      </c>
      <c r="D552" t="inlineStr">
        <is>
          <t>KRONOBERGS LÄN</t>
        </is>
      </c>
      <c r="E552" t="inlineStr">
        <is>
          <t>ALVESTA</t>
        </is>
      </c>
      <c r="G552" t="n">
        <v>1.9</v>
      </c>
      <c r="H552" t="n">
        <v>0</v>
      </c>
      <c r="I552" t="n">
        <v>0</v>
      </c>
      <c r="J552" t="n">
        <v>0</v>
      </c>
      <c r="K552" t="n">
        <v>0</v>
      </c>
      <c r="L552" t="n">
        <v>0</v>
      </c>
      <c r="M552" t="n">
        <v>0</v>
      </c>
      <c r="N552" t="n">
        <v>0</v>
      </c>
      <c r="O552" t="n">
        <v>0</v>
      </c>
      <c r="P552" t="n">
        <v>0</v>
      </c>
      <c r="Q552" t="n">
        <v>0</v>
      </c>
      <c r="R552" s="2" t="inlineStr"/>
    </row>
    <row r="553" ht="15" customHeight="1">
      <c r="A553" t="inlineStr">
        <is>
          <t>A 9146-2022</t>
        </is>
      </c>
      <c r="B553" s="1" t="n">
        <v>44615</v>
      </c>
      <c r="C553" s="1" t="n">
        <v>46103</v>
      </c>
      <c r="D553" t="inlineStr">
        <is>
          <t>KRONOBERGS LÄN</t>
        </is>
      </c>
      <c r="E553" t="inlineStr">
        <is>
          <t>ALVESTA</t>
        </is>
      </c>
      <c r="G553" t="n">
        <v>2</v>
      </c>
      <c r="H553" t="n">
        <v>0</v>
      </c>
      <c r="I553" t="n">
        <v>0</v>
      </c>
      <c r="J553" t="n">
        <v>0</v>
      </c>
      <c r="K553" t="n">
        <v>0</v>
      </c>
      <c r="L553" t="n">
        <v>0</v>
      </c>
      <c r="M553" t="n">
        <v>0</v>
      </c>
      <c r="N553" t="n">
        <v>0</v>
      </c>
      <c r="O553" t="n">
        <v>0</v>
      </c>
      <c r="P553" t="n">
        <v>0</v>
      </c>
      <c r="Q553" t="n">
        <v>0</v>
      </c>
      <c r="R553" s="2" t="inlineStr"/>
    </row>
    <row r="554" ht="15" customHeight="1">
      <c r="A554" t="inlineStr">
        <is>
          <t>A 6131-2022</t>
        </is>
      </c>
      <c r="B554" s="1" t="n">
        <v>44599.68471064815</v>
      </c>
      <c r="C554" s="1" t="n">
        <v>46103</v>
      </c>
      <c r="D554" t="inlineStr">
        <is>
          <t>KRONOBERGS LÄN</t>
        </is>
      </c>
      <c r="E554" t="inlineStr">
        <is>
          <t>VÄXJÖ</t>
        </is>
      </c>
      <c r="G554" t="n">
        <v>2.1</v>
      </c>
      <c r="H554" t="n">
        <v>0</v>
      </c>
      <c r="I554" t="n">
        <v>0</v>
      </c>
      <c r="J554" t="n">
        <v>0</v>
      </c>
      <c r="K554" t="n">
        <v>0</v>
      </c>
      <c r="L554" t="n">
        <v>0</v>
      </c>
      <c r="M554" t="n">
        <v>0</v>
      </c>
      <c r="N554" t="n">
        <v>0</v>
      </c>
      <c r="O554" t="n">
        <v>0</v>
      </c>
      <c r="P554" t="n">
        <v>0</v>
      </c>
      <c r="Q554" t="n">
        <v>0</v>
      </c>
      <c r="R554" s="2" t="inlineStr"/>
    </row>
    <row r="555" ht="15" customHeight="1">
      <c r="A555" t="inlineStr">
        <is>
          <t>A 41270-2021</t>
        </is>
      </c>
      <c r="B555" s="1" t="n">
        <v>44424</v>
      </c>
      <c r="C555" s="1" t="n">
        <v>46103</v>
      </c>
      <c r="D555" t="inlineStr">
        <is>
          <t>KRONOBERGS LÄN</t>
        </is>
      </c>
      <c r="E555" t="inlineStr">
        <is>
          <t>TINGSRYD</t>
        </is>
      </c>
      <c r="G555" t="n">
        <v>1.4</v>
      </c>
      <c r="H555" t="n">
        <v>0</v>
      </c>
      <c r="I555" t="n">
        <v>0</v>
      </c>
      <c r="J555" t="n">
        <v>0</v>
      </c>
      <c r="K555" t="n">
        <v>0</v>
      </c>
      <c r="L555" t="n">
        <v>0</v>
      </c>
      <c r="M555" t="n">
        <v>0</v>
      </c>
      <c r="N555" t="n">
        <v>0</v>
      </c>
      <c r="O555" t="n">
        <v>0</v>
      </c>
      <c r="P555" t="n">
        <v>0</v>
      </c>
      <c r="Q555" t="n">
        <v>0</v>
      </c>
      <c r="R555" s="2" t="inlineStr"/>
    </row>
    <row r="556" ht="15" customHeight="1">
      <c r="A556" t="inlineStr">
        <is>
          <t>A 41175-2021</t>
        </is>
      </c>
      <c r="B556" s="1" t="n">
        <v>44424</v>
      </c>
      <c r="C556" s="1" t="n">
        <v>46103</v>
      </c>
      <c r="D556" t="inlineStr">
        <is>
          <t>KRONOBERGS LÄN</t>
        </is>
      </c>
      <c r="E556" t="inlineStr">
        <is>
          <t>ALVESTA</t>
        </is>
      </c>
      <c r="G556" t="n">
        <v>1.7</v>
      </c>
      <c r="H556" t="n">
        <v>0</v>
      </c>
      <c r="I556" t="n">
        <v>0</v>
      </c>
      <c r="J556" t="n">
        <v>0</v>
      </c>
      <c r="K556" t="n">
        <v>0</v>
      </c>
      <c r="L556" t="n">
        <v>0</v>
      </c>
      <c r="M556" t="n">
        <v>0</v>
      </c>
      <c r="N556" t="n">
        <v>0</v>
      </c>
      <c r="O556" t="n">
        <v>0</v>
      </c>
      <c r="P556" t="n">
        <v>0</v>
      </c>
      <c r="Q556" t="n">
        <v>0</v>
      </c>
      <c r="R556" s="2" t="inlineStr"/>
    </row>
    <row r="557" ht="15" customHeight="1">
      <c r="A557" t="inlineStr">
        <is>
          <t>A 42911-2021</t>
        </is>
      </c>
      <c r="B557" s="1" t="n">
        <v>44431.36233796296</v>
      </c>
      <c r="C557" s="1" t="n">
        <v>46103</v>
      </c>
      <c r="D557" t="inlineStr">
        <is>
          <t>KRONOBERGS LÄN</t>
        </is>
      </c>
      <c r="E557" t="inlineStr">
        <is>
          <t>ALVESTA</t>
        </is>
      </c>
      <c r="G557" t="n">
        <v>1.8</v>
      </c>
      <c r="H557" t="n">
        <v>0</v>
      </c>
      <c r="I557" t="n">
        <v>0</v>
      </c>
      <c r="J557" t="n">
        <v>0</v>
      </c>
      <c r="K557" t="n">
        <v>0</v>
      </c>
      <c r="L557" t="n">
        <v>0</v>
      </c>
      <c r="M557" t="n">
        <v>0</v>
      </c>
      <c r="N557" t="n">
        <v>0</v>
      </c>
      <c r="O557" t="n">
        <v>0</v>
      </c>
      <c r="P557" t="n">
        <v>0</v>
      </c>
      <c r="Q557" t="n">
        <v>0</v>
      </c>
      <c r="R557" s="2" t="inlineStr"/>
    </row>
    <row r="558" ht="15" customHeight="1">
      <c r="A558" t="inlineStr">
        <is>
          <t>A 5003-2022</t>
        </is>
      </c>
      <c r="B558" s="1" t="n">
        <v>44593</v>
      </c>
      <c r="C558" s="1" t="n">
        <v>46103</v>
      </c>
      <c r="D558" t="inlineStr">
        <is>
          <t>KRONOBERGS LÄN</t>
        </is>
      </c>
      <c r="E558" t="inlineStr">
        <is>
          <t>ALVESTA</t>
        </is>
      </c>
      <c r="G558" t="n">
        <v>2.6</v>
      </c>
      <c r="H558" t="n">
        <v>0</v>
      </c>
      <c r="I558" t="n">
        <v>0</v>
      </c>
      <c r="J558" t="n">
        <v>0</v>
      </c>
      <c r="K558" t="n">
        <v>0</v>
      </c>
      <c r="L558" t="n">
        <v>0</v>
      </c>
      <c r="M558" t="n">
        <v>0</v>
      </c>
      <c r="N558" t="n">
        <v>0</v>
      </c>
      <c r="O558" t="n">
        <v>0</v>
      </c>
      <c r="P558" t="n">
        <v>0</v>
      </c>
      <c r="Q558" t="n">
        <v>0</v>
      </c>
      <c r="R558" s="2" t="inlineStr"/>
    </row>
    <row r="559" ht="15" customHeight="1">
      <c r="A559" t="inlineStr">
        <is>
          <t>A 17212-2021</t>
        </is>
      </c>
      <c r="B559" s="1" t="n">
        <v>44298.48719907407</v>
      </c>
      <c r="C559" s="1" t="n">
        <v>46103</v>
      </c>
      <c r="D559" t="inlineStr">
        <is>
          <t>KRONOBERGS LÄN</t>
        </is>
      </c>
      <c r="E559" t="inlineStr">
        <is>
          <t>TINGSRYD</t>
        </is>
      </c>
      <c r="G559" t="n">
        <v>0.6</v>
      </c>
      <c r="H559" t="n">
        <v>0</v>
      </c>
      <c r="I559" t="n">
        <v>0</v>
      </c>
      <c r="J559" t="n">
        <v>0</v>
      </c>
      <c r="K559" t="n">
        <v>0</v>
      </c>
      <c r="L559" t="n">
        <v>0</v>
      </c>
      <c r="M559" t="n">
        <v>0</v>
      </c>
      <c r="N559" t="n">
        <v>0</v>
      </c>
      <c r="O559" t="n">
        <v>0</v>
      </c>
      <c r="P559" t="n">
        <v>0</v>
      </c>
      <c r="Q559" t="n">
        <v>0</v>
      </c>
      <c r="R559" s="2" t="inlineStr"/>
    </row>
    <row r="560" ht="15" customHeight="1">
      <c r="A560" t="inlineStr">
        <is>
          <t>A 55325-2022</t>
        </is>
      </c>
      <c r="B560" s="1" t="n">
        <v>44887.43138888889</v>
      </c>
      <c r="C560" s="1" t="n">
        <v>46103</v>
      </c>
      <c r="D560" t="inlineStr">
        <is>
          <t>KRONOBERGS LÄN</t>
        </is>
      </c>
      <c r="E560" t="inlineStr">
        <is>
          <t>UPPVIDINGE</t>
        </is>
      </c>
      <c r="F560" t="inlineStr">
        <is>
          <t>Sveaskog</t>
        </is>
      </c>
      <c r="G560" t="n">
        <v>0.7</v>
      </c>
      <c r="H560" t="n">
        <v>0</v>
      </c>
      <c r="I560" t="n">
        <v>0</v>
      </c>
      <c r="J560" t="n">
        <v>0</v>
      </c>
      <c r="K560" t="n">
        <v>0</v>
      </c>
      <c r="L560" t="n">
        <v>0</v>
      </c>
      <c r="M560" t="n">
        <v>0</v>
      </c>
      <c r="N560" t="n">
        <v>0</v>
      </c>
      <c r="O560" t="n">
        <v>0</v>
      </c>
      <c r="P560" t="n">
        <v>0</v>
      </c>
      <c r="Q560" t="n">
        <v>0</v>
      </c>
      <c r="R560" s="2" t="inlineStr"/>
    </row>
    <row r="561" ht="15" customHeight="1">
      <c r="A561" t="inlineStr">
        <is>
          <t>A 38997-2021</t>
        </is>
      </c>
      <c r="B561" s="1" t="n">
        <v>44412</v>
      </c>
      <c r="C561" s="1" t="n">
        <v>46103</v>
      </c>
      <c r="D561" t="inlineStr">
        <is>
          <t>KRONOBERGS LÄN</t>
        </is>
      </c>
      <c r="E561" t="inlineStr">
        <is>
          <t>ALVESTA</t>
        </is>
      </c>
      <c r="G561" t="n">
        <v>3.1</v>
      </c>
      <c r="H561" t="n">
        <v>0</v>
      </c>
      <c r="I561" t="n">
        <v>0</v>
      </c>
      <c r="J561" t="n">
        <v>0</v>
      </c>
      <c r="K561" t="n">
        <v>0</v>
      </c>
      <c r="L561" t="n">
        <v>0</v>
      </c>
      <c r="M561" t="n">
        <v>0</v>
      </c>
      <c r="N561" t="n">
        <v>0</v>
      </c>
      <c r="O561" t="n">
        <v>0</v>
      </c>
      <c r="P561" t="n">
        <v>0</v>
      </c>
      <c r="Q561" t="n">
        <v>0</v>
      </c>
      <c r="R561" s="2" t="inlineStr"/>
    </row>
    <row r="562" ht="15" customHeight="1">
      <c r="A562" t="inlineStr">
        <is>
          <t>A 42268-2021</t>
        </is>
      </c>
      <c r="B562" s="1" t="n">
        <v>44427</v>
      </c>
      <c r="C562" s="1" t="n">
        <v>46103</v>
      </c>
      <c r="D562" t="inlineStr">
        <is>
          <t>KRONOBERGS LÄN</t>
        </is>
      </c>
      <c r="E562" t="inlineStr">
        <is>
          <t>ÄLMHULT</t>
        </is>
      </c>
      <c r="G562" t="n">
        <v>0.6</v>
      </c>
      <c r="H562" t="n">
        <v>0</v>
      </c>
      <c r="I562" t="n">
        <v>0</v>
      </c>
      <c r="J562" t="n">
        <v>0</v>
      </c>
      <c r="K562" t="n">
        <v>0</v>
      </c>
      <c r="L562" t="n">
        <v>0</v>
      </c>
      <c r="M562" t="n">
        <v>0</v>
      </c>
      <c r="N562" t="n">
        <v>0</v>
      </c>
      <c r="O562" t="n">
        <v>0</v>
      </c>
      <c r="P562" t="n">
        <v>0</v>
      </c>
      <c r="Q562" t="n">
        <v>0</v>
      </c>
      <c r="R562" s="2" t="inlineStr"/>
    </row>
    <row r="563" ht="15" customHeight="1">
      <c r="A563" t="inlineStr">
        <is>
          <t>A 42274-2021</t>
        </is>
      </c>
      <c r="B563" s="1" t="n">
        <v>44427.31769675926</v>
      </c>
      <c r="C563" s="1" t="n">
        <v>46103</v>
      </c>
      <c r="D563" t="inlineStr">
        <is>
          <t>KRONOBERGS LÄN</t>
        </is>
      </c>
      <c r="E563" t="inlineStr">
        <is>
          <t>ÄLMHULT</t>
        </is>
      </c>
      <c r="G563" t="n">
        <v>0.6</v>
      </c>
      <c r="H563" t="n">
        <v>0</v>
      </c>
      <c r="I563" t="n">
        <v>0</v>
      </c>
      <c r="J563" t="n">
        <v>0</v>
      </c>
      <c r="K563" t="n">
        <v>0</v>
      </c>
      <c r="L563" t="n">
        <v>0</v>
      </c>
      <c r="M563" t="n">
        <v>0</v>
      </c>
      <c r="N563" t="n">
        <v>0</v>
      </c>
      <c r="O563" t="n">
        <v>0</v>
      </c>
      <c r="P563" t="n">
        <v>0</v>
      </c>
      <c r="Q563" t="n">
        <v>0</v>
      </c>
      <c r="R563" s="2" t="inlineStr"/>
    </row>
    <row r="564" ht="15" customHeight="1">
      <c r="A564" t="inlineStr">
        <is>
          <t>A 21239-2021</t>
        </is>
      </c>
      <c r="B564" s="1" t="n">
        <v>44320</v>
      </c>
      <c r="C564" s="1" t="n">
        <v>46103</v>
      </c>
      <c r="D564" t="inlineStr">
        <is>
          <t>KRONOBERGS LÄN</t>
        </is>
      </c>
      <c r="E564" t="inlineStr">
        <is>
          <t>VÄXJÖ</t>
        </is>
      </c>
      <c r="G564" t="n">
        <v>1</v>
      </c>
      <c r="H564" t="n">
        <v>0</v>
      </c>
      <c r="I564" t="n">
        <v>0</v>
      </c>
      <c r="J564" t="n">
        <v>0</v>
      </c>
      <c r="K564" t="n">
        <v>0</v>
      </c>
      <c r="L564" t="n">
        <v>0</v>
      </c>
      <c r="M564" t="n">
        <v>0</v>
      </c>
      <c r="N564" t="n">
        <v>0</v>
      </c>
      <c r="O564" t="n">
        <v>0</v>
      </c>
      <c r="P564" t="n">
        <v>0</v>
      </c>
      <c r="Q564" t="n">
        <v>0</v>
      </c>
      <c r="R564" s="2" t="inlineStr"/>
    </row>
    <row r="565" ht="15" customHeight="1">
      <c r="A565" t="inlineStr">
        <is>
          <t>A 18969-2022</t>
        </is>
      </c>
      <c r="B565" s="1" t="n">
        <v>44690.88424768519</v>
      </c>
      <c r="C565" s="1" t="n">
        <v>46103</v>
      </c>
      <c r="D565" t="inlineStr">
        <is>
          <t>KRONOBERGS LÄN</t>
        </is>
      </c>
      <c r="E565" t="inlineStr">
        <is>
          <t>ÄLMHULT</t>
        </is>
      </c>
      <c r="G565" t="n">
        <v>1</v>
      </c>
      <c r="H565" t="n">
        <v>0</v>
      </c>
      <c r="I565" t="n">
        <v>0</v>
      </c>
      <c r="J565" t="n">
        <v>0</v>
      </c>
      <c r="K565" t="n">
        <v>0</v>
      </c>
      <c r="L565" t="n">
        <v>0</v>
      </c>
      <c r="M565" t="n">
        <v>0</v>
      </c>
      <c r="N565" t="n">
        <v>0</v>
      </c>
      <c r="O565" t="n">
        <v>0</v>
      </c>
      <c r="P565" t="n">
        <v>0</v>
      </c>
      <c r="Q565" t="n">
        <v>0</v>
      </c>
      <c r="R565" s="2" t="inlineStr"/>
    </row>
    <row r="566" ht="15" customHeight="1">
      <c r="A566" t="inlineStr">
        <is>
          <t>A 19072-2022</t>
        </is>
      </c>
      <c r="B566" s="1" t="n">
        <v>44691</v>
      </c>
      <c r="C566" s="1" t="n">
        <v>46103</v>
      </c>
      <c r="D566" t="inlineStr">
        <is>
          <t>KRONOBERGS LÄN</t>
        </is>
      </c>
      <c r="E566" t="inlineStr">
        <is>
          <t>VÄXJÖ</t>
        </is>
      </c>
      <c r="G566" t="n">
        <v>5</v>
      </c>
      <c r="H566" t="n">
        <v>0</v>
      </c>
      <c r="I566" t="n">
        <v>0</v>
      </c>
      <c r="J566" t="n">
        <v>0</v>
      </c>
      <c r="K566" t="n">
        <v>0</v>
      </c>
      <c r="L566" t="n">
        <v>0</v>
      </c>
      <c r="M566" t="n">
        <v>0</v>
      </c>
      <c r="N566" t="n">
        <v>0</v>
      </c>
      <c r="O566" t="n">
        <v>0</v>
      </c>
      <c r="P566" t="n">
        <v>0</v>
      </c>
      <c r="Q566" t="n">
        <v>0</v>
      </c>
      <c r="R566" s="2" t="inlineStr"/>
    </row>
    <row r="567" ht="15" customHeight="1">
      <c r="A567" t="inlineStr">
        <is>
          <t>A 24680-2022</t>
        </is>
      </c>
      <c r="B567" s="1" t="n">
        <v>44727.67484953703</v>
      </c>
      <c r="C567" s="1" t="n">
        <v>46103</v>
      </c>
      <c r="D567" t="inlineStr">
        <is>
          <t>KRONOBERGS LÄN</t>
        </is>
      </c>
      <c r="E567" t="inlineStr">
        <is>
          <t>LESSEBO</t>
        </is>
      </c>
      <c r="G567" t="n">
        <v>3.4</v>
      </c>
      <c r="H567" t="n">
        <v>0</v>
      </c>
      <c r="I567" t="n">
        <v>0</v>
      </c>
      <c r="J567" t="n">
        <v>0</v>
      </c>
      <c r="K567" t="n">
        <v>0</v>
      </c>
      <c r="L567" t="n">
        <v>0</v>
      </c>
      <c r="M567" t="n">
        <v>0</v>
      </c>
      <c r="N567" t="n">
        <v>0</v>
      </c>
      <c r="O567" t="n">
        <v>0</v>
      </c>
      <c r="P567" t="n">
        <v>0</v>
      </c>
      <c r="Q567" t="n">
        <v>0</v>
      </c>
      <c r="R567" s="2" t="inlineStr"/>
    </row>
    <row r="568" ht="15" customHeight="1">
      <c r="A568" t="inlineStr">
        <is>
          <t>A 3741-2022</t>
        </is>
      </c>
      <c r="B568" s="1" t="n">
        <v>44586</v>
      </c>
      <c r="C568" s="1" t="n">
        <v>46103</v>
      </c>
      <c r="D568" t="inlineStr">
        <is>
          <t>KRONOBERGS LÄN</t>
        </is>
      </c>
      <c r="E568" t="inlineStr">
        <is>
          <t>LESSEBO</t>
        </is>
      </c>
      <c r="F568" t="inlineStr">
        <is>
          <t>Kommuner</t>
        </is>
      </c>
      <c r="G568" t="n">
        <v>3.3</v>
      </c>
      <c r="H568" t="n">
        <v>0</v>
      </c>
      <c r="I568" t="n">
        <v>0</v>
      </c>
      <c r="J568" t="n">
        <v>0</v>
      </c>
      <c r="K568" t="n">
        <v>0</v>
      </c>
      <c r="L568" t="n">
        <v>0</v>
      </c>
      <c r="M568" t="n">
        <v>0</v>
      </c>
      <c r="N568" t="n">
        <v>0</v>
      </c>
      <c r="O568" t="n">
        <v>0</v>
      </c>
      <c r="P568" t="n">
        <v>0</v>
      </c>
      <c r="Q568" t="n">
        <v>0</v>
      </c>
      <c r="R568" s="2" t="inlineStr"/>
    </row>
    <row r="569" ht="15" customHeight="1">
      <c r="A569" t="inlineStr">
        <is>
          <t>A 18228-2021</t>
        </is>
      </c>
      <c r="B569" s="1" t="n">
        <v>44303</v>
      </c>
      <c r="C569" s="1" t="n">
        <v>46103</v>
      </c>
      <c r="D569" t="inlineStr">
        <is>
          <t>KRONOBERGS LÄN</t>
        </is>
      </c>
      <c r="E569" t="inlineStr">
        <is>
          <t>MARKARYD</t>
        </is>
      </c>
      <c r="G569" t="n">
        <v>3.2</v>
      </c>
      <c r="H569" t="n">
        <v>0</v>
      </c>
      <c r="I569" t="n">
        <v>0</v>
      </c>
      <c r="J569" t="n">
        <v>0</v>
      </c>
      <c r="K569" t="n">
        <v>0</v>
      </c>
      <c r="L569" t="n">
        <v>0</v>
      </c>
      <c r="M569" t="n">
        <v>0</v>
      </c>
      <c r="N569" t="n">
        <v>0</v>
      </c>
      <c r="O569" t="n">
        <v>0</v>
      </c>
      <c r="P569" t="n">
        <v>0</v>
      </c>
      <c r="Q569" t="n">
        <v>0</v>
      </c>
      <c r="R569" s="2" t="inlineStr"/>
    </row>
    <row r="570" ht="15" customHeight="1">
      <c r="A570" t="inlineStr">
        <is>
          <t>A 4234-2022</t>
        </is>
      </c>
      <c r="B570" s="1" t="n">
        <v>44588.6396875</v>
      </c>
      <c r="C570" s="1" t="n">
        <v>46103</v>
      </c>
      <c r="D570" t="inlineStr">
        <is>
          <t>KRONOBERGS LÄN</t>
        </is>
      </c>
      <c r="E570" t="inlineStr">
        <is>
          <t>UPPVIDINGE</t>
        </is>
      </c>
      <c r="G570" t="n">
        <v>2.9</v>
      </c>
      <c r="H570" t="n">
        <v>0</v>
      </c>
      <c r="I570" t="n">
        <v>0</v>
      </c>
      <c r="J570" t="n">
        <v>0</v>
      </c>
      <c r="K570" t="n">
        <v>0</v>
      </c>
      <c r="L570" t="n">
        <v>0</v>
      </c>
      <c r="M570" t="n">
        <v>0</v>
      </c>
      <c r="N570" t="n">
        <v>0</v>
      </c>
      <c r="O570" t="n">
        <v>0</v>
      </c>
      <c r="P570" t="n">
        <v>0</v>
      </c>
      <c r="Q570" t="n">
        <v>0</v>
      </c>
      <c r="R570" s="2" t="inlineStr"/>
    </row>
    <row r="571" ht="15" customHeight="1">
      <c r="A571" t="inlineStr">
        <is>
          <t>A 18236-2021</t>
        </is>
      </c>
      <c r="B571" s="1" t="n">
        <v>44304</v>
      </c>
      <c r="C571" s="1" t="n">
        <v>46103</v>
      </c>
      <c r="D571" t="inlineStr">
        <is>
          <t>KRONOBERGS LÄN</t>
        </is>
      </c>
      <c r="E571" t="inlineStr">
        <is>
          <t>LJUNGBY</t>
        </is>
      </c>
      <c r="G571" t="n">
        <v>1.1</v>
      </c>
      <c r="H571" t="n">
        <v>0</v>
      </c>
      <c r="I571" t="n">
        <v>0</v>
      </c>
      <c r="J571" t="n">
        <v>0</v>
      </c>
      <c r="K571" t="n">
        <v>0</v>
      </c>
      <c r="L571" t="n">
        <v>0</v>
      </c>
      <c r="M571" t="n">
        <v>0</v>
      </c>
      <c r="N571" t="n">
        <v>0</v>
      </c>
      <c r="O571" t="n">
        <v>0</v>
      </c>
      <c r="P571" t="n">
        <v>0</v>
      </c>
      <c r="Q571" t="n">
        <v>0</v>
      </c>
      <c r="R571" s="2" t="inlineStr"/>
    </row>
    <row r="572" ht="15" customHeight="1">
      <c r="A572" t="inlineStr">
        <is>
          <t>A 22570-2021</t>
        </is>
      </c>
      <c r="B572" s="1" t="n">
        <v>44327.36415509259</v>
      </c>
      <c r="C572" s="1" t="n">
        <v>46103</v>
      </c>
      <c r="D572" t="inlineStr">
        <is>
          <t>KRONOBERGS LÄN</t>
        </is>
      </c>
      <c r="E572" t="inlineStr">
        <is>
          <t>TINGSRYD</t>
        </is>
      </c>
      <c r="F572" t="inlineStr">
        <is>
          <t>Kommuner</t>
        </is>
      </c>
      <c r="G572" t="n">
        <v>5.1</v>
      </c>
      <c r="H572" t="n">
        <v>0</v>
      </c>
      <c r="I572" t="n">
        <v>0</v>
      </c>
      <c r="J572" t="n">
        <v>0</v>
      </c>
      <c r="K572" t="n">
        <v>0</v>
      </c>
      <c r="L572" t="n">
        <v>0</v>
      </c>
      <c r="M572" t="n">
        <v>0</v>
      </c>
      <c r="N572" t="n">
        <v>0</v>
      </c>
      <c r="O572" t="n">
        <v>0</v>
      </c>
      <c r="P572" t="n">
        <v>0</v>
      </c>
      <c r="Q572" t="n">
        <v>0</v>
      </c>
      <c r="R572" s="2" t="inlineStr"/>
    </row>
    <row r="573" ht="15" customHeight="1">
      <c r="A573" t="inlineStr">
        <is>
          <t>A 21777-2021</t>
        </is>
      </c>
      <c r="B573" s="1" t="n">
        <v>44322.58246527778</v>
      </c>
      <c r="C573" s="1" t="n">
        <v>46103</v>
      </c>
      <c r="D573" t="inlineStr">
        <is>
          <t>KRONOBERGS LÄN</t>
        </is>
      </c>
      <c r="E573" t="inlineStr">
        <is>
          <t>VÄXJÖ</t>
        </is>
      </c>
      <c r="G573" t="n">
        <v>2.4</v>
      </c>
      <c r="H573" t="n">
        <v>0</v>
      </c>
      <c r="I573" t="n">
        <v>0</v>
      </c>
      <c r="J573" t="n">
        <v>0</v>
      </c>
      <c r="K573" t="n">
        <v>0</v>
      </c>
      <c r="L573" t="n">
        <v>0</v>
      </c>
      <c r="M573" t="n">
        <v>0</v>
      </c>
      <c r="N573" t="n">
        <v>0</v>
      </c>
      <c r="O573" t="n">
        <v>0</v>
      </c>
      <c r="P573" t="n">
        <v>0</v>
      </c>
      <c r="Q573" t="n">
        <v>0</v>
      </c>
      <c r="R573" s="2" t="inlineStr"/>
    </row>
    <row r="574" ht="15" customHeight="1">
      <c r="A574" t="inlineStr">
        <is>
          <t>A 67192-2021</t>
        </is>
      </c>
      <c r="B574" s="1" t="n">
        <v>44523</v>
      </c>
      <c r="C574" s="1" t="n">
        <v>46103</v>
      </c>
      <c r="D574" t="inlineStr">
        <is>
          <t>KRONOBERGS LÄN</t>
        </is>
      </c>
      <c r="E574" t="inlineStr">
        <is>
          <t>ALVESTA</t>
        </is>
      </c>
      <c r="G574" t="n">
        <v>1</v>
      </c>
      <c r="H574" t="n">
        <v>0</v>
      </c>
      <c r="I574" t="n">
        <v>0</v>
      </c>
      <c r="J574" t="n">
        <v>0</v>
      </c>
      <c r="K574" t="n">
        <v>0</v>
      </c>
      <c r="L574" t="n">
        <v>0</v>
      </c>
      <c r="M574" t="n">
        <v>0</v>
      </c>
      <c r="N574" t="n">
        <v>0</v>
      </c>
      <c r="O574" t="n">
        <v>0</v>
      </c>
      <c r="P574" t="n">
        <v>0</v>
      </c>
      <c r="Q574" t="n">
        <v>0</v>
      </c>
      <c r="R574" s="2" t="inlineStr"/>
    </row>
    <row r="575" ht="15" customHeight="1">
      <c r="A575" t="inlineStr">
        <is>
          <t>A 23806-2022</t>
        </is>
      </c>
      <c r="B575" s="1" t="n">
        <v>44722</v>
      </c>
      <c r="C575" s="1" t="n">
        <v>46103</v>
      </c>
      <c r="D575" t="inlineStr">
        <is>
          <t>KRONOBERGS LÄN</t>
        </is>
      </c>
      <c r="E575" t="inlineStr">
        <is>
          <t>TINGSRYD</t>
        </is>
      </c>
      <c r="G575" t="n">
        <v>0.7</v>
      </c>
      <c r="H575" t="n">
        <v>0</v>
      </c>
      <c r="I575" t="n">
        <v>0</v>
      </c>
      <c r="J575" t="n">
        <v>0</v>
      </c>
      <c r="K575" t="n">
        <v>0</v>
      </c>
      <c r="L575" t="n">
        <v>0</v>
      </c>
      <c r="M575" t="n">
        <v>0</v>
      </c>
      <c r="N575" t="n">
        <v>0</v>
      </c>
      <c r="O575" t="n">
        <v>0</v>
      </c>
      <c r="P575" t="n">
        <v>0</v>
      </c>
      <c r="Q575" t="n">
        <v>0</v>
      </c>
      <c r="R575" s="2" t="inlineStr"/>
    </row>
    <row r="576" ht="15" customHeight="1">
      <c r="A576" t="inlineStr">
        <is>
          <t>A 30214-2021</t>
        </is>
      </c>
      <c r="B576" s="1" t="n">
        <v>44363</v>
      </c>
      <c r="C576" s="1" t="n">
        <v>46103</v>
      </c>
      <c r="D576" t="inlineStr">
        <is>
          <t>KRONOBERGS LÄN</t>
        </is>
      </c>
      <c r="E576" t="inlineStr">
        <is>
          <t>ALVESTA</t>
        </is>
      </c>
      <c r="G576" t="n">
        <v>1.1</v>
      </c>
      <c r="H576" t="n">
        <v>0</v>
      </c>
      <c r="I576" t="n">
        <v>0</v>
      </c>
      <c r="J576" t="n">
        <v>0</v>
      </c>
      <c r="K576" t="n">
        <v>0</v>
      </c>
      <c r="L576" t="n">
        <v>0</v>
      </c>
      <c r="M576" t="n">
        <v>0</v>
      </c>
      <c r="N576" t="n">
        <v>0</v>
      </c>
      <c r="O576" t="n">
        <v>0</v>
      </c>
      <c r="P576" t="n">
        <v>0</v>
      </c>
      <c r="Q576" t="n">
        <v>0</v>
      </c>
      <c r="R576" s="2" t="inlineStr"/>
    </row>
    <row r="577" ht="15" customHeight="1">
      <c r="A577" t="inlineStr">
        <is>
          <t>A 63060-2021</t>
        </is>
      </c>
      <c r="B577" s="1" t="n">
        <v>44505</v>
      </c>
      <c r="C577" s="1" t="n">
        <v>46103</v>
      </c>
      <c r="D577" t="inlineStr">
        <is>
          <t>KRONOBERGS LÄN</t>
        </is>
      </c>
      <c r="E577" t="inlineStr">
        <is>
          <t>UPPVIDINGE</t>
        </is>
      </c>
      <c r="G577" t="n">
        <v>0.7</v>
      </c>
      <c r="H577" t="n">
        <v>0</v>
      </c>
      <c r="I577" t="n">
        <v>0</v>
      </c>
      <c r="J577" t="n">
        <v>0</v>
      </c>
      <c r="K577" t="n">
        <v>0</v>
      </c>
      <c r="L577" t="n">
        <v>0</v>
      </c>
      <c r="M577" t="n">
        <v>0</v>
      </c>
      <c r="N577" t="n">
        <v>0</v>
      </c>
      <c r="O577" t="n">
        <v>0</v>
      </c>
      <c r="P577" t="n">
        <v>0</v>
      </c>
      <c r="Q577" t="n">
        <v>0</v>
      </c>
      <c r="R577" s="2" t="inlineStr"/>
    </row>
    <row r="578" ht="15" customHeight="1">
      <c r="A578" t="inlineStr">
        <is>
          <t>A 23812-2022</t>
        </is>
      </c>
      <c r="B578" s="1" t="n">
        <v>44722.47052083333</v>
      </c>
      <c r="C578" s="1" t="n">
        <v>46103</v>
      </c>
      <c r="D578" t="inlineStr">
        <is>
          <t>KRONOBERGS LÄN</t>
        </is>
      </c>
      <c r="E578" t="inlineStr">
        <is>
          <t>TINGSRYD</t>
        </is>
      </c>
      <c r="G578" t="n">
        <v>0.5</v>
      </c>
      <c r="H578" t="n">
        <v>0</v>
      </c>
      <c r="I578" t="n">
        <v>0</v>
      </c>
      <c r="J578" t="n">
        <v>0</v>
      </c>
      <c r="K578" t="n">
        <v>0</v>
      </c>
      <c r="L578" t="n">
        <v>0</v>
      </c>
      <c r="M578" t="n">
        <v>0</v>
      </c>
      <c r="N578" t="n">
        <v>0</v>
      </c>
      <c r="O578" t="n">
        <v>0</v>
      </c>
      <c r="P578" t="n">
        <v>0</v>
      </c>
      <c r="Q578" t="n">
        <v>0</v>
      </c>
      <c r="R578" s="2" t="inlineStr"/>
    </row>
    <row r="579" ht="15" customHeight="1">
      <c r="A579" t="inlineStr">
        <is>
          <t>A 57105-2021</t>
        </is>
      </c>
      <c r="B579" s="1" t="n">
        <v>44482</v>
      </c>
      <c r="C579" s="1" t="n">
        <v>46103</v>
      </c>
      <c r="D579" t="inlineStr">
        <is>
          <t>KRONOBERGS LÄN</t>
        </is>
      </c>
      <c r="E579" t="inlineStr">
        <is>
          <t>LJUNGBY</t>
        </is>
      </c>
      <c r="G579" t="n">
        <v>1.3</v>
      </c>
      <c r="H579" t="n">
        <v>0</v>
      </c>
      <c r="I579" t="n">
        <v>0</v>
      </c>
      <c r="J579" t="n">
        <v>0</v>
      </c>
      <c r="K579" t="n">
        <v>0</v>
      </c>
      <c r="L579" t="n">
        <v>0</v>
      </c>
      <c r="M579" t="n">
        <v>0</v>
      </c>
      <c r="N579" t="n">
        <v>0</v>
      </c>
      <c r="O579" t="n">
        <v>0</v>
      </c>
      <c r="P579" t="n">
        <v>0</v>
      </c>
      <c r="Q579" t="n">
        <v>0</v>
      </c>
      <c r="R579" s="2" t="inlineStr"/>
    </row>
    <row r="580" ht="15" customHeight="1">
      <c r="A580" t="inlineStr">
        <is>
          <t>A 50819-2022</t>
        </is>
      </c>
      <c r="B580" s="1" t="n">
        <v>44867.48452546296</v>
      </c>
      <c r="C580" s="1" t="n">
        <v>46103</v>
      </c>
      <c r="D580" t="inlineStr">
        <is>
          <t>KRONOBERGS LÄN</t>
        </is>
      </c>
      <c r="E580" t="inlineStr">
        <is>
          <t>TINGSRYD</t>
        </is>
      </c>
      <c r="G580" t="n">
        <v>0.5</v>
      </c>
      <c r="H580" t="n">
        <v>0</v>
      </c>
      <c r="I580" t="n">
        <v>0</v>
      </c>
      <c r="J580" t="n">
        <v>0</v>
      </c>
      <c r="K580" t="n">
        <v>0</v>
      </c>
      <c r="L580" t="n">
        <v>0</v>
      </c>
      <c r="M580" t="n">
        <v>0</v>
      </c>
      <c r="N580" t="n">
        <v>0</v>
      </c>
      <c r="O580" t="n">
        <v>0</v>
      </c>
      <c r="P580" t="n">
        <v>0</v>
      </c>
      <c r="Q580" t="n">
        <v>0</v>
      </c>
      <c r="R580" s="2" t="inlineStr"/>
    </row>
    <row r="581" ht="15" customHeight="1">
      <c r="A581" t="inlineStr">
        <is>
          <t>A 20538-2021</t>
        </is>
      </c>
      <c r="B581" s="1" t="n">
        <v>44315</v>
      </c>
      <c r="C581" s="1" t="n">
        <v>46103</v>
      </c>
      <c r="D581" t="inlineStr">
        <is>
          <t>KRONOBERGS LÄN</t>
        </is>
      </c>
      <c r="E581" t="inlineStr">
        <is>
          <t>LJUNGBY</t>
        </is>
      </c>
      <c r="G581" t="n">
        <v>1.1</v>
      </c>
      <c r="H581" t="n">
        <v>0</v>
      </c>
      <c r="I581" t="n">
        <v>0</v>
      </c>
      <c r="J581" t="n">
        <v>0</v>
      </c>
      <c r="K581" t="n">
        <v>0</v>
      </c>
      <c r="L581" t="n">
        <v>0</v>
      </c>
      <c r="M581" t="n">
        <v>0</v>
      </c>
      <c r="N581" t="n">
        <v>0</v>
      </c>
      <c r="O581" t="n">
        <v>0</v>
      </c>
      <c r="P581" t="n">
        <v>0</v>
      </c>
      <c r="Q581" t="n">
        <v>0</v>
      </c>
      <c r="R581" s="2" t="inlineStr"/>
    </row>
    <row r="582" ht="15" customHeight="1">
      <c r="A582" t="inlineStr">
        <is>
          <t>A 37212-2022</t>
        </is>
      </c>
      <c r="B582" s="1" t="n">
        <v>44806.68451388889</v>
      </c>
      <c r="C582" s="1" t="n">
        <v>46103</v>
      </c>
      <c r="D582" t="inlineStr">
        <is>
          <t>KRONOBERGS LÄN</t>
        </is>
      </c>
      <c r="E582" t="inlineStr">
        <is>
          <t>LJUNGBY</t>
        </is>
      </c>
      <c r="G582" t="n">
        <v>0.5</v>
      </c>
      <c r="H582" t="n">
        <v>0</v>
      </c>
      <c r="I582" t="n">
        <v>0</v>
      </c>
      <c r="J582" t="n">
        <v>0</v>
      </c>
      <c r="K582" t="n">
        <v>0</v>
      </c>
      <c r="L582" t="n">
        <v>0</v>
      </c>
      <c r="M582" t="n">
        <v>0</v>
      </c>
      <c r="N582" t="n">
        <v>0</v>
      </c>
      <c r="O582" t="n">
        <v>0</v>
      </c>
      <c r="P582" t="n">
        <v>0</v>
      </c>
      <c r="Q582" t="n">
        <v>0</v>
      </c>
      <c r="R582" s="2" t="inlineStr"/>
      <c r="U582">
        <f>HYPERLINK("https://klasma.github.io/Logging_0781/knärot/A 37212-2022 karta knärot.png", "A 37212-2022")</f>
        <v/>
      </c>
      <c r="V582">
        <f>HYPERLINK("https://klasma.github.io/Logging_0781/klagomål/A 37212-2022 FSC-klagomål.docx", "A 37212-2022")</f>
        <v/>
      </c>
      <c r="W582">
        <f>HYPERLINK("https://klasma.github.io/Logging_0781/klagomålsmail/A 37212-2022 FSC-klagomål mail.docx", "A 37212-2022")</f>
        <v/>
      </c>
      <c r="X582">
        <f>HYPERLINK("https://klasma.github.io/Logging_0781/tillsyn/A 37212-2022 tillsynsbegäran.docx", "A 37212-2022")</f>
        <v/>
      </c>
      <c r="Y582">
        <f>HYPERLINK("https://klasma.github.io/Logging_0781/tillsynsmail/A 37212-2022 tillsynsbegäran mail.docx", "A 37212-2022")</f>
        <v/>
      </c>
    </row>
    <row r="583" ht="15" customHeight="1">
      <c r="A583" t="inlineStr">
        <is>
          <t>A 55680-2021</t>
        </is>
      </c>
      <c r="B583" s="1" t="n">
        <v>44476</v>
      </c>
      <c r="C583" s="1" t="n">
        <v>46103</v>
      </c>
      <c r="D583" t="inlineStr">
        <is>
          <t>KRONOBERGS LÄN</t>
        </is>
      </c>
      <c r="E583" t="inlineStr">
        <is>
          <t>LJUNGBY</t>
        </is>
      </c>
      <c r="G583" t="n">
        <v>0.4</v>
      </c>
      <c r="H583" t="n">
        <v>0</v>
      </c>
      <c r="I583" t="n">
        <v>0</v>
      </c>
      <c r="J583" t="n">
        <v>0</v>
      </c>
      <c r="K583" t="n">
        <v>0</v>
      </c>
      <c r="L583" t="n">
        <v>0</v>
      </c>
      <c r="M583" t="n">
        <v>0</v>
      </c>
      <c r="N583" t="n">
        <v>0</v>
      </c>
      <c r="O583" t="n">
        <v>0</v>
      </c>
      <c r="P583" t="n">
        <v>0</v>
      </c>
      <c r="Q583" t="n">
        <v>0</v>
      </c>
      <c r="R583" s="2" t="inlineStr"/>
    </row>
    <row r="584" ht="15" customHeight="1">
      <c r="A584" t="inlineStr">
        <is>
          <t>A 55806-2021</t>
        </is>
      </c>
      <c r="B584" s="1" t="n">
        <v>44476.58800925926</v>
      </c>
      <c r="C584" s="1" t="n">
        <v>46103</v>
      </c>
      <c r="D584" t="inlineStr">
        <is>
          <t>KRONOBERGS LÄN</t>
        </is>
      </c>
      <c r="E584" t="inlineStr">
        <is>
          <t>LJUNGBY</t>
        </is>
      </c>
      <c r="G584" t="n">
        <v>0.5</v>
      </c>
      <c r="H584" t="n">
        <v>0</v>
      </c>
      <c r="I584" t="n">
        <v>0</v>
      </c>
      <c r="J584" t="n">
        <v>0</v>
      </c>
      <c r="K584" t="n">
        <v>0</v>
      </c>
      <c r="L584" t="n">
        <v>0</v>
      </c>
      <c r="M584" t="n">
        <v>0</v>
      </c>
      <c r="N584" t="n">
        <v>0</v>
      </c>
      <c r="O584" t="n">
        <v>0</v>
      </c>
      <c r="P584" t="n">
        <v>0</v>
      </c>
      <c r="Q584" t="n">
        <v>0</v>
      </c>
      <c r="R584" s="2" t="inlineStr"/>
    </row>
    <row r="585" ht="15" customHeight="1">
      <c r="A585" t="inlineStr">
        <is>
          <t>A 30552-2021</t>
        </is>
      </c>
      <c r="B585" s="1" t="n">
        <v>44364.7040162037</v>
      </c>
      <c r="C585" s="1" t="n">
        <v>46103</v>
      </c>
      <c r="D585" t="inlineStr">
        <is>
          <t>KRONOBERGS LÄN</t>
        </is>
      </c>
      <c r="E585" t="inlineStr">
        <is>
          <t>ALVESTA</t>
        </is>
      </c>
      <c r="G585" t="n">
        <v>2.6</v>
      </c>
      <c r="H585" t="n">
        <v>0</v>
      </c>
      <c r="I585" t="n">
        <v>0</v>
      </c>
      <c r="J585" t="n">
        <v>0</v>
      </c>
      <c r="K585" t="n">
        <v>0</v>
      </c>
      <c r="L585" t="n">
        <v>0</v>
      </c>
      <c r="M585" t="n">
        <v>0</v>
      </c>
      <c r="N585" t="n">
        <v>0</v>
      </c>
      <c r="O585" t="n">
        <v>0</v>
      </c>
      <c r="P585" t="n">
        <v>0</v>
      </c>
      <c r="Q585" t="n">
        <v>0</v>
      </c>
      <c r="R585" s="2" t="inlineStr"/>
    </row>
    <row r="586" ht="15" customHeight="1">
      <c r="A586" t="inlineStr">
        <is>
          <t>A 38570-2021</t>
        </is>
      </c>
      <c r="B586" s="1" t="n">
        <v>44407</v>
      </c>
      <c r="C586" s="1" t="n">
        <v>46103</v>
      </c>
      <c r="D586" t="inlineStr">
        <is>
          <t>KRONOBERGS LÄN</t>
        </is>
      </c>
      <c r="E586" t="inlineStr">
        <is>
          <t>TINGSRYD</t>
        </is>
      </c>
      <c r="G586" t="n">
        <v>3.1</v>
      </c>
      <c r="H586" t="n">
        <v>0</v>
      </c>
      <c r="I586" t="n">
        <v>0</v>
      </c>
      <c r="J586" t="n">
        <v>0</v>
      </c>
      <c r="K586" t="n">
        <v>0</v>
      </c>
      <c r="L586" t="n">
        <v>0</v>
      </c>
      <c r="M586" t="n">
        <v>0</v>
      </c>
      <c r="N586" t="n">
        <v>0</v>
      </c>
      <c r="O586" t="n">
        <v>0</v>
      </c>
      <c r="P586" t="n">
        <v>0</v>
      </c>
      <c r="Q586" t="n">
        <v>0</v>
      </c>
      <c r="R586" s="2" t="inlineStr"/>
    </row>
    <row r="587" ht="15" customHeight="1">
      <c r="A587" t="inlineStr">
        <is>
          <t>A 64462-2021</t>
        </is>
      </c>
      <c r="B587" s="1" t="n">
        <v>44511</v>
      </c>
      <c r="C587" s="1" t="n">
        <v>46103</v>
      </c>
      <c r="D587" t="inlineStr">
        <is>
          <t>KRONOBERGS LÄN</t>
        </is>
      </c>
      <c r="E587" t="inlineStr">
        <is>
          <t>TINGSRYD</t>
        </is>
      </c>
      <c r="G587" t="n">
        <v>0.5</v>
      </c>
      <c r="H587" t="n">
        <v>0</v>
      </c>
      <c r="I587" t="n">
        <v>0</v>
      </c>
      <c r="J587" t="n">
        <v>0</v>
      </c>
      <c r="K587" t="n">
        <v>0</v>
      </c>
      <c r="L587" t="n">
        <v>0</v>
      </c>
      <c r="M587" t="n">
        <v>0</v>
      </c>
      <c r="N587" t="n">
        <v>0</v>
      </c>
      <c r="O587" t="n">
        <v>0</v>
      </c>
      <c r="P587" t="n">
        <v>0</v>
      </c>
      <c r="Q587" t="n">
        <v>0</v>
      </c>
      <c r="R587" s="2" t="inlineStr"/>
    </row>
    <row r="588" ht="15" customHeight="1">
      <c r="A588" t="inlineStr">
        <is>
          <t>A 26052-2021</t>
        </is>
      </c>
      <c r="B588" s="1" t="n">
        <v>44344</v>
      </c>
      <c r="C588" s="1" t="n">
        <v>46103</v>
      </c>
      <c r="D588" t="inlineStr">
        <is>
          <t>KRONOBERGS LÄN</t>
        </is>
      </c>
      <c r="E588" t="inlineStr">
        <is>
          <t>ÄLMHULT</t>
        </is>
      </c>
      <c r="G588" t="n">
        <v>1.7</v>
      </c>
      <c r="H588" t="n">
        <v>0</v>
      </c>
      <c r="I588" t="n">
        <v>0</v>
      </c>
      <c r="J588" t="n">
        <v>0</v>
      </c>
      <c r="K588" t="n">
        <v>0</v>
      </c>
      <c r="L588" t="n">
        <v>0</v>
      </c>
      <c r="M588" t="n">
        <v>0</v>
      </c>
      <c r="N588" t="n">
        <v>0</v>
      </c>
      <c r="O588" t="n">
        <v>0</v>
      </c>
      <c r="P588" t="n">
        <v>0</v>
      </c>
      <c r="Q588" t="n">
        <v>0</v>
      </c>
      <c r="R588" s="2" t="inlineStr"/>
    </row>
    <row r="589" ht="15" customHeight="1">
      <c r="A589" t="inlineStr">
        <is>
          <t>A 36065-2022</t>
        </is>
      </c>
      <c r="B589" s="1" t="n">
        <v>44802.9119212963</v>
      </c>
      <c r="C589" s="1" t="n">
        <v>46103</v>
      </c>
      <c r="D589" t="inlineStr">
        <is>
          <t>KRONOBERGS LÄN</t>
        </is>
      </c>
      <c r="E589" t="inlineStr">
        <is>
          <t>MARKARYD</t>
        </is>
      </c>
      <c r="G589" t="n">
        <v>2.1</v>
      </c>
      <c r="H589" t="n">
        <v>0</v>
      </c>
      <c r="I589" t="n">
        <v>0</v>
      </c>
      <c r="J589" t="n">
        <v>0</v>
      </c>
      <c r="K589" t="n">
        <v>0</v>
      </c>
      <c r="L589" t="n">
        <v>0</v>
      </c>
      <c r="M589" t="n">
        <v>0</v>
      </c>
      <c r="N589" t="n">
        <v>0</v>
      </c>
      <c r="O589" t="n">
        <v>0</v>
      </c>
      <c r="P589" t="n">
        <v>0</v>
      </c>
      <c r="Q589" t="n">
        <v>0</v>
      </c>
      <c r="R589" s="2" t="inlineStr"/>
    </row>
    <row r="590" ht="15" customHeight="1">
      <c r="A590" t="inlineStr">
        <is>
          <t>A 36067-2022</t>
        </is>
      </c>
      <c r="B590" s="1" t="n">
        <v>44802.91436342592</v>
      </c>
      <c r="C590" s="1" t="n">
        <v>46103</v>
      </c>
      <c r="D590" t="inlineStr">
        <is>
          <t>KRONOBERGS LÄN</t>
        </is>
      </c>
      <c r="E590" t="inlineStr">
        <is>
          <t>MARKARYD</t>
        </is>
      </c>
      <c r="G590" t="n">
        <v>2.7</v>
      </c>
      <c r="H590" t="n">
        <v>0</v>
      </c>
      <c r="I590" t="n">
        <v>0</v>
      </c>
      <c r="J590" t="n">
        <v>0</v>
      </c>
      <c r="K590" t="n">
        <v>0</v>
      </c>
      <c r="L590" t="n">
        <v>0</v>
      </c>
      <c r="M590" t="n">
        <v>0</v>
      </c>
      <c r="N590" t="n">
        <v>0</v>
      </c>
      <c r="O590" t="n">
        <v>0</v>
      </c>
      <c r="P590" t="n">
        <v>0</v>
      </c>
      <c r="Q590" t="n">
        <v>0</v>
      </c>
      <c r="R590" s="2" t="inlineStr"/>
    </row>
    <row r="591" ht="15" customHeight="1">
      <c r="A591" t="inlineStr">
        <is>
          <t>A 36069-2022</t>
        </is>
      </c>
      <c r="B591" s="1" t="n">
        <v>44802</v>
      </c>
      <c r="C591" s="1" t="n">
        <v>46103</v>
      </c>
      <c r="D591" t="inlineStr">
        <is>
          <t>KRONOBERGS LÄN</t>
        </is>
      </c>
      <c r="E591" t="inlineStr">
        <is>
          <t>MARKARYD</t>
        </is>
      </c>
      <c r="G591" t="n">
        <v>0.6</v>
      </c>
      <c r="H591" t="n">
        <v>0</v>
      </c>
      <c r="I591" t="n">
        <v>0</v>
      </c>
      <c r="J591" t="n">
        <v>0</v>
      </c>
      <c r="K591" t="n">
        <v>0</v>
      </c>
      <c r="L591" t="n">
        <v>0</v>
      </c>
      <c r="M591" t="n">
        <v>0</v>
      </c>
      <c r="N591" t="n">
        <v>0</v>
      </c>
      <c r="O591" t="n">
        <v>0</v>
      </c>
      <c r="P591" t="n">
        <v>0</v>
      </c>
      <c r="Q591" t="n">
        <v>0</v>
      </c>
      <c r="R591" s="2" t="inlineStr"/>
    </row>
    <row r="592" ht="15" customHeight="1">
      <c r="A592" t="inlineStr">
        <is>
          <t>A 50994-2021</t>
        </is>
      </c>
      <c r="B592" s="1" t="n">
        <v>44460</v>
      </c>
      <c r="C592" s="1" t="n">
        <v>46103</v>
      </c>
      <c r="D592" t="inlineStr">
        <is>
          <t>KRONOBERGS LÄN</t>
        </is>
      </c>
      <c r="E592" t="inlineStr">
        <is>
          <t>TINGSRYD</t>
        </is>
      </c>
      <c r="G592" t="n">
        <v>0.4</v>
      </c>
      <c r="H592" t="n">
        <v>0</v>
      </c>
      <c r="I592" t="n">
        <v>0</v>
      </c>
      <c r="J592" t="n">
        <v>0</v>
      </c>
      <c r="K592" t="n">
        <v>0</v>
      </c>
      <c r="L592" t="n">
        <v>0</v>
      </c>
      <c r="M592" t="n">
        <v>0</v>
      </c>
      <c r="N592" t="n">
        <v>0</v>
      </c>
      <c r="O592" t="n">
        <v>0</v>
      </c>
      <c r="P592" t="n">
        <v>0</v>
      </c>
      <c r="Q592" t="n">
        <v>0</v>
      </c>
      <c r="R592" s="2" t="inlineStr"/>
    </row>
    <row r="593" ht="15" customHeight="1">
      <c r="A593" t="inlineStr">
        <is>
          <t>A 50141-2021</t>
        </is>
      </c>
      <c r="B593" s="1" t="n">
        <v>44456</v>
      </c>
      <c r="C593" s="1" t="n">
        <v>46103</v>
      </c>
      <c r="D593" t="inlineStr">
        <is>
          <t>KRONOBERGS LÄN</t>
        </is>
      </c>
      <c r="E593" t="inlineStr">
        <is>
          <t>UPPVIDINGE</t>
        </is>
      </c>
      <c r="F593" t="inlineStr">
        <is>
          <t>Sveaskog</t>
        </is>
      </c>
      <c r="G593" t="n">
        <v>0.2</v>
      </c>
      <c r="H593" t="n">
        <v>0</v>
      </c>
      <c r="I593" t="n">
        <v>0</v>
      </c>
      <c r="J593" t="n">
        <v>0</v>
      </c>
      <c r="K593" t="n">
        <v>0</v>
      </c>
      <c r="L593" t="n">
        <v>0</v>
      </c>
      <c r="M593" t="n">
        <v>0</v>
      </c>
      <c r="N593" t="n">
        <v>0</v>
      </c>
      <c r="O593" t="n">
        <v>0</v>
      </c>
      <c r="P593" t="n">
        <v>0</v>
      </c>
      <c r="Q593" t="n">
        <v>0</v>
      </c>
      <c r="R593" s="2" t="inlineStr"/>
    </row>
    <row r="594" ht="15" customHeight="1">
      <c r="A594" t="inlineStr">
        <is>
          <t>A 23128-2021</t>
        </is>
      </c>
      <c r="B594" s="1" t="n">
        <v>44330.85519675926</v>
      </c>
      <c r="C594" s="1" t="n">
        <v>46103</v>
      </c>
      <c r="D594" t="inlineStr">
        <is>
          <t>KRONOBERGS LÄN</t>
        </is>
      </c>
      <c r="E594" t="inlineStr">
        <is>
          <t>MARKARYD</t>
        </is>
      </c>
      <c r="G594" t="n">
        <v>0.8</v>
      </c>
      <c r="H594" t="n">
        <v>0</v>
      </c>
      <c r="I594" t="n">
        <v>0</v>
      </c>
      <c r="J594" t="n">
        <v>0</v>
      </c>
      <c r="K594" t="n">
        <v>0</v>
      </c>
      <c r="L594" t="n">
        <v>0</v>
      </c>
      <c r="M594" t="n">
        <v>0</v>
      </c>
      <c r="N594" t="n">
        <v>0</v>
      </c>
      <c r="O594" t="n">
        <v>0</v>
      </c>
      <c r="P594" t="n">
        <v>0</v>
      </c>
      <c r="Q594" t="n">
        <v>0</v>
      </c>
      <c r="R594" s="2" t="inlineStr"/>
    </row>
    <row r="595" ht="15" customHeight="1">
      <c r="A595" t="inlineStr">
        <is>
          <t>A 23129-2021</t>
        </is>
      </c>
      <c r="B595" s="1" t="n">
        <v>44330.85600694444</v>
      </c>
      <c r="C595" s="1" t="n">
        <v>46103</v>
      </c>
      <c r="D595" t="inlineStr">
        <is>
          <t>KRONOBERGS LÄN</t>
        </is>
      </c>
      <c r="E595" t="inlineStr">
        <is>
          <t>TINGSRYD</t>
        </is>
      </c>
      <c r="G595" t="n">
        <v>2</v>
      </c>
      <c r="H595" t="n">
        <v>0</v>
      </c>
      <c r="I595" t="n">
        <v>0</v>
      </c>
      <c r="J595" t="n">
        <v>0</v>
      </c>
      <c r="K595" t="n">
        <v>0</v>
      </c>
      <c r="L595" t="n">
        <v>0</v>
      </c>
      <c r="M595" t="n">
        <v>0</v>
      </c>
      <c r="N595" t="n">
        <v>0</v>
      </c>
      <c r="O595" t="n">
        <v>0</v>
      </c>
      <c r="P595" t="n">
        <v>0</v>
      </c>
      <c r="Q595" t="n">
        <v>0</v>
      </c>
      <c r="R595" s="2" t="inlineStr"/>
    </row>
    <row r="596" ht="15" customHeight="1">
      <c r="A596" t="inlineStr">
        <is>
          <t>A 38352-2022</t>
        </is>
      </c>
      <c r="B596" s="1" t="n">
        <v>44812</v>
      </c>
      <c r="C596" s="1" t="n">
        <v>46103</v>
      </c>
      <c r="D596" t="inlineStr">
        <is>
          <t>KRONOBERGS LÄN</t>
        </is>
      </c>
      <c r="E596" t="inlineStr">
        <is>
          <t>ÄLMHULT</t>
        </is>
      </c>
      <c r="G596" t="n">
        <v>0.7</v>
      </c>
      <c r="H596" t="n">
        <v>0</v>
      </c>
      <c r="I596" t="n">
        <v>0</v>
      </c>
      <c r="J596" t="n">
        <v>0</v>
      </c>
      <c r="K596" t="n">
        <v>0</v>
      </c>
      <c r="L596" t="n">
        <v>0</v>
      </c>
      <c r="M596" t="n">
        <v>0</v>
      </c>
      <c r="N596" t="n">
        <v>0</v>
      </c>
      <c r="O596" t="n">
        <v>0</v>
      </c>
      <c r="P596" t="n">
        <v>0</v>
      </c>
      <c r="Q596" t="n">
        <v>0</v>
      </c>
      <c r="R596" s="2" t="inlineStr"/>
    </row>
    <row r="597" ht="15" customHeight="1">
      <c r="A597" t="inlineStr">
        <is>
          <t>A 44803-2022</t>
        </is>
      </c>
      <c r="B597" s="1" t="n">
        <v>44839</v>
      </c>
      <c r="C597" s="1" t="n">
        <v>46103</v>
      </c>
      <c r="D597" t="inlineStr">
        <is>
          <t>KRONOBERGS LÄN</t>
        </is>
      </c>
      <c r="E597" t="inlineStr">
        <is>
          <t>TINGSRYD</t>
        </is>
      </c>
      <c r="F597" t="inlineStr">
        <is>
          <t>Kyrkan</t>
        </is>
      </c>
      <c r="G597" t="n">
        <v>2</v>
      </c>
      <c r="H597" t="n">
        <v>0</v>
      </c>
      <c r="I597" t="n">
        <v>0</v>
      </c>
      <c r="J597" t="n">
        <v>0</v>
      </c>
      <c r="K597" t="n">
        <v>0</v>
      </c>
      <c r="L597" t="n">
        <v>0</v>
      </c>
      <c r="M597" t="n">
        <v>0</v>
      </c>
      <c r="N597" t="n">
        <v>0</v>
      </c>
      <c r="O597" t="n">
        <v>0</v>
      </c>
      <c r="P597" t="n">
        <v>0</v>
      </c>
      <c r="Q597" t="n">
        <v>0</v>
      </c>
      <c r="R597" s="2" t="inlineStr"/>
    </row>
    <row r="598" ht="15" customHeight="1">
      <c r="A598" t="inlineStr">
        <is>
          <t>A 40791-2022</t>
        </is>
      </c>
      <c r="B598" s="1" t="n">
        <v>44824</v>
      </c>
      <c r="C598" s="1" t="n">
        <v>46103</v>
      </c>
      <c r="D598" t="inlineStr">
        <is>
          <t>KRONOBERGS LÄN</t>
        </is>
      </c>
      <c r="E598" t="inlineStr">
        <is>
          <t>ALVESTA</t>
        </is>
      </c>
      <c r="G598" t="n">
        <v>0.5</v>
      </c>
      <c r="H598" t="n">
        <v>0</v>
      </c>
      <c r="I598" t="n">
        <v>0</v>
      </c>
      <c r="J598" t="n">
        <v>0</v>
      </c>
      <c r="K598" t="n">
        <v>0</v>
      </c>
      <c r="L598" t="n">
        <v>0</v>
      </c>
      <c r="M598" t="n">
        <v>0</v>
      </c>
      <c r="N598" t="n">
        <v>0</v>
      </c>
      <c r="O598" t="n">
        <v>0</v>
      </c>
      <c r="P598" t="n">
        <v>0</v>
      </c>
      <c r="Q598" t="n">
        <v>0</v>
      </c>
      <c r="R598" s="2" t="inlineStr"/>
    </row>
    <row r="599" ht="15" customHeight="1">
      <c r="A599" t="inlineStr">
        <is>
          <t>A 27342-2021</t>
        </is>
      </c>
      <c r="B599" s="1" t="n">
        <v>44351</v>
      </c>
      <c r="C599" s="1" t="n">
        <v>46103</v>
      </c>
      <c r="D599" t="inlineStr">
        <is>
          <t>KRONOBERGS LÄN</t>
        </is>
      </c>
      <c r="E599" t="inlineStr">
        <is>
          <t>ALVESTA</t>
        </is>
      </c>
      <c r="G599" t="n">
        <v>6.8</v>
      </c>
      <c r="H599" t="n">
        <v>0</v>
      </c>
      <c r="I599" t="n">
        <v>0</v>
      </c>
      <c r="J599" t="n">
        <v>0</v>
      </c>
      <c r="K599" t="n">
        <v>0</v>
      </c>
      <c r="L599" t="n">
        <v>0</v>
      </c>
      <c r="M599" t="n">
        <v>0</v>
      </c>
      <c r="N599" t="n">
        <v>0</v>
      </c>
      <c r="O599" t="n">
        <v>0</v>
      </c>
      <c r="P599" t="n">
        <v>0</v>
      </c>
      <c r="Q599" t="n">
        <v>0</v>
      </c>
      <c r="R599" s="2" t="inlineStr"/>
    </row>
    <row r="600" ht="15" customHeight="1">
      <c r="A600" t="inlineStr">
        <is>
          <t>A 64161-2021</t>
        </is>
      </c>
      <c r="B600" s="1" t="n">
        <v>44510</v>
      </c>
      <c r="C600" s="1" t="n">
        <v>46103</v>
      </c>
      <c r="D600" t="inlineStr">
        <is>
          <t>KRONOBERGS LÄN</t>
        </is>
      </c>
      <c r="E600" t="inlineStr">
        <is>
          <t>LESSEBO</t>
        </is>
      </c>
      <c r="G600" t="n">
        <v>0.3</v>
      </c>
      <c r="H600" t="n">
        <v>0</v>
      </c>
      <c r="I600" t="n">
        <v>0</v>
      </c>
      <c r="J600" t="n">
        <v>0</v>
      </c>
      <c r="K600" t="n">
        <v>0</v>
      </c>
      <c r="L600" t="n">
        <v>0</v>
      </c>
      <c r="M600" t="n">
        <v>0</v>
      </c>
      <c r="N600" t="n">
        <v>0</v>
      </c>
      <c r="O600" t="n">
        <v>0</v>
      </c>
      <c r="P600" t="n">
        <v>0</v>
      </c>
      <c r="Q600" t="n">
        <v>0</v>
      </c>
      <c r="R600" s="2" t="inlineStr"/>
    </row>
    <row r="601" ht="15" customHeight="1">
      <c r="A601" t="inlineStr">
        <is>
          <t>A 53405-2022</t>
        </is>
      </c>
      <c r="B601" s="1" t="n">
        <v>44879</v>
      </c>
      <c r="C601" s="1" t="n">
        <v>46103</v>
      </c>
      <c r="D601" t="inlineStr">
        <is>
          <t>KRONOBERGS LÄN</t>
        </is>
      </c>
      <c r="E601" t="inlineStr">
        <is>
          <t>TINGSRYD</t>
        </is>
      </c>
      <c r="G601" t="n">
        <v>0.9</v>
      </c>
      <c r="H601" t="n">
        <v>0</v>
      </c>
      <c r="I601" t="n">
        <v>0</v>
      </c>
      <c r="J601" t="n">
        <v>0</v>
      </c>
      <c r="K601" t="n">
        <v>0</v>
      </c>
      <c r="L601" t="n">
        <v>0</v>
      </c>
      <c r="M601" t="n">
        <v>0</v>
      </c>
      <c r="N601" t="n">
        <v>0</v>
      </c>
      <c r="O601" t="n">
        <v>0</v>
      </c>
      <c r="P601" t="n">
        <v>0</v>
      </c>
      <c r="Q601" t="n">
        <v>0</v>
      </c>
      <c r="R601" s="2" t="inlineStr"/>
    </row>
    <row r="602" ht="15" customHeight="1">
      <c r="A602" t="inlineStr">
        <is>
          <t>A 39254-2021</t>
        </is>
      </c>
      <c r="B602" s="1" t="n">
        <v>44413</v>
      </c>
      <c r="C602" s="1" t="n">
        <v>46103</v>
      </c>
      <c r="D602" t="inlineStr">
        <is>
          <t>KRONOBERGS LÄN</t>
        </is>
      </c>
      <c r="E602" t="inlineStr">
        <is>
          <t>ÄLMHULT</t>
        </is>
      </c>
      <c r="G602" t="n">
        <v>0.5</v>
      </c>
      <c r="H602" t="n">
        <v>0</v>
      </c>
      <c r="I602" t="n">
        <v>0</v>
      </c>
      <c r="J602" t="n">
        <v>0</v>
      </c>
      <c r="K602" t="n">
        <v>0</v>
      </c>
      <c r="L602" t="n">
        <v>0</v>
      </c>
      <c r="M602" t="n">
        <v>0</v>
      </c>
      <c r="N602" t="n">
        <v>0</v>
      </c>
      <c r="O602" t="n">
        <v>0</v>
      </c>
      <c r="P602" t="n">
        <v>0</v>
      </c>
      <c r="Q602" t="n">
        <v>0</v>
      </c>
      <c r="R602" s="2" t="inlineStr"/>
    </row>
    <row r="603" ht="15" customHeight="1">
      <c r="A603" t="inlineStr">
        <is>
          <t>A 26184-2021</t>
        </is>
      </c>
      <c r="B603" s="1" t="n">
        <v>44347.37032407407</v>
      </c>
      <c r="C603" s="1" t="n">
        <v>46103</v>
      </c>
      <c r="D603" t="inlineStr">
        <is>
          <t>KRONOBERGS LÄN</t>
        </is>
      </c>
      <c r="E603" t="inlineStr">
        <is>
          <t>TINGSRYD</t>
        </is>
      </c>
      <c r="G603" t="n">
        <v>1.9</v>
      </c>
      <c r="H603" t="n">
        <v>0</v>
      </c>
      <c r="I603" t="n">
        <v>0</v>
      </c>
      <c r="J603" t="n">
        <v>0</v>
      </c>
      <c r="K603" t="n">
        <v>0</v>
      </c>
      <c r="L603" t="n">
        <v>0</v>
      </c>
      <c r="M603" t="n">
        <v>0</v>
      </c>
      <c r="N603" t="n">
        <v>0</v>
      </c>
      <c r="O603" t="n">
        <v>0</v>
      </c>
      <c r="P603" t="n">
        <v>0</v>
      </c>
      <c r="Q603" t="n">
        <v>0</v>
      </c>
      <c r="R603" s="2" t="inlineStr"/>
    </row>
    <row r="604" ht="15" customHeight="1">
      <c r="A604" t="inlineStr">
        <is>
          <t>A 30451-2021</t>
        </is>
      </c>
      <c r="B604" s="1" t="n">
        <v>44364.57402777778</v>
      </c>
      <c r="C604" s="1" t="n">
        <v>46103</v>
      </c>
      <c r="D604" t="inlineStr">
        <is>
          <t>KRONOBERGS LÄN</t>
        </is>
      </c>
      <c r="E604" t="inlineStr">
        <is>
          <t>TINGSRYD</t>
        </is>
      </c>
      <c r="G604" t="n">
        <v>4.1</v>
      </c>
      <c r="H604" t="n">
        <v>0</v>
      </c>
      <c r="I604" t="n">
        <v>0</v>
      </c>
      <c r="J604" t="n">
        <v>0</v>
      </c>
      <c r="K604" t="n">
        <v>0</v>
      </c>
      <c r="L604" t="n">
        <v>0</v>
      </c>
      <c r="M604" t="n">
        <v>0</v>
      </c>
      <c r="N604" t="n">
        <v>0</v>
      </c>
      <c r="O604" t="n">
        <v>0</v>
      </c>
      <c r="P604" t="n">
        <v>0</v>
      </c>
      <c r="Q604" t="n">
        <v>0</v>
      </c>
      <c r="R604" s="2" t="inlineStr"/>
    </row>
    <row r="605" ht="15" customHeight="1">
      <c r="A605" t="inlineStr">
        <is>
          <t>A 17336-2021</t>
        </is>
      </c>
      <c r="B605" s="1" t="n">
        <v>44298</v>
      </c>
      <c r="C605" s="1" t="n">
        <v>46103</v>
      </c>
      <c r="D605" t="inlineStr">
        <is>
          <t>KRONOBERGS LÄN</t>
        </is>
      </c>
      <c r="E605" t="inlineStr">
        <is>
          <t>TINGSRYD</t>
        </is>
      </c>
      <c r="G605" t="n">
        <v>1.1</v>
      </c>
      <c r="H605" t="n">
        <v>0</v>
      </c>
      <c r="I605" t="n">
        <v>0</v>
      </c>
      <c r="J605" t="n">
        <v>0</v>
      </c>
      <c r="K605" t="n">
        <v>0</v>
      </c>
      <c r="L605" t="n">
        <v>0</v>
      </c>
      <c r="M605" t="n">
        <v>0</v>
      </c>
      <c r="N605" t="n">
        <v>0</v>
      </c>
      <c r="O605" t="n">
        <v>0</v>
      </c>
      <c r="P605" t="n">
        <v>0</v>
      </c>
      <c r="Q605" t="n">
        <v>0</v>
      </c>
      <c r="R605" s="2" t="inlineStr"/>
    </row>
    <row r="606" ht="15" customHeight="1">
      <c r="A606" t="inlineStr">
        <is>
          <t>A 32291-2021</t>
        </is>
      </c>
      <c r="B606" s="1" t="n">
        <v>44371.50600694444</v>
      </c>
      <c r="C606" s="1" t="n">
        <v>46103</v>
      </c>
      <c r="D606" t="inlineStr">
        <is>
          <t>KRONOBERGS LÄN</t>
        </is>
      </c>
      <c r="E606" t="inlineStr">
        <is>
          <t>LESSEBO</t>
        </is>
      </c>
      <c r="F606" t="inlineStr">
        <is>
          <t>Sveaskog</t>
        </is>
      </c>
      <c r="G606" t="n">
        <v>6.1</v>
      </c>
      <c r="H606" t="n">
        <v>0</v>
      </c>
      <c r="I606" t="n">
        <v>0</v>
      </c>
      <c r="J606" t="n">
        <v>0</v>
      </c>
      <c r="K606" t="n">
        <v>0</v>
      </c>
      <c r="L606" t="n">
        <v>0</v>
      </c>
      <c r="M606" t="n">
        <v>0</v>
      </c>
      <c r="N606" t="n">
        <v>0</v>
      </c>
      <c r="O606" t="n">
        <v>0</v>
      </c>
      <c r="P606" t="n">
        <v>0</v>
      </c>
      <c r="Q606" t="n">
        <v>0</v>
      </c>
      <c r="R606" s="2" t="inlineStr"/>
    </row>
    <row r="607" ht="15" customHeight="1">
      <c r="A607" t="inlineStr">
        <is>
          <t>A 33142-2021</t>
        </is>
      </c>
      <c r="B607" s="1" t="n">
        <v>44376.66452546296</v>
      </c>
      <c r="C607" s="1" t="n">
        <v>46103</v>
      </c>
      <c r="D607" t="inlineStr">
        <is>
          <t>KRONOBERGS LÄN</t>
        </is>
      </c>
      <c r="E607" t="inlineStr">
        <is>
          <t>VÄXJÖ</t>
        </is>
      </c>
      <c r="G607" t="n">
        <v>1.5</v>
      </c>
      <c r="H607" t="n">
        <v>0</v>
      </c>
      <c r="I607" t="n">
        <v>0</v>
      </c>
      <c r="J607" t="n">
        <v>0</v>
      </c>
      <c r="K607" t="n">
        <v>0</v>
      </c>
      <c r="L607" t="n">
        <v>0</v>
      </c>
      <c r="M607" t="n">
        <v>0</v>
      </c>
      <c r="N607" t="n">
        <v>0</v>
      </c>
      <c r="O607" t="n">
        <v>0</v>
      </c>
      <c r="P607" t="n">
        <v>0</v>
      </c>
      <c r="Q607" t="n">
        <v>0</v>
      </c>
      <c r="R607" s="2" t="inlineStr"/>
    </row>
    <row r="608" ht="15" customHeight="1">
      <c r="A608" t="inlineStr">
        <is>
          <t>A 37788-2021</t>
        </is>
      </c>
      <c r="B608" s="1" t="n">
        <v>44401.56947916667</v>
      </c>
      <c r="C608" s="1" t="n">
        <v>46103</v>
      </c>
      <c r="D608" t="inlineStr">
        <is>
          <t>KRONOBERGS LÄN</t>
        </is>
      </c>
      <c r="E608" t="inlineStr">
        <is>
          <t>ALVESTA</t>
        </is>
      </c>
      <c r="G608" t="n">
        <v>0.6</v>
      </c>
      <c r="H608" t="n">
        <v>0</v>
      </c>
      <c r="I608" t="n">
        <v>0</v>
      </c>
      <c r="J608" t="n">
        <v>0</v>
      </c>
      <c r="K608" t="n">
        <v>0</v>
      </c>
      <c r="L608" t="n">
        <v>0</v>
      </c>
      <c r="M608" t="n">
        <v>0</v>
      </c>
      <c r="N608" t="n">
        <v>0</v>
      </c>
      <c r="O608" t="n">
        <v>0</v>
      </c>
      <c r="P608" t="n">
        <v>0</v>
      </c>
      <c r="Q608" t="n">
        <v>0</v>
      </c>
      <c r="R608" s="2" t="inlineStr"/>
    </row>
    <row r="609" ht="15" customHeight="1">
      <c r="A609" t="inlineStr">
        <is>
          <t>A 43932-2021</t>
        </is>
      </c>
      <c r="B609" s="1" t="n">
        <v>44434.40148148148</v>
      </c>
      <c r="C609" s="1" t="n">
        <v>46103</v>
      </c>
      <c r="D609" t="inlineStr">
        <is>
          <t>KRONOBERGS LÄN</t>
        </is>
      </c>
      <c r="E609" t="inlineStr">
        <is>
          <t>ALVESTA</t>
        </is>
      </c>
      <c r="G609" t="n">
        <v>1.2</v>
      </c>
      <c r="H609" t="n">
        <v>0</v>
      </c>
      <c r="I609" t="n">
        <v>0</v>
      </c>
      <c r="J609" t="n">
        <v>0</v>
      </c>
      <c r="K609" t="n">
        <v>0</v>
      </c>
      <c r="L609" t="n">
        <v>0</v>
      </c>
      <c r="M609" t="n">
        <v>0</v>
      </c>
      <c r="N609" t="n">
        <v>0</v>
      </c>
      <c r="O609" t="n">
        <v>0</v>
      </c>
      <c r="P609" t="n">
        <v>0</v>
      </c>
      <c r="Q609" t="n">
        <v>0</v>
      </c>
      <c r="R609" s="2" t="inlineStr"/>
    </row>
    <row r="610" ht="15" customHeight="1">
      <c r="A610" t="inlineStr">
        <is>
          <t>A 34124-2022</t>
        </is>
      </c>
      <c r="B610" s="1" t="n">
        <v>44791.50940972222</v>
      </c>
      <c r="C610" s="1" t="n">
        <v>46103</v>
      </c>
      <c r="D610" t="inlineStr">
        <is>
          <t>KRONOBERGS LÄN</t>
        </is>
      </c>
      <c r="E610" t="inlineStr">
        <is>
          <t>TINGSRYD</t>
        </is>
      </c>
      <c r="G610" t="n">
        <v>2.6</v>
      </c>
      <c r="H610" t="n">
        <v>0</v>
      </c>
      <c r="I610" t="n">
        <v>0</v>
      </c>
      <c r="J610" t="n">
        <v>0</v>
      </c>
      <c r="K610" t="n">
        <v>0</v>
      </c>
      <c r="L610" t="n">
        <v>0</v>
      </c>
      <c r="M610" t="n">
        <v>0</v>
      </c>
      <c r="N610" t="n">
        <v>0</v>
      </c>
      <c r="O610" t="n">
        <v>0</v>
      </c>
      <c r="P610" t="n">
        <v>0</v>
      </c>
      <c r="Q610" t="n">
        <v>0</v>
      </c>
      <c r="R610" s="2" t="inlineStr"/>
    </row>
    <row r="611" ht="15" customHeight="1">
      <c r="A611" t="inlineStr">
        <is>
          <t>A 44121-2021</t>
        </is>
      </c>
      <c r="B611" s="1" t="n">
        <v>44434</v>
      </c>
      <c r="C611" s="1" t="n">
        <v>46103</v>
      </c>
      <c r="D611" t="inlineStr">
        <is>
          <t>KRONOBERGS LÄN</t>
        </is>
      </c>
      <c r="E611" t="inlineStr">
        <is>
          <t>UPPVIDINGE</t>
        </is>
      </c>
      <c r="G611" t="n">
        <v>0.2</v>
      </c>
      <c r="H611" t="n">
        <v>0</v>
      </c>
      <c r="I611" t="n">
        <v>0</v>
      </c>
      <c r="J611" t="n">
        <v>0</v>
      </c>
      <c r="K611" t="n">
        <v>0</v>
      </c>
      <c r="L611" t="n">
        <v>0</v>
      </c>
      <c r="M611" t="n">
        <v>0</v>
      </c>
      <c r="N611" t="n">
        <v>0</v>
      </c>
      <c r="O611" t="n">
        <v>0</v>
      </c>
      <c r="P611" t="n">
        <v>0</v>
      </c>
      <c r="Q611" t="n">
        <v>0</v>
      </c>
      <c r="R611" s="2" t="inlineStr"/>
    </row>
    <row r="612" ht="15" customHeight="1">
      <c r="A612" t="inlineStr">
        <is>
          <t>A 39474-2021</t>
        </is>
      </c>
      <c r="B612" s="1" t="n">
        <v>44414.61907407407</v>
      </c>
      <c r="C612" s="1" t="n">
        <v>46103</v>
      </c>
      <c r="D612" t="inlineStr">
        <is>
          <t>KRONOBERGS LÄN</t>
        </is>
      </c>
      <c r="E612" t="inlineStr">
        <is>
          <t>ALVESTA</t>
        </is>
      </c>
      <c r="G612" t="n">
        <v>2.9</v>
      </c>
      <c r="H612" t="n">
        <v>0</v>
      </c>
      <c r="I612" t="n">
        <v>0</v>
      </c>
      <c r="J612" t="n">
        <v>0</v>
      </c>
      <c r="K612" t="n">
        <v>0</v>
      </c>
      <c r="L612" t="n">
        <v>0</v>
      </c>
      <c r="M612" t="n">
        <v>0</v>
      </c>
      <c r="N612" t="n">
        <v>0</v>
      </c>
      <c r="O612" t="n">
        <v>0</v>
      </c>
      <c r="P612" t="n">
        <v>0</v>
      </c>
      <c r="Q612" t="n">
        <v>0</v>
      </c>
      <c r="R612" s="2" t="inlineStr"/>
    </row>
    <row r="613" ht="15" customHeight="1">
      <c r="A613" t="inlineStr">
        <is>
          <t>A 39550-2021</t>
        </is>
      </c>
      <c r="B613" s="1" t="n">
        <v>44416.46971064815</v>
      </c>
      <c r="C613" s="1" t="n">
        <v>46103</v>
      </c>
      <c r="D613" t="inlineStr">
        <is>
          <t>KRONOBERGS LÄN</t>
        </is>
      </c>
      <c r="E613" t="inlineStr">
        <is>
          <t>VÄXJÖ</t>
        </is>
      </c>
      <c r="G613" t="n">
        <v>1.1</v>
      </c>
      <c r="H613" t="n">
        <v>0</v>
      </c>
      <c r="I613" t="n">
        <v>0</v>
      </c>
      <c r="J613" t="n">
        <v>0</v>
      </c>
      <c r="K613" t="n">
        <v>0</v>
      </c>
      <c r="L613" t="n">
        <v>0</v>
      </c>
      <c r="M613" t="n">
        <v>0</v>
      </c>
      <c r="N613" t="n">
        <v>0</v>
      </c>
      <c r="O613" t="n">
        <v>0</v>
      </c>
      <c r="P613" t="n">
        <v>0</v>
      </c>
      <c r="Q613" t="n">
        <v>0</v>
      </c>
      <c r="R613" s="2" t="inlineStr"/>
    </row>
    <row r="614" ht="15" customHeight="1">
      <c r="A614" t="inlineStr">
        <is>
          <t>A 47817-2021</t>
        </is>
      </c>
      <c r="B614" s="1" t="n">
        <v>44448.62939814815</v>
      </c>
      <c r="C614" s="1" t="n">
        <v>46103</v>
      </c>
      <c r="D614" t="inlineStr">
        <is>
          <t>KRONOBERGS LÄN</t>
        </is>
      </c>
      <c r="E614" t="inlineStr">
        <is>
          <t>ÄLMHULT</t>
        </is>
      </c>
      <c r="G614" t="n">
        <v>2.5</v>
      </c>
      <c r="H614" t="n">
        <v>0</v>
      </c>
      <c r="I614" t="n">
        <v>0</v>
      </c>
      <c r="J614" t="n">
        <v>0</v>
      </c>
      <c r="K614" t="n">
        <v>0</v>
      </c>
      <c r="L614" t="n">
        <v>0</v>
      </c>
      <c r="M614" t="n">
        <v>0</v>
      </c>
      <c r="N614" t="n">
        <v>0</v>
      </c>
      <c r="O614" t="n">
        <v>0</v>
      </c>
      <c r="P614" t="n">
        <v>0</v>
      </c>
      <c r="Q614" t="n">
        <v>0</v>
      </c>
      <c r="R614" s="2" t="inlineStr"/>
    </row>
    <row r="615" ht="15" customHeight="1">
      <c r="A615" t="inlineStr">
        <is>
          <t>A 32701-2021</t>
        </is>
      </c>
      <c r="B615" s="1" t="n">
        <v>44375</v>
      </c>
      <c r="C615" s="1" t="n">
        <v>46103</v>
      </c>
      <c r="D615" t="inlineStr">
        <is>
          <t>KRONOBERGS LÄN</t>
        </is>
      </c>
      <c r="E615" t="inlineStr">
        <is>
          <t>UPPVIDINGE</t>
        </is>
      </c>
      <c r="G615" t="n">
        <v>1.6</v>
      </c>
      <c r="H615" t="n">
        <v>0</v>
      </c>
      <c r="I615" t="n">
        <v>0</v>
      </c>
      <c r="J615" t="n">
        <v>0</v>
      </c>
      <c r="K615" t="n">
        <v>0</v>
      </c>
      <c r="L615" t="n">
        <v>0</v>
      </c>
      <c r="M615" t="n">
        <v>0</v>
      </c>
      <c r="N615" t="n">
        <v>0</v>
      </c>
      <c r="O615" t="n">
        <v>0</v>
      </c>
      <c r="P615" t="n">
        <v>0</v>
      </c>
      <c r="Q615" t="n">
        <v>0</v>
      </c>
      <c r="R615" s="2" t="inlineStr"/>
    </row>
    <row r="616" ht="15" customHeight="1">
      <c r="A616" t="inlineStr">
        <is>
          <t>A 37773-2021</t>
        </is>
      </c>
      <c r="B616" s="1" t="n">
        <v>44400.7940162037</v>
      </c>
      <c r="C616" s="1" t="n">
        <v>46103</v>
      </c>
      <c r="D616" t="inlineStr">
        <is>
          <t>KRONOBERGS LÄN</t>
        </is>
      </c>
      <c r="E616" t="inlineStr">
        <is>
          <t>ÄLMHULT</t>
        </is>
      </c>
      <c r="G616" t="n">
        <v>1.4</v>
      </c>
      <c r="H616" t="n">
        <v>0</v>
      </c>
      <c r="I616" t="n">
        <v>0</v>
      </c>
      <c r="J616" t="n">
        <v>0</v>
      </c>
      <c r="K616" t="n">
        <v>0</v>
      </c>
      <c r="L616" t="n">
        <v>0</v>
      </c>
      <c r="M616" t="n">
        <v>0</v>
      </c>
      <c r="N616" t="n">
        <v>0</v>
      </c>
      <c r="O616" t="n">
        <v>0</v>
      </c>
      <c r="P616" t="n">
        <v>0</v>
      </c>
      <c r="Q616" t="n">
        <v>0</v>
      </c>
      <c r="R616" s="2" t="inlineStr"/>
    </row>
    <row r="617" ht="15" customHeight="1">
      <c r="A617" t="inlineStr">
        <is>
          <t>A 33462-2021</t>
        </is>
      </c>
      <c r="B617" s="1" t="n">
        <v>44377.64809027778</v>
      </c>
      <c r="C617" s="1" t="n">
        <v>46103</v>
      </c>
      <c r="D617" t="inlineStr">
        <is>
          <t>KRONOBERGS LÄN</t>
        </is>
      </c>
      <c r="E617" t="inlineStr">
        <is>
          <t>ÄLMHULT</t>
        </is>
      </c>
      <c r="G617" t="n">
        <v>1.4</v>
      </c>
      <c r="H617" t="n">
        <v>0</v>
      </c>
      <c r="I617" t="n">
        <v>0</v>
      </c>
      <c r="J617" t="n">
        <v>0</v>
      </c>
      <c r="K617" t="n">
        <v>0</v>
      </c>
      <c r="L617" t="n">
        <v>0</v>
      </c>
      <c r="M617" t="n">
        <v>0</v>
      </c>
      <c r="N617" t="n">
        <v>0</v>
      </c>
      <c r="O617" t="n">
        <v>0</v>
      </c>
      <c r="P617" t="n">
        <v>0</v>
      </c>
      <c r="Q617" t="n">
        <v>0</v>
      </c>
      <c r="R617" s="2" t="inlineStr"/>
    </row>
    <row r="618" ht="15" customHeight="1">
      <c r="A618" t="inlineStr">
        <is>
          <t>A 46173-2022</t>
        </is>
      </c>
      <c r="B618" s="1" t="n">
        <v>44845</v>
      </c>
      <c r="C618" s="1" t="n">
        <v>46103</v>
      </c>
      <c r="D618" t="inlineStr">
        <is>
          <t>KRONOBERGS LÄN</t>
        </is>
      </c>
      <c r="E618" t="inlineStr">
        <is>
          <t>UPPVIDINGE</t>
        </is>
      </c>
      <c r="F618" t="inlineStr">
        <is>
          <t>Kyrkan</t>
        </is>
      </c>
      <c r="G618" t="n">
        <v>0.7</v>
      </c>
      <c r="H618" t="n">
        <v>0</v>
      </c>
      <c r="I618" t="n">
        <v>0</v>
      </c>
      <c r="J618" t="n">
        <v>0</v>
      </c>
      <c r="K618" t="n">
        <v>0</v>
      </c>
      <c r="L618" t="n">
        <v>0</v>
      </c>
      <c r="M618" t="n">
        <v>0</v>
      </c>
      <c r="N618" t="n">
        <v>0</v>
      </c>
      <c r="O618" t="n">
        <v>0</v>
      </c>
      <c r="P618" t="n">
        <v>0</v>
      </c>
      <c r="Q618" t="n">
        <v>0</v>
      </c>
      <c r="R618" s="2" t="inlineStr"/>
    </row>
    <row r="619" ht="15" customHeight="1">
      <c r="A619" t="inlineStr">
        <is>
          <t>A 52859-2022</t>
        </is>
      </c>
      <c r="B619" s="1" t="n">
        <v>44875.48474537037</v>
      </c>
      <c r="C619" s="1" t="n">
        <v>46103</v>
      </c>
      <c r="D619" t="inlineStr">
        <is>
          <t>KRONOBERGS LÄN</t>
        </is>
      </c>
      <c r="E619" t="inlineStr">
        <is>
          <t>TINGSRYD</t>
        </is>
      </c>
      <c r="G619" t="n">
        <v>0.4</v>
      </c>
      <c r="H619" t="n">
        <v>0</v>
      </c>
      <c r="I619" t="n">
        <v>0</v>
      </c>
      <c r="J619" t="n">
        <v>0</v>
      </c>
      <c r="K619" t="n">
        <v>0</v>
      </c>
      <c r="L619" t="n">
        <v>0</v>
      </c>
      <c r="M619" t="n">
        <v>0</v>
      </c>
      <c r="N619" t="n">
        <v>0</v>
      </c>
      <c r="O619" t="n">
        <v>0</v>
      </c>
      <c r="P619" t="n">
        <v>0</v>
      </c>
      <c r="Q619" t="n">
        <v>0</v>
      </c>
      <c r="R619" s="2" t="inlineStr"/>
    </row>
    <row r="620" ht="15" customHeight="1">
      <c r="A620" t="inlineStr">
        <is>
          <t>A 47383-2021</t>
        </is>
      </c>
      <c r="B620" s="1" t="n">
        <v>44447</v>
      </c>
      <c r="C620" s="1" t="n">
        <v>46103</v>
      </c>
      <c r="D620" t="inlineStr">
        <is>
          <t>KRONOBERGS LÄN</t>
        </is>
      </c>
      <c r="E620" t="inlineStr">
        <is>
          <t>ALVESTA</t>
        </is>
      </c>
      <c r="G620" t="n">
        <v>0.7</v>
      </c>
      <c r="H620" t="n">
        <v>0</v>
      </c>
      <c r="I620" t="n">
        <v>0</v>
      </c>
      <c r="J620" t="n">
        <v>0</v>
      </c>
      <c r="K620" t="n">
        <v>0</v>
      </c>
      <c r="L620" t="n">
        <v>0</v>
      </c>
      <c r="M620" t="n">
        <v>0</v>
      </c>
      <c r="N620" t="n">
        <v>0</v>
      </c>
      <c r="O620" t="n">
        <v>0</v>
      </c>
      <c r="P620" t="n">
        <v>0</v>
      </c>
      <c r="Q620" t="n">
        <v>0</v>
      </c>
      <c r="R620" s="2" t="inlineStr"/>
    </row>
    <row r="621" ht="15" customHeight="1">
      <c r="A621" t="inlineStr">
        <is>
          <t>A 47399-2021</t>
        </is>
      </c>
      <c r="B621" s="1" t="n">
        <v>44447</v>
      </c>
      <c r="C621" s="1" t="n">
        <v>46103</v>
      </c>
      <c r="D621" t="inlineStr">
        <is>
          <t>KRONOBERGS LÄN</t>
        </is>
      </c>
      <c r="E621" t="inlineStr">
        <is>
          <t>TINGSRYD</t>
        </is>
      </c>
      <c r="G621" t="n">
        <v>1.8</v>
      </c>
      <c r="H621" t="n">
        <v>0</v>
      </c>
      <c r="I621" t="n">
        <v>0</v>
      </c>
      <c r="J621" t="n">
        <v>0</v>
      </c>
      <c r="K621" t="n">
        <v>0</v>
      </c>
      <c r="L621" t="n">
        <v>0</v>
      </c>
      <c r="M621" t="n">
        <v>0</v>
      </c>
      <c r="N621" t="n">
        <v>0</v>
      </c>
      <c r="O621" t="n">
        <v>0</v>
      </c>
      <c r="P621" t="n">
        <v>0</v>
      </c>
      <c r="Q621" t="n">
        <v>0</v>
      </c>
      <c r="R621" s="2" t="inlineStr"/>
    </row>
    <row r="622" ht="15" customHeight="1">
      <c r="A622" t="inlineStr">
        <is>
          <t>A 47414-2021</t>
        </is>
      </c>
      <c r="B622" s="1" t="n">
        <v>44447</v>
      </c>
      <c r="C622" s="1" t="n">
        <v>46103</v>
      </c>
      <c r="D622" t="inlineStr">
        <is>
          <t>KRONOBERGS LÄN</t>
        </is>
      </c>
      <c r="E622" t="inlineStr">
        <is>
          <t>ÄLMHULT</t>
        </is>
      </c>
      <c r="G622" t="n">
        <v>2.1</v>
      </c>
      <c r="H622" t="n">
        <v>0</v>
      </c>
      <c r="I622" t="n">
        <v>0</v>
      </c>
      <c r="J622" t="n">
        <v>0</v>
      </c>
      <c r="K622" t="n">
        <v>0</v>
      </c>
      <c r="L622" t="n">
        <v>0</v>
      </c>
      <c r="M622" t="n">
        <v>0</v>
      </c>
      <c r="N622" t="n">
        <v>0</v>
      </c>
      <c r="O622" t="n">
        <v>0</v>
      </c>
      <c r="P622" t="n">
        <v>0</v>
      </c>
      <c r="Q622" t="n">
        <v>0</v>
      </c>
      <c r="R622" s="2" t="inlineStr"/>
    </row>
    <row r="623" ht="15" customHeight="1">
      <c r="A623" t="inlineStr">
        <is>
          <t>A 48845-2022</t>
        </is>
      </c>
      <c r="B623" s="1" t="n">
        <v>44859.67766203704</v>
      </c>
      <c r="C623" s="1" t="n">
        <v>46103</v>
      </c>
      <c r="D623" t="inlineStr">
        <is>
          <t>KRONOBERGS LÄN</t>
        </is>
      </c>
      <c r="E623" t="inlineStr">
        <is>
          <t>MARKARYD</t>
        </is>
      </c>
      <c r="G623" t="n">
        <v>1</v>
      </c>
      <c r="H623" t="n">
        <v>0</v>
      </c>
      <c r="I623" t="n">
        <v>0</v>
      </c>
      <c r="J623" t="n">
        <v>0</v>
      </c>
      <c r="K623" t="n">
        <v>0</v>
      </c>
      <c r="L623" t="n">
        <v>0</v>
      </c>
      <c r="M623" t="n">
        <v>0</v>
      </c>
      <c r="N623" t="n">
        <v>0</v>
      </c>
      <c r="O623" t="n">
        <v>0</v>
      </c>
      <c r="P623" t="n">
        <v>0</v>
      </c>
      <c r="Q623" t="n">
        <v>0</v>
      </c>
      <c r="R623" s="2" t="inlineStr"/>
    </row>
    <row r="624" ht="15" customHeight="1">
      <c r="A624" t="inlineStr">
        <is>
          <t>A 55622-2021</t>
        </is>
      </c>
      <c r="B624" s="1" t="n">
        <v>44476</v>
      </c>
      <c r="C624" s="1" t="n">
        <v>46103</v>
      </c>
      <c r="D624" t="inlineStr">
        <is>
          <t>KRONOBERGS LÄN</t>
        </is>
      </c>
      <c r="E624" t="inlineStr">
        <is>
          <t>VÄXJÖ</t>
        </is>
      </c>
      <c r="G624" t="n">
        <v>0.2</v>
      </c>
      <c r="H624" t="n">
        <v>0</v>
      </c>
      <c r="I624" t="n">
        <v>0</v>
      </c>
      <c r="J624" t="n">
        <v>0</v>
      </c>
      <c r="K624" t="n">
        <v>0</v>
      </c>
      <c r="L624" t="n">
        <v>0</v>
      </c>
      <c r="M624" t="n">
        <v>0</v>
      </c>
      <c r="N624" t="n">
        <v>0</v>
      </c>
      <c r="O624" t="n">
        <v>0</v>
      </c>
      <c r="P624" t="n">
        <v>0</v>
      </c>
      <c r="Q624" t="n">
        <v>0</v>
      </c>
      <c r="R624" s="2" t="inlineStr"/>
    </row>
    <row r="625" ht="15" customHeight="1">
      <c r="A625" t="inlineStr">
        <is>
          <t>A 34829-2021</t>
        </is>
      </c>
      <c r="B625" s="1" t="n">
        <v>44383.37193287037</v>
      </c>
      <c r="C625" s="1" t="n">
        <v>46103</v>
      </c>
      <c r="D625" t="inlineStr">
        <is>
          <t>KRONOBERGS LÄN</t>
        </is>
      </c>
      <c r="E625" t="inlineStr">
        <is>
          <t>ÄLMHULT</t>
        </is>
      </c>
      <c r="G625" t="n">
        <v>3.5</v>
      </c>
      <c r="H625" t="n">
        <v>0</v>
      </c>
      <c r="I625" t="n">
        <v>0</v>
      </c>
      <c r="J625" t="n">
        <v>0</v>
      </c>
      <c r="K625" t="n">
        <v>0</v>
      </c>
      <c r="L625" t="n">
        <v>0</v>
      </c>
      <c r="M625" t="n">
        <v>0</v>
      </c>
      <c r="N625" t="n">
        <v>0</v>
      </c>
      <c r="O625" t="n">
        <v>0</v>
      </c>
      <c r="P625" t="n">
        <v>0</v>
      </c>
      <c r="Q625" t="n">
        <v>0</v>
      </c>
      <c r="R625" s="2" t="inlineStr"/>
    </row>
    <row r="626" ht="15" customHeight="1">
      <c r="A626" t="inlineStr">
        <is>
          <t>A 69768-2021</t>
        </is>
      </c>
      <c r="B626" s="1" t="n">
        <v>44532</v>
      </c>
      <c r="C626" s="1" t="n">
        <v>46103</v>
      </c>
      <c r="D626" t="inlineStr">
        <is>
          <t>KRONOBERGS LÄN</t>
        </is>
      </c>
      <c r="E626" t="inlineStr">
        <is>
          <t>TINGSRYD</t>
        </is>
      </c>
      <c r="G626" t="n">
        <v>2.4</v>
      </c>
      <c r="H626" t="n">
        <v>0</v>
      </c>
      <c r="I626" t="n">
        <v>0</v>
      </c>
      <c r="J626" t="n">
        <v>0</v>
      </c>
      <c r="K626" t="n">
        <v>0</v>
      </c>
      <c r="L626" t="n">
        <v>0</v>
      </c>
      <c r="M626" t="n">
        <v>0</v>
      </c>
      <c r="N626" t="n">
        <v>0</v>
      </c>
      <c r="O626" t="n">
        <v>0</v>
      </c>
      <c r="P626" t="n">
        <v>0</v>
      </c>
      <c r="Q626" t="n">
        <v>0</v>
      </c>
      <c r="R626" s="2" t="inlineStr"/>
    </row>
    <row r="627" ht="15" customHeight="1">
      <c r="A627" t="inlineStr">
        <is>
          <t>A 38993-2021</t>
        </is>
      </c>
      <c r="B627" s="1" t="n">
        <v>44412</v>
      </c>
      <c r="C627" s="1" t="n">
        <v>46103</v>
      </c>
      <c r="D627" t="inlineStr">
        <is>
          <t>KRONOBERGS LÄN</t>
        </is>
      </c>
      <c r="E627" t="inlineStr">
        <is>
          <t>ALVESTA</t>
        </is>
      </c>
      <c r="G627" t="n">
        <v>7.9</v>
      </c>
      <c r="H627" t="n">
        <v>0</v>
      </c>
      <c r="I627" t="n">
        <v>0</v>
      </c>
      <c r="J627" t="n">
        <v>0</v>
      </c>
      <c r="K627" t="n">
        <v>0</v>
      </c>
      <c r="L627" t="n">
        <v>0</v>
      </c>
      <c r="M627" t="n">
        <v>0</v>
      </c>
      <c r="N627" t="n">
        <v>0</v>
      </c>
      <c r="O627" t="n">
        <v>0</v>
      </c>
      <c r="P627" t="n">
        <v>0</v>
      </c>
      <c r="Q627" t="n">
        <v>0</v>
      </c>
      <c r="R627" s="2" t="inlineStr"/>
    </row>
    <row r="628" ht="15" customHeight="1">
      <c r="A628" t="inlineStr">
        <is>
          <t>A 60165-2021</t>
        </is>
      </c>
      <c r="B628" s="1" t="n">
        <v>44495</v>
      </c>
      <c r="C628" s="1" t="n">
        <v>46103</v>
      </c>
      <c r="D628" t="inlineStr">
        <is>
          <t>KRONOBERGS LÄN</t>
        </is>
      </c>
      <c r="E628" t="inlineStr">
        <is>
          <t>VÄXJÖ</t>
        </is>
      </c>
      <c r="G628" t="n">
        <v>0.5</v>
      </c>
      <c r="H628" t="n">
        <v>0</v>
      </c>
      <c r="I628" t="n">
        <v>0</v>
      </c>
      <c r="J628" t="n">
        <v>0</v>
      </c>
      <c r="K628" t="n">
        <v>0</v>
      </c>
      <c r="L628" t="n">
        <v>0</v>
      </c>
      <c r="M628" t="n">
        <v>0</v>
      </c>
      <c r="N628" t="n">
        <v>0</v>
      </c>
      <c r="O628" t="n">
        <v>0</v>
      </c>
      <c r="P628" t="n">
        <v>0</v>
      </c>
      <c r="Q628" t="n">
        <v>0</v>
      </c>
      <c r="R628" s="2" t="inlineStr"/>
    </row>
    <row r="629" ht="15" customHeight="1">
      <c r="A629" t="inlineStr">
        <is>
          <t>A 6058-2022</t>
        </is>
      </c>
      <c r="B629" s="1" t="n">
        <v>44599.55104166667</v>
      </c>
      <c r="C629" s="1" t="n">
        <v>46103</v>
      </c>
      <c r="D629" t="inlineStr">
        <is>
          <t>KRONOBERGS LÄN</t>
        </is>
      </c>
      <c r="E629" t="inlineStr">
        <is>
          <t>VÄXJÖ</t>
        </is>
      </c>
      <c r="G629" t="n">
        <v>3.1</v>
      </c>
      <c r="H629" t="n">
        <v>0</v>
      </c>
      <c r="I629" t="n">
        <v>0</v>
      </c>
      <c r="J629" t="n">
        <v>0</v>
      </c>
      <c r="K629" t="n">
        <v>0</v>
      </c>
      <c r="L629" t="n">
        <v>0</v>
      </c>
      <c r="M629" t="n">
        <v>0</v>
      </c>
      <c r="N629" t="n">
        <v>0</v>
      </c>
      <c r="O629" t="n">
        <v>0</v>
      </c>
      <c r="P629" t="n">
        <v>0</v>
      </c>
      <c r="Q629" t="n">
        <v>0</v>
      </c>
      <c r="R629" s="2" t="inlineStr"/>
    </row>
    <row r="630" ht="15" customHeight="1">
      <c r="A630" t="inlineStr">
        <is>
          <t>A 62684-2021</t>
        </is>
      </c>
      <c r="B630" s="1" t="n">
        <v>44504</v>
      </c>
      <c r="C630" s="1" t="n">
        <v>46103</v>
      </c>
      <c r="D630" t="inlineStr">
        <is>
          <t>KRONOBERGS LÄN</t>
        </is>
      </c>
      <c r="E630" t="inlineStr">
        <is>
          <t>ÄLMHULT</t>
        </is>
      </c>
      <c r="G630" t="n">
        <v>0.5</v>
      </c>
      <c r="H630" t="n">
        <v>0</v>
      </c>
      <c r="I630" t="n">
        <v>0</v>
      </c>
      <c r="J630" t="n">
        <v>0</v>
      </c>
      <c r="K630" t="n">
        <v>0</v>
      </c>
      <c r="L630" t="n">
        <v>0</v>
      </c>
      <c r="M630" t="n">
        <v>0</v>
      </c>
      <c r="N630" t="n">
        <v>0</v>
      </c>
      <c r="O630" t="n">
        <v>0</v>
      </c>
      <c r="P630" t="n">
        <v>0</v>
      </c>
      <c r="Q630" t="n">
        <v>0</v>
      </c>
      <c r="R630" s="2" t="inlineStr"/>
    </row>
    <row r="631" ht="15" customHeight="1">
      <c r="A631" t="inlineStr">
        <is>
          <t>A 62695-2021</t>
        </is>
      </c>
      <c r="B631" s="1" t="n">
        <v>44504</v>
      </c>
      <c r="C631" s="1" t="n">
        <v>46103</v>
      </c>
      <c r="D631" t="inlineStr">
        <is>
          <t>KRONOBERGS LÄN</t>
        </is>
      </c>
      <c r="E631" t="inlineStr">
        <is>
          <t>ALVESTA</t>
        </is>
      </c>
      <c r="G631" t="n">
        <v>5.5</v>
      </c>
      <c r="H631" t="n">
        <v>0</v>
      </c>
      <c r="I631" t="n">
        <v>0</v>
      </c>
      <c r="J631" t="n">
        <v>0</v>
      </c>
      <c r="K631" t="n">
        <v>0</v>
      </c>
      <c r="L631" t="n">
        <v>0</v>
      </c>
      <c r="M631" t="n">
        <v>0</v>
      </c>
      <c r="N631" t="n">
        <v>0</v>
      </c>
      <c r="O631" t="n">
        <v>0</v>
      </c>
      <c r="P631" t="n">
        <v>0</v>
      </c>
      <c r="Q631" t="n">
        <v>0</v>
      </c>
      <c r="R631" s="2" t="inlineStr"/>
    </row>
    <row r="632" ht="15" customHeight="1">
      <c r="A632" t="inlineStr">
        <is>
          <t>A 49084-2021</t>
        </is>
      </c>
      <c r="B632" s="1" t="n">
        <v>44453.64589120371</v>
      </c>
      <c r="C632" s="1" t="n">
        <v>46103</v>
      </c>
      <c r="D632" t="inlineStr">
        <is>
          <t>KRONOBERGS LÄN</t>
        </is>
      </c>
      <c r="E632" t="inlineStr">
        <is>
          <t>ÄLMHULT</t>
        </is>
      </c>
      <c r="G632" t="n">
        <v>0.6</v>
      </c>
      <c r="H632" t="n">
        <v>0</v>
      </c>
      <c r="I632" t="n">
        <v>0</v>
      </c>
      <c r="J632" t="n">
        <v>0</v>
      </c>
      <c r="K632" t="n">
        <v>0</v>
      </c>
      <c r="L632" t="n">
        <v>0</v>
      </c>
      <c r="M632" t="n">
        <v>0</v>
      </c>
      <c r="N632" t="n">
        <v>0</v>
      </c>
      <c r="O632" t="n">
        <v>0</v>
      </c>
      <c r="P632" t="n">
        <v>0</v>
      </c>
      <c r="Q632" t="n">
        <v>0</v>
      </c>
      <c r="R632" s="2" t="inlineStr"/>
    </row>
    <row r="633" ht="15" customHeight="1">
      <c r="A633" t="inlineStr">
        <is>
          <t>A 32764-2021</t>
        </is>
      </c>
      <c r="B633" s="1" t="n">
        <v>44375</v>
      </c>
      <c r="C633" s="1" t="n">
        <v>46103</v>
      </c>
      <c r="D633" t="inlineStr">
        <is>
          <t>KRONOBERGS LÄN</t>
        </is>
      </c>
      <c r="E633" t="inlineStr">
        <is>
          <t>UPPVIDINGE</t>
        </is>
      </c>
      <c r="G633" t="n">
        <v>0.5</v>
      </c>
      <c r="H633" t="n">
        <v>0</v>
      </c>
      <c r="I633" t="n">
        <v>0</v>
      </c>
      <c r="J633" t="n">
        <v>0</v>
      </c>
      <c r="K633" t="n">
        <v>0</v>
      </c>
      <c r="L633" t="n">
        <v>0</v>
      </c>
      <c r="M633" t="n">
        <v>0</v>
      </c>
      <c r="N633" t="n">
        <v>0</v>
      </c>
      <c r="O633" t="n">
        <v>0</v>
      </c>
      <c r="P633" t="n">
        <v>0</v>
      </c>
      <c r="Q633" t="n">
        <v>0</v>
      </c>
      <c r="R633" s="2" t="inlineStr"/>
    </row>
    <row r="634" ht="15" customHeight="1">
      <c r="A634" t="inlineStr">
        <is>
          <t>A 8140-2022</t>
        </is>
      </c>
      <c r="B634" s="1" t="n">
        <v>44609.61655092592</v>
      </c>
      <c r="C634" s="1" t="n">
        <v>46103</v>
      </c>
      <c r="D634" t="inlineStr">
        <is>
          <t>KRONOBERGS LÄN</t>
        </is>
      </c>
      <c r="E634" t="inlineStr">
        <is>
          <t>ALVESTA</t>
        </is>
      </c>
      <c r="G634" t="n">
        <v>0.7</v>
      </c>
      <c r="H634" t="n">
        <v>0</v>
      </c>
      <c r="I634" t="n">
        <v>0</v>
      </c>
      <c r="J634" t="n">
        <v>0</v>
      </c>
      <c r="K634" t="n">
        <v>0</v>
      </c>
      <c r="L634" t="n">
        <v>0</v>
      </c>
      <c r="M634" t="n">
        <v>0</v>
      </c>
      <c r="N634" t="n">
        <v>0</v>
      </c>
      <c r="O634" t="n">
        <v>0</v>
      </c>
      <c r="P634" t="n">
        <v>0</v>
      </c>
      <c r="Q634" t="n">
        <v>0</v>
      </c>
      <c r="R634" s="2" t="inlineStr"/>
    </row>
    <row r="635" ht="15" customHeight="1">
      <c r="A635" t="inlineStr">
        <is>
          <t>A 61906-2021</t>
        </is>
      </c>
      <c r="B635" s="1" t="n">
        <v>44502.34869212963</v>
      </c>
      <c r="C635" s="1" t="n">
        <v>46103</v>
      </c>
      <c r="D635" t="inlineStr">
        <is>
          <t>KRONOBERGS LÄN</t>
        </is>
      </c>
      <c r="E635" t="inlineStr">
        <is>
          <t>LJUNGBY</t>
        </is>
      </c>
      <c r="G635" t="n">
        <v>5.6</v>
      </c>
      <c r="H635" t="n">
        <v>0</v>
      </c>
      <c r="I635" t="n">
        <v>0</v>
      </c>
      <c r="J635" t="n">
        <v>0</v>
      </c>
      <c r="K635" t="n">
        <v>0</v>
      </c>
      <c r="L635" t="n">
        <v>0</v>
      </c>
      <c r="M635" t="n">
        <v>0</v>
      </c>
      <c r="N635" t="n">
        <v>0</v>
      </c>
      <c r="O635" t="n">
        <v>0</v>
      </c>
      <c r="P635" t="n">
        <v>0</v>
      </c>
      <c r="Q635" t="n">
        <v>0</v>
      </c>
      <c r="R635" s="2" t="inlineStr"/>
    </row>
    <row r="636" ht="15" customHeight="1">
      <c r="A636" t="inlineStr">
        <is>
          <t>A 36089-2021</t>
        </is>
      </c>
      <c r="B636" s="1" t="n">
        <v>44389.50287037037</v>
      </c>
      <c r="C636" s="1" t="n">
        <v>46103</v>
      </c>
      <c r="D636" t="inlineStr">
        <is>
          <t>KRONOBERGS LÄN</t>
        </is>
      </c>
      <c r="E636" t="inlineStr">
        <is>
          <t>VÄXJÖ</t>
        </is>
      </c>
      <c r="G636" t="n">
        <v>0.7</v>
      </c>
      <c r="H636" t="n">
        <v>0</v>
      </c>
      <c r="I636" t="n">
        <v>0</v>
      </c>
      <c r="J636" t="n">
        <v>0</v>
      </c>
      <c r="K636" t="n">
        <v>0</v>
      </c>
      <c r="L636" t="n">
        <v>0</v>
      </c>
      <c r="M636" t="n">
        <v>0</v>
      </c>
      <c r="N636" t="n">
        <v>0</v>
      </c>
      <c r="O636" t="n">
        <v>0</v>
      </c>
      <c r="P636" t="n">
        <v>0</v>
      </c>
      <c r="Q636" t="n">
        <v>0</v>
      </c>
      <c r="R636" s="2" t="inlineStr"/>
    </row>
    <row r="637" ht="15" customHeight="1">
      <c r="A637" t="inlineStr">
        <is>
          <t>A 49683-2021</t>
        </is>
      </c>
      <c r="B637" s="1" t="n">
        <v>44455</v>
      </c>
      <c r="C637" s="1" t="n">
        <v>46103</v>
      </c>
      <c r="D637" t="inlineStr">
        <is>
          <t>KRONOBERGS LÄN</t>
        </is>
      </c>
      <c r="E637" t="inlineStr">
        <is>
          <t>TINGSRYD</t>
        </is>
      </c>
      <c r="G637" t="n">
        <v>2</v>
      </c>
      <c r="H637" t="n">
        <v>0</v>
      </c>
      <c r="I637" t="n">
        <v>0</v>
      </c>
      <c r="J637" t="n">
        <v>0</v>
      </c>
      <c r="K637" t="n">
        <v>0</v>
      </c>
      <c r="L637" t="n">
        <v>0</v>
      </c>
      <c r="M637" t="n">
        <v>0</v>
      </c>
      <c r="N637" t="n">
        <v>0</v>
      </c>
      <c r="O637" t="n">
        <v>0</v>
      </c>
      <c r="P637" t="n">
        <v>0</v>
      </c>
      <c r="Q637" t="n">
        <v>0</v>
      </c>
      <c r="R637" s="2" t="inlineStr"/>
    </row>
    <row r="638" ht="15" customHeight="1">
      <c r="A638" t="inlineStr">
        <is>
          <t>A 14247-2022</t>
        </is>
      </c>
      <c r="B638" s="1" t="n">
        <v>44651</v>
      </c>
      <c r="C638" s="1" t="n">
        <v>46103</v>
      </c>
      <c r="D638" t="inlineStr">
        <is>
          <t>KRONOBERGS LÄN</t>
        </is>
      </c>
      <c r="E638" t="inlineStr">
        <is>
          <t>VÄXJÖ</t>
        </is>
      </c>
      <c r="G638" t="n">
        <v>2.5</v>
      </c>
      <c r="H638" t="n">
        <v>0</v>
      </c>
      <c r="I638" t="n">
        <v>0</v>
      </c>
      <c r="J638" t="n">
        <v>0</v>
      </c>
      <c r="K638" t="n">
        <v>0</v>
      </c>
      <c r="L638" t="n">
        <v>0</v>
      </c>
      <c r="M638" t="n">
        <v>0</v>
      </c>
      <c r="N638" t="n">
        <v>0</v>
      </c>
      <c r="O638" t="n">
        <v>0</v>
      </c>
      <c r="P638" t="n">
        <v>0</v>
      </c>
      <c r="Q638" t="n">
        <v>0</v>
      </c>
      <c r="R638" s="2" t="inlineStr"/>
    </row>
    <row r="639" ht="15" customHeight="1">
      <c r="A639" t="inlineStr">
        <is>
          <t>A 50335-2021</t>
        </is>
      </c>
      <c r="B639" s="1" t="n">
        <v>44459.41479166667</v>
      </c>
      <c r="C639" s="1" t="n">
        <v>46103</v>
      </c>
      <c r="D639" t="inlineStr">
        <is>
          <t>KRONOBERGS LÄN</t>
        </is>
      </c>
      <c r="E639" t="inlineStr">
        <is>
          <t>TINGSRYD</t>
        </is>
      </c>
      <c r="G639" t="n">
        <v>3.2</v>
      </c>
      <c r="H639" t="n">
        <v>0</v>
      </c>
      <c r="I639" t="n">
        <v>0</v>
      </c>
      <c r="J639" t="n">
        <v>0</v>
      </c>
      <c r="K639" t="n">
        <v>0</v>
      </c>
      <c r="L639" t="n">
        <v>0</v>
      </c>
      <c r="M639" t="n">
        <v>0</v>
      </c>
      <c r="N639" t="n">
        <v>0</v>
      </c>
      <c r="O639" t="n">
        <v>0</v>
      </c>
      <c r="P639" t="n">
        <v>0</v>
      </c>
      <c r="Q639" t="n">
        <v>0</v>
      </c>
      <c r="R639" s="2" t="inlineStr"/>
    </row>
    <row r="640" ht="15" customHeight="1">
      <c r="A640" t="inlineStr">
        <is>
          <t>A 53251-2022</t>
        </is>
      </c>
      <c r="B640" s="1" t="n">
        <v>44876.69045138889</v>
      </c>
      <c r="C640" s="1" t="n">
        <v>46103</v>
      </c>
      <c r="D640" t="inlineStr">
        <is>
          <t>KRONOBERGS LÄN</t>
        </is>
      </c>
      <c r="E640" t="inlineStr">
        <is>
          <t>VÄXJÖ</t>
        </is>
      </c>
      <c r="F640" t="inlineStr">
        <is>
          <t>Sveaskog</t>
        </is>
      </c>
      <c r="G640" t="n">
        <v>3.6</v>
      </c>
      <c r="H640" t="n">
        <v>0</v>
      </c>
      <c r="I640" t="n">
        <v>0</v>
      </c>
      <c r="J640" t="n">
        <v>0</v>
      </c>
      <c r="K640" t="n">
        <v>0</v>
      </c>
      <c r="L640" t="n">
        <v>0</v>
      </c>
      <c r="M640" t="n">
        <v>0</v>
      </c>
      <c r="N640" t="n">
        <v>0</v>
      </c>
      <c r="O640" t="n">
        <v>0</v>
      </c>
      <c r="P640" t="n">
        <v>0</v>
      </c>
      <c r="Q640" t="n">
        <v>0</v>
      </c>
      <c r="R640" s="2" t="inlineStr"/>
    </row>
    <row r="641" ht="15" customHeight="1">
      <c r="A641" t="inlineStr">
        <is>
          <t>A 37337-2021</t>
        </is>
      </c>
      <c r="B641" s="1" t="n">
        <v>44397</v>
      </c>
      <c r="C641" s="1" t="n">
        <v>46103</v>
      </c>
      <c r="D641" t="inlineStr">
        <is>
          <t>KRONOBERGS LÄN</t>
        </is>
      </c>
      <c r="E641" t="inlineStr">
        <is>
          <t>ÄLMHULT</t>
        </is>
      </c>
      <c r="G641" t="n">
        <v>2</v>
      </c>
      <c r="H641" t="n">
        <v>0</v>
      </c>
      <c r="I641" t="n">
        <v>0</v>
      </c>
      <c r="J641" t="n">
        <v>0</v>
      </c>
      <c r="K641" t="n">
        <v>0</v>
      </c>
      <c r="L641" t="n">
        <v>0</v>
      </c>
      <c r="M641" t="n">
        <v>0</v>
      </c>
      <c r="N641" t="n">
        <v>0</v>
      </c>
      <c r="O641" t="n">
        <v>0</v>
      </c>
      <c r="P641" t="n">
        <v>0</v>
      </c>
      <c r="Q641" t="n">
        <v>0</v>
      </c>
      <c r="R641" s="2" t="inlineStr"/>
    </row>
    <row r="642" ht="15" customHeight="1">
      <c r="A642" t="inlineStr">
        <is>
          <t>A 53352-2022</t>
        </is>
      </c>
      <c r="B642" s="1" t="n">
        <v>44879.36677083333</v>
      </c>
      <c r="C642" s="1" t="n">
        <v>46103</v>
      </c>
      <c r="D642" t="inlineStr">
        <is>
          <t>KRONOBERGS LÄN</t>
        </is>
      </c>
      <c r="E642" t="inlineStr">
        <is>
          <t>TINGSRYD</t>
        </is>
      </c>
      <c r="G642" t="n">
        <v>1</v>
      </c>
      <c r="H642" t="n">
        <v>0</v>
      </c>
      <c r="I642" t="n">
        <v>0</v>
      </c>
      <c r="J642" t="n">
        <v>0</v>
      </c>
      <c r="K642" t="n">
        <v>0</v>
      </c>
      <c r="L642" t="n">
        <v>0</v>
      </c>
      <c r="M642" t="n">
        <v>0</v>
      </c>
      <c r="N642" t="n">
        <v>0</v>
      </c>
      <c r="O642" t="n">
        <v>0</v>
      </c>
      <c r="P642" t="n">
        <v>0</v>
      </c>
      <c r="Q642" t="n">
        <v>0</v>
      </c>
      <c r="R642" s="2" t="inlineStr"/>
    </row>
    <row r="643" ht="15" customHeight="1">
      <c r="A643" t="inlineStr">
        <is>
          <t>A 15272-2021</t>
        </is>
      </c>
      <c r="B643" s="1" t="n">
        <v>44284.57021990741</v>
      </c>
      <c r="C643" s="1" t="n">
        <v>46103</v>
      </c>
      <c r="D643" t="inlineStr">
        <is>
          <t>KRONOBERGS LÄN</t>
        </is>
      </c>
      <c r="E643" t="inlineStr">
        <is>
          <t>VÄXJÖ</t>
        </is>
      </c>
      <c r="G643" t="n">
        <v>1.1</v>
      </c>
      <c r="H643" t="n">
        <v>0</v>
      </c>
      <c r="I643" t="n">
        <v>0</v>
      </c>
      <c r="J643" t="n">
        <v>0</v>
      </c>
      <c r="K643" t="n">
        <v>0</v>
      </c>
      <c r="L643" t="n">
        <v>0</v>
      </c>
      <c r="M643" t="n">
        <v>0</v>
      </c>
      <c r="N643" t="n">
        <v>0</v>
      </c>
      <c r="O643" t="n">
        <v>0</v>
      </c>
      <c r="P643" t="n">
        <v>0</v>
      </c>
      <c r="Q643" t="n">
        <v>0</v>
      </c>
      <c r="R643" s="2" t="inlineStr"/>
    </row>
    <row r="644" ht="15" customHeight="1">
      <c r="A644" t="inlineStr">
        <is>
          <t>A 30611-2021</t>
        </is>
      </c>
      <c r="B644" s="1" t="n">
        <v>44364</v>
      </c>
      <c r="C644" s="1" t="n">
        <v>46103</v>
      </c>
      <c r="D644" t="inlineStr">
        <is>
          <t>KRONOBERGS LÄN</t>
        </is>
      </c>
      <c r="E644" t="inlineStr">
        <is>
          <t>UPPVIDINGE</t>
        </is>
      </c>
      <c r="G644" t="n">
        <v>0.8</v>
      </c>
      <c r="H644" t="n">
        <v>0</v>
      </c>
      <c r="I644" t="n">
        <v>0</v>
      </c>
      <c r="J644" t="n">
        <v>0</v>
      </c>
      <c r="K644" t="n">
        <v>0</v>
      </c>
      <c r="L644" t="n">
        <v>0</v>
      </c>
      <c r="M644" t="n">
        <v>0</v>
      </c>
      <c r="N644" t="n">
        <v>0</v>
      </c>
      <c r="O644" t="n">
        <v>0</v>
      </c>
      <c r="P644" t="n">
        <v>0</v>
      </c>
      <c r="Q644" t="n">
        <v>0</v>
      </c>
      <c r="R644" s="2" t="inlineStr"/>
    </row>
    <row r="645" ht="15" customHeight="1">
      <c r="A645" t="inlineStr">
        <is>
          <t>A 5494-2022</t>
        </is>
      </c>
      <c r="B645" s="1" t="n">
        <v>44595.53346064815</v>
      </c>
      <c r="C645" s="1" t="n">
        <v>46103</v>
      </c>
      <c r="D645" t="inlineStr">
        <is>
          <t>KRONOBERGS LÄN</t>
        </is>
      </c>
      <c r="E645" t="inlineStr">
        <is>
          <t>TINGSRYD</t>
        </is>
      </c>
      <c r="G645" t="n">
        <v>0.6</v>
      </c>
      <c r="H645" t="n">
        <v>0</v>
      </c>
      <c r="I645" t="n">
        <v>0</v>
      </c>
      <c r="J645" t="n">
        <v>0</v>
      </c>
      <c r="K645" t="n">
        <v>0</v>
      </c>
      <c r="L645" t="n">
        <v>0</v>
      </c>
      <c r="M645" t="n">
        <v>0</v>
      </c>
      <c r="N645" t="n">
        <v>0</v>
      </c>
      <c r="O645" t="n">
        <v>0</v>
      </c>
      <c r="P645" t="n">
        <v>0</v>
      </c>
      <c r="Q645" t="n">
        <v>0</v>
      </c>
      <c r="R645" s="2" t="inlineStr"/>
    </row>
    <row r="646" ht="15" customHeight="1">
      <c r="A646" t="inlineStr">
        <is>
          <t>A 50270-2021</t>
        </is>
      </c>
      <c r="B646" s="1" t="n">
        <v>44459</v>
      </c>
      <c r="C646" s="1" t="n">
        <v>46103</v>
      </c>
      <c r="D646" t="inlineStr">
        <is>
          <t>KRONOBERGS LÄN</t>
        </is>
      </c>
      <c r="E646" t="inlineStr">
        <is>
          <t>LJUNGBY</t>
        </is>
      </c>
      <c r="G646" t="n">
        <v>1.5</v>
      </c>
      <c r="H646" t="n">
        <v>0</v>
      </c>
      <c r="I646" t="n">
        <v>0</v>
      </c>
      <c r="J646" t="n">
        <v>0</v>
      </c>
      <c r="K646" t="n">
        <v>0</v>
      </c>
      <c r="L646" t="n">
        <v>0</v>
      </c>
      <c r="M646" t="n">
        <v>0</v>
      </c>
      <c r="N646" t="n">
        <v>0</v>
      </c>
      <c r="O646" t="n">
        <v>0</v>
      </c>
      <c r="P646" t="n">
        <v>0</v>
      </c>
      <c r="Q646" t="n">
        <v>0</v>
      </c>
      <c r="R646" s="2" t="inlineStr"/>
    </row>
    <row r="647" ht="15" customHeight="1">
      <c r="A647" t="inlineStr">
        <is>
          <t>A 6823-2022</t>
        </is>
      </c>
      <c r="B647" s="1" t="n">
        <v>44602.59478009259</v>
      </c>
      <c r="C647" s="1" t="n">
        <v>46103</v>
      </c>
      <c r="D647" t="inlineStr">
        <is>
          <t>KRONOBERGS LÄN</t>
        </is>
      </c>
      <c r="E647" t="inlineStr">
        <is>
          <t>ÄLMHULT</t>
        </is>
      </c>
      <c r="G647" t="n">
        <v>2.3</v>
      </c>
      <c r="H647" t="n">
        <v>0</v>
      </c>
      <c r="I647" t="n">
        <v>0</v>
      </c>
      <c r="J647" t="n">
        <v>0</v>
      </c>
      <c r="K647" t="n">
        <v>0</v>
      </c>
      <c r="L647" t="n">
        <v>0</v>
      </c>
      <c r="M647" t="n">
        <v>0</v>
      </c>
      <c r="N647" t="n">
        <v>0</v>
      </c>
      <c r="O647" t="n">
        <v>0</v>
      </c>
      <c r="P647" t="n">
        <v>0</v>
      </c>
      <c r="Q647" t="n">
        <v>0</v>
      </c>
      <c r="R647" s="2" t="inlineStr"/>
    </row>
    <row r="648" ht="15" customHeight="1">
      <c r="A648" t="inlineStr">
        <is>
          <t>A 45672-2021</t>
        </is>
      </c>
      <c r="B648" s="1" t="n">
        <v>44441</v>
      </c>
      <c r="C648" s="1" t="n">
        <v>46103</v>
      </c>
      <c r="D648" t="inlineStr">
        <is>
          <t>KRONOBERGS LÄN</t>
        </is>
      </c>
      <c r="E648" t="inlineStr">
        <is>
          <t>LJUNGBY</t>
        </is>
      </c>
      <c r="G648" t="n">
        <v>2.8</v>
      </c>
      <c r="H648" t="n">
        <v>0</v>
      </c>
      <c r="I648" t="n">
        <v>0</v>
      </c>
      <c r="J648" t="n">
        <v>0</v>
      </c>
      <c r="K648" t="n">
        <v>0</v>
      </c>
      <c r="L648" t="n">
        <v>0</v>
      </c>
      <c r="M648" t="n">
        <v>0</v>
      </c>
      <c r="N648" t="n">
        <v>0</v>
      </c>
      <c r="O648" t="n">
        <v>0</v>
      </c>
      <c r="P648" t="n">
        <v>0</v>
      </c>
      <c r="Q648" t="n">
        <v>0</v>
      </c>
      <c r="R648" s="2" t="inlineStr"/>
    </row>
    <row r="649" ht="15" customHeight="1">
      <c r="A649" t="inlineStr">
        <is>
          <t>A 16462-2022</t>
        </is>
      </c>
      <c r="B649" s="1" t="n">
        <v>44671</v>
      </c>
      <c r="C649" s="1" t="n">
        <v>46103</v>
      </c>
      <c r="D649" t="inlineStr">
        <is>
          <t>KRONOBERGS LÄN</t>
        </is>
      </c>
      <c r="E649" t="inlineStr">
        <is>
          <t>VÄXJÖ</t>
        </is>
      </c>
      <c r="G649" t="n">
        <v>0.4</v>
      </c>
      <c r="H649" t="n">
        <v>0</v>
      </c>
      <c r="I649" t="n">
        <v>0</v>
      </c>
      <c r="J649" t="n">
        <v>0</v>
      </c>
      <c r="K649" t="n">
        <v>0</v>
      </c>
      <c r="L649" t="n">
        <v>0</v>
      </c>
      <c r="M649" t="n">
        <v>0</v>
      </c>
      <c r="N649" t="n">
        <v>0</v>
      </c>
      <c r="O649" t="n">
        <v>0</v>
      </c>
      <c r="P649" t="n">
        <v>0</v>
      </c>
      <c r="Q649" t="n">
        <v>0</v>
      </c>
      <c r="R649" s="2" t="inlineStr"/>
    </row>
    <row r="650" ht="15" customHeight="1">
      <c r="A650" t="inlineStr">
        <is>
          <t>A 51387-2021</t>
        </is>
      </c>
      <c r="B650" s="1" t="n">
        <v>44461.69494212963</v>
      </c>
      <c r="C650" s="1" t="n">
        <v>46103</v>
      </c>
      <c r="D650" t="inlineStr">
        <is>
          <t>KRONOBERGS LÄN</t>
        </is>
      </c>
      <c r="E650" t="inlineStr">
        <is>
          <t>LJUNGBY</t>
        </is>
      </c>
      <c r="G650" t="n">
        <v>1.3</v>
      </c>
      <c r="H650" t="n">
        <v>0</v>
      </c>
      <c r="I650" t="n">
        <v>0</v>
      </c>
      <c r="J650" t="n">
        <v>0</v>
      </c>
      <c r="K650" t="n">
        <v>0</v>
      </c>
      <c r="L650" t="n">
        <v>0</v>
      </c>
      <c r="M650" t="n">
        <v>0</v>
      </c>
      <c r="N650" t="n">
        <v>0</v>
      </c>
      <c r="O650" t="n">
        <v>0</v>
      </c>
      <c r="P650" t="n">
        <v>0</v>
      </c>
      <c r="Q650" t="n">
        <v>0</v>
      </c>
      <c r="R650" s="2" t="inlineStr"/>
    </row>
    <row r="651" ht="15" customHeight="1">
      <c r="A651" t="inlineStr">
        <is>
          <t>A 57989-2021</t>
        </is>
      </c>
      <c r="B651" s="1" t="n">
        <v>44487.40401620371</v>
      </c>
      <c r="C651" s="1" t="n">
        <v>46103</v>
      </c>
      <c r="D651" t="inlineStr">
        <is>
          <t>KRONOBERGS LÄN</t>
        </is>
      </c>
      <c r="E651" t="inlineStr">
        <is>
          <t>ALVESTA</t>
        </is>
      </c>
      <c r="G651" t="n">
        <v>0.5</v>
      </c>
      <c r="H651" t="n">
        <v>0</v>
      </c>
      <c r="I651" t="n">
        <v>0</v>
      </c>
      <c r="J651" t="n">
        <v>0</v>
      </c>
      <c r="K651" t="n">
        <v>0</v>
      </c>
      <c r="L651" t="n">
        <v>0</v>
      </c>
      <c r="M651" t="n">
        <v>0</v>
      </c>
      <c r="N651" t="n">
        <v>0</v>
      </c>
      <c r="O651" t="n">
        <v>0</v>
      </c>
      <c r="P651" t="n">
        <v>0</v>
      </c>
      <c r="Q651" t="n">
        <v>0</v>
      </c>
      <c r="R651" s="2" t="inlineStr"/>
    </row>
    <row r="652" ht="15" customHeight="1">
      <c r="A652" t="inlineStr">
        <is>
          <t>A 55064-2021</t>
        </is>
      </c>
      <c r="B652" s="1" t="n">
        <v>44474</v>
      </c>
      <c r="C652" s="1" t="n">
        <v>46103</v>
      </c>
      <c r="D652" t="inlineStr">
        <is>
          <t>KRONOBERGS LÄN</t>
        </is>
      </c>
      <c r="E652" t="inlineStr">
        <is>
          <t>MARKARYD</t>
        </is>
      </c>
      <c r="G652" t="n">
        <v>1.5</v>
      </c>
      <c r="H652" t="n">
        <v>0</v>
      </c>
      <c r="I652" t="n">
        <v>0</v>
      </c>
      <c r="J652" t="n">
        <v>0</v>
      </c>
      <c r="K652" t="n">
        <v>0</v>
      </c>
      <c r="L652" t="n">
        <v>0</v>
      </c>
      <c r="M652" t="n">
        <v>0</v>
      </c>
      <c r="N652" t="n">
        <v>0</v>
      </c>
      <c r="O652" t="n">
        <v>0</v>
      </c>
      <c r="P652" t="n">
        <v>0</v>
      </c>
      <c r="Q652" t="n">
        <v>0</v>
      </c>
      <c r="R652" s="2" t="inlineStr"/>
    </row>
    <row r="653" ht="15" customHeight="1">
      <c r="A653" t="inlineStr">
        <is>
          <t>A 59721-2021</t>
        </is>
      </c>
      <c r="B653" s="1" t="n">
        <v>44494.42767361111</v>
      </c>
      <c r="C653" s="1" t="n">
        <v>46103</v>
      </c>
      <c r="D653" t="inlineStr">
        <is>
          <t>KRONOBERGS LÄN</t>
        </is>
      </c>
      <c r="E653" t="inlineStr">
        <is>
          <t>TINGSRYD</t>
        </is>
      </c>
      <c r="G653" t="n">
        <v>0.5</v>
      </c>
      <c r="H653" t="n">
        <v>0</v>
      </c>
      <c r="I653" t="n">
        <v>0</v>
      </c>
      <c r="J653" t="n">
        <v>0</v>
      </c>
      <c r="K653" t="n">
        <v>0</v>
      </c>
      <c r="L653" t="n">
        <v>0</v>
      </c>
      <c r="M653" t="n">
        <v>0</v>
      </c>
      <c r="N653" t="n">
        <v>0</v>
      </c>
      <c r="O653" t="n">
        <v>0</v>
      </c>
      <c r="P653" t="n">
        <v>0</v>
      </c>
      <c r="Q653" t="n">
        <v>0</v>
      </c>
      <c r="R653" s="2" t="inlineStr"/>
    </row>
    <row r="654" ht="15" customHeight="1">
      <c r="A654" t="inlineStr">
        <is>
          <t>A 52610-2021</t>
        </is>
      </c>
      <c r="B654" s="1" t="n">
        <v>44466.60013888889</v>
      </c>
      <c r="C654" s="1" t="n">
        <v>46103</v>
      </c>
      <c r="D654" t="inlineStr">
        <is>
          <t>KRONOBERGS LÄN</t>
        </is>
      </c>
      <c r="E654" t="inlineStr">
        <is>
          <t>VÄXJÖ</t>
        </is>
      </c>
      <c r="G654" t="n">
        <v>0.5</v>
      </c>
      <c r="H654" t="n">
        <v>0</v>
      </c>
      <c r="I654" t="n">
        <v>0</v>
      </c>
      <c r="J654" t="n">
        <v>0</v>
      </c>
      <c r="K654" t="n">
        <v>0</v>
      </c>
      <c r="L654" t="n">
        <v>0</v>
      </c>
      <c r="M654" t="n">
        <v>0</v>
      </c>
      <c r="N654" t="n">
        <v>0</v>
      </c>
      <c r="O654" t="n">
        <v>0</v>
      </c>
      <c r="P654" t="n">
        <v>0</v>
      </c>
      <c r="Q654" t="n">
        <v>0</v>
      </c>
      <c r="R654" s="2" t="inlineStr"/>
    </row>
    <row r="655" ht="15" customHeight="1">
      <c r="A655" t="inlineStr">
        <is>
          <t>A 52870-2022</t>
        </is>
      </c>
      <c r="B655" s="1" t="n">
        <v>44875.49847222222</v>
      </c>
      <c r="C655" s="1" t="n">
        <v>46103</v>
      </c>
      <c r="D655" t="inlineStr">
        <is>
          <t>KRONOBERGS LÄN</t>
        </is>
      </c>
      <c r="E655" t="inlineStr">
        <is>
          <t>MARKARYD</t>
        </is>
      </c>
      <c r="G655" t="n">
        <v>0.6</v>
      </c>
      <c r="H655" t="n">
        <v>0</v>
      </c>
      <c r="I655" t="n">
        <v>0</v>
      </c>
      <c r="J655" t="n">
        <v>0</v>
      </c>
      <c r="K655" t="n">
        <v>0</v>
      </c>
      <c r="L655" t="n">
        <v>0</v>
      </c>
      <c r="M655" t="n">
        <v>0</v>
      </c>
      <c r="N655" t="n">
        <v>0</v>
      </c>
      <c r="O655" t="n">
        <v>0</v>
      </c>
      <c r="P655" t="n">
        <v>0</v>
      </c>
      <c r="Q655" t="n">
        <v>0</v>
      </c>
      <c r="R655" s="2" t="inlineStr"/>
    </row>
    <row r="656" ht="15" customHeight="1">
      <c r="A656" t="inlineStr">
        <is>
          <t>A 52611-2021</t>
        </is>
      </c>
      <c r="B656" s="1" t="n">
        <v>44466.60142361111</v>
      </c>
      <c r="C656" s="1" t="n">
        <v>46103</v>
      </c>
      <c r="D656" t="inlineStr">
        <is>
          <t>KRONOBERGS LÄN</t>
        </is>
      </c>
      <c r="E656" t="inlineStr">
        <is>
          <t>TINGSRYD</t>
        </is>
      </c>
      <c r="G656" t="n">
        <v>1.8</v>
      </c>
      <c r="H656" t="n">
        <v>0</v>
      </c>
      <c r="I656" t="n">
        <v>0</v>
      </c>
      <c r="J656" t="n">
        <v>0</v>
      </c>
      <c r="K656" t="n">
        <v>0</v>
      </c>
      <c r="L656" t="n">
        <v>0</v>
      </c>
      <c r="M656" t="n">
        <v>0</v>
      </c>
      <c r="N656" t="n">
        <v>0</v>
      </c>
      <c r="O656" t="n">
        <v>0</v>
      </c>
      <c r="P656" t="n">
        <v>0</v>
      </c>
      <c r="Q656" t="n">
        <v>0</v>
      </c>
      <c r="R656" s="2" t="inlineStr"/>
    </row>
    <row r="657" ht="15" customHeight="1">
      <c r="A657" t="inlineStr">
        <is>
          <t>A 60273-2021</t>
        </is>
      </c>
      <c r="B657" s="1" t="n">
        <v>44495.68931712963</v>
      </c>
      <c r="C657" s="1" t="n">
        <v>46103</v>
      </c>
      <c r="D657" t="inlineStr">
        <is>
          <t>KRONOBERGS LÄN</t>
        </is>
      </c>
      <c r="E657" t="inlineStr">
        <is>
          <t>LJUNGBY</t>
        </is>
      </c>
      <c r="G657" t="n">
        <v>1.4</v>
      </c>
      <c r="H657" t="n">
        <v>0</v>
      </c>
      <c r="I657" t="n">
        <v>0</v>
      </c>
      <c r="J657" t="n">
        <v>0</v>
      </c>
      <c r="K657" t="n">
        <v>0</v>
      </c>
      <c r="L657" t="n">
        <v>0</v>
      </c>
      <c r="M657" t="n">
        <v>0</v>
      </c>
      <c r="N657" t="n">
        <v>0</v>
      </c>
      <c r="O657" t="n">
        <v>0</v>
      </c>
      <c r="P657" t="n">
        <v>0</v>
      </c>
      <c r="Q657" t="n">
        <v>0</v>
      </c>
      <c r="R657" s="2" t="inlineStr"/>
    </row>
    <row r="658" ht="15" customHeight="1">
      <c r="A658" t="inlineStr">
        <is>
          <t>A 67889-2021</t>
        </is>
      </c>
      <c r="B658" s="1" t="n">
        <v>44525.55510416667</v>
      </c>
      <c r="C658" s="1" t="n">
        <v>46103</v>
      </c>
      <c r="D658" t="inlineStr">
        <is>
          <t>KRONOBERGS LÄN</t>
        </is>
      </c>
      <c r="E658" t="inlineStr">
        <is>
          <t>ALVESTA</t>
        </is>
      </c>
      <c r="G658" t="n">
        <v>0.6</v>
      </c>
      <c r="H658" t="n">
        <v>0</v>
      </c>
      <c r="I658" t="n">
        <v>0</v>
      </c>
      <c r="J658" t="n">
        <v>0</v>
      </c>
      <c r="K658" t="n">
        <v>0</v>
      </c>
      <c r="L658" t="n">
        <v>0</v>
      </c>
      <c r="M658" t="n">
        <v>0</v>
      </c>
      <c r="N658" t="n">
        <v>0</v>
      </c>
      <c r="O658" t="n">
        <v>0</v>
      </c>
      <c r="P658" t="n">
        <v>0</v>
      </c>
      <c r="Q658" t="n">
        <v>0</v>
      </c>
      <c r="R658" s="2" t="inlineStr"/>
    </row>
    <row r="659" ht="15" customHeight="1">
      <c r="A659" t="inlineStr">
        <is>
          <t>A 60349-2021</t>
        </is>
      </c>
      <c r="B659" s="1" t="n">
        <v>44496</v>
      </c>
      <c r="C659" s="1" t="n">
        <v>46103</v>
      </c>
      <c r="D659" t="inlineStr">
        <is>
          <t>KRONOBERGS LÄN</t>
        </is>
      </c>
      <c r="E659" t="inlineStr">
        <is>
          <t>VÄXJÖ</t>
        </is>
      </c>
      <c r="G659" t="n">
        <v>0.5</v>
      </c>
      <c r="H659" t="n">
        <v>0</v>
      </c>
      <c r="I659" t="n">
        <v>0</v>
      </c>
      <c r="J659" t="n">
        <v>0</v>
      </c>
      <c r="K659" t="n">
        <v>0</v>
      </c>
      <c r="L659" t="n">
        <v>0</v>
      </c>
      <c r="M659" t="n">
        <v>0</v>
      </c>
      <c r="N659" t="n">
        <v>0</v>
      </c>
      <c r="O659" t="n">
        <v>0</v>
      </c>
      <c r="P659" t="n">
        <v>0</v>
      </c>
      <c r="Q659" t="n">
        <v>0</v>
      </c>
      <c r="R659" s="2" t="inlineStr"/>
    </row>
    <row r="660" ht="15" customHeight="1">
      <c r="A660" t="inlineStr">
        <is>
          <t>A 37311-2021</t>
        </is>
      </c>
      <c r="B660" s="1" t="n">
        <v>44397</v>
      </c>
      <c r="C660" s="1" t="n">
        <v>46103</v>
      </c>
      <c r="D660" t="inlineStr">
        <is>
          <t>KRONOBERGS LÄN</t>
        </is>
      </c>
      <c r="E660" t="inlineStr">
        <is>
          <t>VÄXJÖ</t>
        </is>
      </c>
      <c r="G660" t="n">
        <v>1.5</v>
      </c>
      <c r="H660" t="n">
        <v>0</v>
      </c>
      <c r="I660" t="n">
        <v>0</v>
      </c>
      <c r="J660" t="n">
        <v>0</v>
      </c>
      <c r="K660" t="n">
        <v>0</v>
      </c>
      <c r="L660" t="n">
        <v>0</v>
      </c>
      <c r="M660" t="n">
        <v>0</v>
      </c>
      <c r="N660" t="n">
        <v>0</v>
      </c>
      <c r="O660" t="n">
        <v>0</v>
      </c>
      <c r="P660" t="n">
        <v>0</v>
      </c>
      <c r="Q660" t="n">
        <v>0</v>
      </c>
      <c r="R660" s="2" t="inlineStr"/>
    </row>
    <row r="661" ht="15" customHeight="1">
      <c r="A661" t="inlineStr">
        <is>
          <t>A 37324-2021</t>
        </is>
      </c>
      <c r="B661" s="1" t="n">
        <v>44396</v>
      </c>
      <c r="C661" s="1" t="n">
        <v>46103</v>
      </c>
      <c r="D661" t="inlineStr">
        <is>
          <t>KRONOBERGS LÄN</t>
        </is>
      </c>
      <c r="E661" t="inlineStr">
        <is>
          <t>VÄXJÖ</t>
        </is>
      </c>
      <c r="F661" t="inlineStr">
        <is>
          <t>Kommuner</t>
        </is>
      </c>
      <c r="G661" t="n">
        <v>1</v>
      </c>
      <c r="H661" t="n">
        <v>0</v>
      </c>
      <c r="I661" t="n">
        <v>0</v>
      </c>
      <c r="J661" t="n">
        <v>0</v>
      </c>
      <c r="K661" t="n">
        <v>0</v>
      </c>
      <c r="L661" t="n">
        <v>0</v>
      </c>
      <c r="M661" t="n">
        <v>0</v>
      </c>
      <c r="N661" t="n">
        <v>0</v>
      </c>
      <c r="O661" t="n">
        <v>0</v>
      </c>
      <c r="P661" t="n">
        <v>0</v>
      </c>
      <c r="Q661" t="n">
        <v>0</v>
      </c>
      <c r="R661" s="2" t="inlineStr"/>
    </row>
    <row r="662" ht="15" customHeight="1">
      <c r="A662" t="inlineStr">
        <is>
          <t>A 50006-2021</t>
        </is>
      </c>
      <c r="B662" s="1" t="n">
        <v>44456.47127314815</v>
      </c>
      <c r="C662" s="1" t="n">
        <v>46103</v>
      </c>
      <c r="D662" t="inlineStr">
        <is>
          <t>KRONOBERGS LÄN</t>
        </is>
      </c>
      <c r="E662" t="inlineStr">
        <is>
          <t>TINGSRYD</t>
        </is>
      </c>
      <c r="G662" t="n">
        <v>2.4</v>
      </c>
      <c r="H662" t="n">
        <v>0</v>
      </c>
      <c r="I662" t="n">
        <v>0</v>
      </c>
      <c r="J662" t="n">
        <v>0</v>
      </c>
      <c r="K662" t="n">
        <v>0</v>
      </c>
      <c r="L662" t="n">
        <v>0</v>
      </c>
      <c r="M662" t="n">
        <v>0</v>
      </c>
      <c r="N662" t="n">
        <v>0</v>
      </c>
      <c r="O662" t="n">
        <v>0</v>
      </c>
      <c r="P662" t="n">
        <v>0</v>
      </c>
      <c r="Q662" t="n">
        <v>0</v>
      </c>
      <c r="R662" s="2" t="inlineStr"/>
    </row>
    <row r="663" ht="15" customHeight="1">
      <c r="A663" t="inlineStr">
        <is>
          <t>A 73661-2021</t>
        </is>
      </c>
      <c r="B663" s="1" t="n">
        <v>44552.45563657407</v>
      </c>
      <c r="C663" s="1" t="n">
        <v>46103</v>
      </c>
      <c r="D663" t="inlineStr">
        <is>
          <t>KRONOBERGS LÄN</t>
        </is>
      </c>
      <c r="E663" t="inlineStr">
        <is>
          <t>UPPVIDINGE</t>
        </is>
      </c>
      <c r="G663" t="n">
        <v>0.8</v>
      </c>
      <c r="H663" t="n">
        <v>0</v>
      </c>
      <c r="I663" t="n">
        <v>0</v>
      </c>
      <c r="J663" t="n">
        <v>0</v>
      </c>
      <c r="K663" t="n">
        <v>0</v>
      </c>
      <c r="L663" t="n">
        <v>0</v>
      </c>
      <c r="M663" t="n">
        <v>0</v>
      </c>
      <c r="N663" t="n">
        <v>0</v>
      </c>
      <c r="O663" t="n">
        <v>0</v>
      </c>
      <c r="P663" t="n">
        <v>0</v>
      </c>
      <c r="Q663" t="n">
        <v>0</v>
      </c>
      <c r="R663" s="2" t="inlineStr"/>
    </row>
    <row r="664" ht="15" customHeight="1">
      <c r="A664" t="inlineStr">
        <is>
          <t>A 31628-2021</t>
        </is>
      </c>
      <c r="B664" s="1" t="n">
        <v>44369.60105324074</v>
      </c>
      <c r="C664" s="1" t="n">
        <v>46103</v>
      </c>
      <c r="D664" t="inlineStr">
        <is>
          <t>KRONOBERGS LÄN</t>
        </is>
      </c>
      <c r="E664" t="inlineStr">
        <is>
          <t>TINGSRYD</t>
        </is>
      </c>
      <c r="G664" t="n">
        <v>0.8</v>
      </c>
      <c r="H664" t="n">
        <v>0</v>
      </c>
      <c r="I664" t="n">
        <v>0</v>
      </c>
      <c r="J664" t="n">
        <v>0</v>
      </c>
      <c r="K664" t="n">
        <v>0</v>
      </c>
      <c r="L664" t="n">
        <v>0</v>
      </c>
      <c r="M664" t="n">
        <v>0</v>
      </c>
      <c r="N664" t="n">
        <v>0</v>
      </c>
      <c r="O664" t="n">
        <v>0</v>
      </c>
      <c r="P664" t="n">
        <v>0</v>
      </c>
      <c r="Q664" t="n">
        <v>0</v>
      </c>
      <c r="R664" s="2" t="inlineStr"/>
    </row>
    <row r="665" ht="15" customHeight="1">
      <c r="A665" t="inlineStr">
        <is>
          <t>A 57470-2021</t>
        </is>
      </c>
      <c r="B665" s="1" t="n">
        <v>44483.66988425926</v>
      </c>
      <c r="C665" s="1" t="n">
        <v>46103</v>
      </c>
      <c r="D665" t="inlineStr">
        <is>
          <t>KRONOBERGS LÄN</t>
        </is>
      </c>
      <c r="E665" t="inlineStr">
        <is>
          <t>UPPVIDINGE</t>
        </is>
      </c>
      <c r="G665" t="n">
        <v>0.6</v>
      </c>
      <c r="H665" t="n">
        <v>0</v>
      </c>
      <c r="I665" t="n">
        <v>0</v>
      </c>
      <c r="J665" t="n">
        <v>0</v>
      </c>
      <c r="K665" t="n">
        <v>0</v>
      </c>
      <c r="L665" t="n">
        <v>0</v>
      </c>
      <c r="M665" t="n">
        <v>0</v>
      </c>
      <c r="N665" t="n">
        <v>0</v>
      </c>
      <c r="O665" t="n">
        <v>0</v>
      </c>
      <c r="P665" t="n">
        <v>0</v>
      </c>
      <c r="Q665" t="n">
        <v>0</v>
      </c>
      <c r="R665" s="2" t="inlineStr"/>
    </row>
    <row r="666" ht="15" customHeight="1">
      <c r="A666" t="inlineStr">
        <is>
          <t>A 57471-2021</t>
        </is>
      </c>
      <c r="B666" s="1" t="n">
        <v>44483.67144675926</v>
      </c>
      <c r="C666" s="1" t="n">
        <v>46103</v>
      </c>
      <c r="D666" t="inlineStr">
        <is>
          <t>KRONOBERGS LÄN</t>
        </is>
      </c>
      <c r="E666" t="inlineStr">
        <is>
          <t>UPPVIDINGE</t>
        </is>
      </c>
      <c r="G666" t="n">
        <v>1.1</v>
      </c>
      <c r="H666" t="n">
        <v>0</v>
      </c>
      <c r="I666" t="n">
        <v>0</v>
      </c>
      <c r="J666" t="n">
        <v>0</v>
      </c>
      <c r="K666" t="n">
        <v>0</v>
      </c>
      <c r="L666" t="n">
        <v>0</v>
      </c>
      <c r="M666" t="n">
        <v>0</v>
      </c>
      <c r="N666" t="n">
        <v>0</v>
      </c>
      <c r="O666" t="n">
        <v>0</v>
      </c>
      <c r="P666" t="n">
        <v>0</v>
      </c>
      <c r="Q666" t="n">
        <v>0</v>
      </c>
      <c r="R666" s="2" t="inlineStr"/>
    </row>
    <row r="667" ht="15" customHeight="1">
      <c r="A667" t="inlineStr">
        <is>
          <t>A 58781-2021</t>
        </is>
      </c>
      <c r="B667" s="1" t="n">
        <v>44489</v>
      </c>
      <c r="C667" s="1" t="n">
        <v>46103</v>
      </c>
      <c r="D667" t="inlineStr">
        <is>
          <t>KRONOBERGS LÄN</t>
        </is>
      </c>
      <c r="E667" t="inlineStr">
        <is>
          <t>TINGSRYD</t>
        </is>
      </c>
      <c r="G667" t="n">
        <v>3.4</v>
      </c>
      <c r="H667" t="n">
        <v>0</v>
      </c>
      <c r="I667" t="n">
        <v>0</v>
      </c>
      <c r="J667" t="n">
        <v>0</v>
      </c>
      <c r="K667" t="n">
        <v>0</v>
      </c>
      <c r="L667" t="n">
        <v>0</v>
      </c>
      <c r="M667" t="n">
        <v>0</v>
      </c>
      <c r="N667" t="n">
        <v>0</v>
      </c>
      <c r="O667" t="n">
        <v>0</v>
      </c>
      <c r="P667" t="n">
        <v>0</v>
      </c>
      <c r="Q667" t="n">
        <v>0</v>
      </c>
      <c r="R667" s="2" t="inlineStr"/>
    </row>
    <row r="668" ht="15" customHeight="1">
      <c r="A668" t="inlineStr">
        <is>
          <t>A 29183-2021</t>
        </is>
      </c>
      <c r="B668" s="1" t="n">
        <v>44358</v>
      </c>
      <c r="C668" s="1" t="n">
        <v>46103</v>
      </c>
      <c r="D668" t="inlineStr">
        <is>
          <t>KRONOBERGS LÄN</t>
        </is>
      </c>
      <c r="E668" t="inlineStr">
        <is>
          <t>VÄXJÖ</t>
        </is>
      </c>
      <c r="F668" t="inlineStr">
        <is>
          <t>Kyrkan</t>
        </is>
      </c>
      <c r="G668" t="n">
        <v>0.5</v>
      </c>
      <c r="H668" t="n">
        <v>0</v>
      </c>
      <c r="I668" t="n">
        <v>0</v>
      </c>
      <c r="J668" t="n">
        <v>0</v>
      </c>
      <c r="K668" t="n">
        <v>0</v>
      </c>
      <c r="L668" t="n">
        <v>0</v>
      </c>
      <c r="M668" t="n">
        <v>0</v>
      </c>
      <c r="N668" t="n">
        <v>0</v>
      </c>
      <c r="O668" t="n">
        <v>0</v>
      </c>
      <c r="P668" t="n">
        <v>0</v>
      </c>
      <c r="Q668" t="n">
        <v>0</v>
      </c>
      <c r="R668" s="2" t="inlineStr"/>
    </row>
    <row r="669" ht="15" customHeight="1">
      <c r="A669" t="inlineStr">
        <is>
          <t>A 29160-2022</t>
        </is>
      </c>
      <c r="B669" s="1" t="n">
        <v>44750</v>
      </c>
      <c r="C669" s="1" t="n">
        <v>46103</v>
      </c>
      <c r="D669" t="inlineStr">
        <is>
          <t>KRONOBERGS LÄN</t>
        </is>
      </c>
      <c r="E669" t="inlineStr">
        <is>
          <t>VÄXJÖ</t>
        </is>
      </c>
      <c r="G669" t="n">
        <v>0.6</v>
      </c>
      <c r="H669" t="n">
        <v>0</v>
      </c>
      <c r="I669" t="n">
        <v>0</v>
      </c>
      <c r="J669" t="n">
        <v>0</v>
      </c>
      <c r="K669" t="n">
        <v>0</v>
      </c>
      <c r="L669" t="n">
        <v>0</v>
      </c>
      <c r="M669" t="n">
        <v>0</v>
      </c>
      <c r="N669" t="n">
        <v>0</v>
      </c>
      <c r="O669" t="n">
        <v>0</v>
      </c>
      <c r="P669" t="n">
        <v>0</v>
      </c>
      <c r="Q669" t="n">
        <v>0</v>
      </c>
      <c r="R669" s="2" t="inlineStr"/>
    </row>
    <row r="670" ht="15" customHeight="1">
      <c r="A670" t="inlineStr">
        <is>
          <t>A 62479-2021</t>
        </is>
      </c>
      <c r="B670" s="1" t="n">
        <v>44503</v>
      </c>
      <c r="C670" s="1" t="n">
        <v>46103</v>
      </c>
      <c r="D670" t="inlineStr">
        <is>
          <t>KRONOBERGS LÄN</t>
        </is>
      </c>
      <c r="E670" t="inlineStr">
        <is>
          <t>UPPVIDINGE</t>
        </is>
      </c>
      <c r="G670" t="n">
        <v>2.3</v>
      </c>
      <c r="H670" t="n">
        <v>0</v>
      </c>
      <c r="I670" t="n">
        <v>0</v>
      </c>
      <c r="J670" t="n">
        <v>0</v>
      </c>
      <c r="K670" t="n">
        <v>0</v>
      </c>
      <c r="L670" t="n">
        <v>0</v>
      </c>
      <c r="M670" t="n">
        <v>0</v>
      </c>
      <c r="N670" t="n">
        <v>0</v>
      </c>
      <c r="O670" t="n">
        <v>0</v>
      </c>
      <c r="P670" t="n">
        <v>0</v>
      </c>
      <c r="Q670" t="n">
        <v>0</v>
      </c>
      <c r="R670" s="2" t="inlineStr"/>
    </row>
    <row r="671" ht="15" customHeight="1">
      <c r="A671" t="inlineStr">
        <is>
          <t>A 33135-2021</t>
        </is>
      </c>
      <c r="B671" s="1" t="n">
        <v>44376</v>
      </c>
      <c r="C671" s="1" t="n">
        <v>46103</v>
      </c>
      <c r="D671" t="inlineStr">
        <is>
          <t>KRONOBERGS LÄN</t>
        </is>
      </c>
      <c r="E671" t="inlineStr">
        <is>
          <t>TINGSRYD</t>
        </is>
      </c>
      <c r="G671" t="n">
        <v>3.9</v>
      </c>
      <c r="H671" t="n">
        <v>0</v>
      </c>
      <c r="I671" t="n">
        <v>0</v>
      </c>
      <c r="J671" t="n">
        <v>0</v>
      </c>
      <c r="K671" t="n">
        <v>0</v>
      </c>
      <c r="L671" t="n">
        <v>0</v>
      </c>
      <c r="M671" t="n">
        <v>0</v>
      </c>
      <c r="N671" t="n">
        <v>0</v>
      </c>
      <c r="O671" t="n">
        <v>0</v>
      </c>
      <c r="P671" t="n">
        <v>0</v>
      </c>
      <c r="Q671" t="n">
        <v>0</v>
      </c>
      <c r="R671" s="2" t="inlineStr"/>
    </row>
    <row r="672" ht="15" customHeight="1">
      <c r="A672" t="inlineStr">
        <is>
          <t>A 32736-2021</t>
        </is>
      </c>
      <c r="B672" s="1" t="n">
        <v>44375</v>
      </c>
      <c r="C672" s="1" t="n">
        <v>46103</v>
      </c>
      <c r="D672" t="inlineStr">
        <is>
          <t>KRONOBERGS LÄN</t>
        </is>
      </c>
      <c r="E672" t="inlineStr">
        <is>
          <t>UPPVIDINGE</t>
        </is>
      </c>
      <c r="G672" t="n">
        <v>2.2</v>
      </c>
      <c r="H672" t="n">
        <v>0</v>
      </c>
      <c r="I672" t="n">
        <v>0</v>
      </c>
      <c r="J672" t="n">
        <v>0</v>
      </c>
      <c r="K672" t="n">
        <v>0</v>
      </c>
      <c r="L672" t="n">
        <v>0</v>
      </c>
      <c r="M672" t="n">
        <v>0</v>
      </c>
      <c r="N672" t="n">
        <v>0</v>
      </c>
      <c r="O672" t="n">
        <v>0</v>
      </c>
      <c r="P672" t="n">
        <v>0</v>
      </c>
      <c r="Q672" t="n">
        <v>0</v>
      </c>
      <c r="R672" s="2" t="inlineStr"/>
    </row>
    <row r="673" ht="15" customHeight="1">
      <c r="A673" t="inlineStr">
        <is>
          <t>A 55353-2021</t>
        </is>
      </c>
      <c r="B673" s="1" t="n">
        <v>44475</v>
      </c>
      <c r="C673" s="1" t="n">
        <v>46103</v>
      </c>
      <c r="D673" t="inlineStr">
        <is>
          <t>KRONOBERGS LÄN</t>
        </is>
      </c>
      <c r="E673" t="inlineStr">
        <is>
          <t>UPPVIDINGE</t>
        </is>
      </c>
      <c r="G673" t="n">
        <v>0.5</v>
      </c>
      <c r="H673" t="n">
        <v>0</v>
      </c>
      <c r="I673" t="n">
        <v>0</v>
      </c>
      <c r="J673" t="n">
        <v>0</v>
      </c>
      <c r="K673" t="n">
        <v>0</v>
      </c>
      <c r="L673" t="n">
        <v>0</v>
      </c>
      <c r="M673" t="n">
        <v>0</v>
      </c>
      <c r="N673" t="n">
        <v>0</v>
      </c>
      <c r="O673" t="n">
        <v>0</v>
      </c>
      <c r="P673" t="n">
        <v>0</v>
      </c>
      <c r="Q673" t="n">
        <v>0</v>
      </c>
      <c r="R673" s="2" t="inlineStr"/>
    </row>
    <row r="674" ht="15" customHeight="1">
      <c r="A674" t="inlineStr">
        <is>
          <t>A 26564-2021</t>
        </is>
      </c>
      <c r="B674" s="1" t="n">
        <v>44348.55476851852</v>
      </c>
      <c r="C674" s="1" t="n">
        <v>46103</v>
      </c>
      <c r="D674" t="inlineStr">
        <is>
          <t>KRONOBERGS LÄN</t>
        </is>
      </c>
      <c r="E674" t="inlineStr">
        <is>
          <t>LESSEBO</t>
        </is>
      </c>
      <c r="G674" t="n">
        <v>2.5</v>
      </c>
      <c r="H674" t="n">
        <v>0</v>
      </c>
      <c r="I674" t="n">
        <v>0</v>
      </c>
      <c r="J674" t="n">
        <v>0</v>
      </c>
      <c r="K674" t="n">
        <v>0</v>
      </c>
      <c r="L674" t="n">
        <v>0</v>
      </c>
      <c r="M674" t="n">
        <v>0</v>
      </c>
      <c r="N674" t="n">
        <v>0</v>
      </c>
      <c r="O674" t="n">
        <v>0</v>
      </c>
      <c r="P674" t="n">
        <v>0</v>
      </c>
      <c r="Q674" t="n">
        <v>0</v>
      </c>
      <c r="R674" s="2" t="inlineStr"/>
    </row>
    <row r="675" ht="15" customHeight="1">
      <c r="A675" t="inlineStr">
        <is>
          <t>A 55916-2021</t>
        </is>
      </c>
      <c r="B675" s="1" t="n">
        <v>44476</v>
      </c>
      <c r="C675" s="1" t="n">
        <v>46103</v>
      </c>
      <c r="D675" t="inlineStr">
        <is>
          <t>KRONOBERGS LÄN</t>
        </is>
      </c>
      <c r="E675" t="inlineStr">
        <is>
          <t>LJUNGBY</t>
        </is>
      </c>
      <c r="G675" t="n">
        <v>1.8</v>
      </c>
      <c r="H675" t="n">
        <v>0</v>
      </c>
      <c r="I675" t="n">
        <v>0</v>
      </c>
      <c r="J675" t="n">
        <v>0</v>
      </c>
      <c r="K675" t="n">
        <v>0</v>
      </c>
      <c r="L675" t="n">
        <v>0</v>
      </c>
      <c r="M675" t="n">
        <v>0</v>
      </c>
      <c r="N675" t="n">
        <v>0</v>
      </c>
      <c r="O675" t="n">
        <v>0</v>
      </c>
      <c r="P675" t="n">
        <v>0</v>
      </c>
      <c r="Q675" t="n">
        <v>0</v>
      </c>
      <c r="R675" s="2" t="inlineStr"/>
    </row>
    <row r="676" ht="15" customHeight="1">
      <c r="A676" t="inlineStr">
        <is>
          <t>A 68683-2021</t>
        </is>
      </c>
      <c r="B676" s="1" t="n">
        <v>44529.64541666667</v>
      </c>
      <c r="C676" s="1" t="n">
        <v>46103</v>
      </c>
      <c r="D676" t="inlineStr">
        <is>
          <t>KRONOBERGS LÄN</t>
        </is>
      </c>
      <c r="E676" t="inlineStr">
        <is>
          <t>TINGSRYD</t>
        </is>
      </c>
      <c r="G676" t="n">
        <v>0.6</v>
      </c>
      <c r="H676" t="n">
        <v>0</v>
      </c>
      <c r="I676" t="n">
        <v>0</v>
      </c>
      <c r="J676" t="n">
        <v>0</v>
      </c>
      <c r="K676" t="n">
        <v>0</v>
      </c>
      <c r="L676" t="n">
        <v>0</v>
      </c>
      <c r="M676" t="n">
        <v>0</v>
      </c>
      <c r="N676" t="n">
        <v>0</v>
      </c>
      <c r="O676" t="n">
        <v>0</v>
      </c>
      <c r="P676" t="n">
        <v>0</v>
      </c>
      <c r="Q676" t="n">
        <v>0</v>
      </c>
      <c r="R676" s="2" t="inlineStr"/>
    </row>
    <row r="677" ht="15" customHeight="1">
      <c r="A677" t="inlineStr">
        <is>
          <t>A 13589-2022</t>
        </is>
      </c>
      <c r="B677" s="1" t="n">
        <v>44648</v>
      </c>
      <c r="C677" s="1" t="n">
        <v>46103</v>
      </c>
      <c r="D677" t="inlineStr">
        <is>
          <t>KRONOBERGS LÄN</t>
        </is>
      </c>
      <c r="E677" t="inlineStr">
        <is>
          <t>TINGSRYD</t>
        </is>
      </c>
      <c r="G677" t="n">
        <v>1.1</v>
      </c>
      <c r="H677" t="n">
        <v>0</v>
      </c>
      <c r="I677" t="n">
        <v>0</v>
      </c>
      <c r="J677" t="n">
        <v>0</v>
      </c>
      <c r="K677" t="n">
        <v>0</v>
      </c>
      <c r="L677" t="n">
        <v>0</v>
      </c>
      <c r="M677" t="n">
        <v>0</v>
      </c>
      <c r="N677" t="n">
        <v>0</v>
      </c>
      <c r="O677" t="n">
        <v>0</v>
      </c>
      <c r="P677" t="n">
        <v>0</v>
      </c>
      <c r="Q677" t="n">
        <v>0</v>
      </c>
      <c r="R677" s="2" t="inlineStr"/>
    </row>
    <row r="678" ht="15" customHeight="1">
      <c r="A678" t="inlineStr">
        <is>
          <t>A 35334-2022</t>
        </is>
      </c>
      <c r="B678" s="1" t="n">
        <v>44798</v>
      </c>
      <c r="C678" s="1" t="n">
        <v>46103</v>
      </c>
      <c r="D678" t="inlineStr">
        <is>
          <t>KRONOBERGS LÄN</t>
        </is>
      </c>
      <c r="E678" t="inlineStr">
        <is>
          <t>TINGSRYD</t>
        </is>
      </c>
      <c r="G678" t="n">
        <v>0.1</v>
      </c>
      <c r="H678" t="n">
        <v>0</v>
      </c>
      <c r="I678" t="n">
        <v>0</v>
      </c>
      <c r="J678" t="n">
        <v>0</v>
      </c>
      <c r="K678" t="n">
        <v>0</v>
      </c>
      <c r="L678" t="n">
        <v>0</v>
      </c>
      <c r="M678" t="n">
        <v>0</v>
      </c>
      <c r="N678" t="n">
        <v>0</v>
      </c>
      <c r="O678" t="n">
        <v>0</v>
      </c>
      <c r="P678" t="n">
        <v>0</v>
      </c>
      <c r="Q678" t="n">
        <v>0</v>
      </c>
      <c r="R678" s="2" t="inlineStr"/>
    </row>
    <row r="679" ht="15" customHeight="1">
      <c r="A679" t="inlineStr">
        <is>
          <t>A 11580-2022</t>
        </is>
      </c>
      <c r="B679" s="1" t="n">
        <v>44631.51841435185</v>
      </c>
      <c r="C679" s="1" t="n">
        <v>46103</v>
      </c>
      <c r="D679" t="inlineStr">
        <is>
          <t>KRONOBERGS LÄN</t>
        </is>
      </c>
      <c r="E679" t="inlineStr">
        <is>
          <t>TINGSRYD</t>
        </is>
      </c>
      <c r="G679" t="n">
        <v>0.6</v>
      </c>
      <c r="H679" t="n">
        <v>0</v>
      </c>
      <c r="I679" t="n">
        <v>0</v>
      </c>
      <c r="J679" t="n">
        <v>0</v>
      </c>
      <c r="K679" t="n">
        <v>0</v>
      </c>
      <c r="L679" t="n">
        <v>0</v>
      </c>
      <c r="M679" t="n">
        <v>0</v>
      </c>
      <c r="N679" t="n">
        <v>0</v>
      </c>
      <c r="O679" t="n">
        <v>0</v>
      </c>
      <c r="P679" t="n">
        <v>0</v>
      </c>
      <c r="Q679" t="n">
        <v>0</v>
      </c>
      <c r="R679" s="2" t="inlineStr"/>
    </row>
    <row r="680" ht="15" customHeight="1">
      <c r="A680" t="inlineStr">
        <is>
          <t>A 707-2022</t>
        </is>
      </c>
      <c r="B680" s="1" t="n">
        <v>44568.5809837963</v>
      </c>
      <c r="C680" s="1" t="n">
        <v>46103</v>
      </c>
      <c r="D680" t="inlineStr">
        <is>
          <t>KRONOBERGS LÄN</t>
        </is>
      </c>
      <c r="E680" t="inlineStr">
        <is>
          <t>VÄXJÖ</t>
        </is>
      </c>
      <c r="G680" t="n">
        <v>0.6</v>
      </c>
      <c r="H680" t="n">
        <v>0</v>
      </c>
      <c r="I680" t="n">
        <v>0</v>
      </c>
      <c r="J680" t="n">
        <v>0</v>
      </c>
      <c r="K680" t="n">
        <v>0</v>
      </c>
      <c r="L680" t="n">
        <v>0</v>
      </c>
      <c r="M680" t="n">
        <v>0</v>
      </c>
      <c r="N680" t="n">
        <v>0</v>
      </c>
      <c r="O680" t="n">
        <v>0</v>
      </c>
      <c r="P680" t="n">
        <v>0</v>
      </c>
      <c r="Q680" t="n">
        <v>0</v>
      </c>
      <c r="R680" s="2" t="inlineStr"/>
    </row>
    <row r="681" ht="15" customHeight="1">
      <c r="A681" t="inlineStr">
        <is>
          <t>A 34663-2021</t>
        </is>
      </c>
      <c r="B681" s="1" t="n">
        <v>44381</v>
      </c>
      <c r="C681" s="1" t="n">
        <v>46103</v>
      </c>
      <c r="D681" t="inlineStr">
        <is>
          <t>KRONOBERGS LÄN</t>
        </is>
      </c>
      <c r="E681" t="inlineStr">
        <is>
          <t>LJUNGBY</t>
        </is>
      </c>
      <c r="G681" t="n">
        <v>6.3</v>
      </c>
      <c r="H681" t="n">
        <v>0</v>
      </c>
      <c r="I681" t="n">
        <v>0</v>
      </c>
      <c r="J681" t="n">
        <v>0</v>
      </c>
      <c r="K681" t="n">
        <v>0</v>
      </c>
      <c r="L681" t="n">
        <v>0</v>
      </c>
      <c r="M681" t="n">
        <v>0</v>
      </c>
      <c r="N681" t="n">
        <v>0</v>
      </c>
      <c r="O681" t="n">
        <v>0</v>
      </c>
      <c r="P681" t="n">
        <v>0</v>
      </c>
      <c r="Q681" t="n">
        <v>0</v>
      </c>
      <c r="R681" s="2" t="inlineStr"/>
    </row>
    <row r="682" ht="15" customHeight="1">
      <c r="A682" t="inlineStr">
        <is>
          <t>A 34229-2021</t>
        </is>
      </c>
      <c r="B682" s="1" t="n">
        <v>44379.55038194444</v>
      </c>
      <c r="C682" s="1" t="n">
        <v>46103</v>
      </c>
      <c r="D682" t="inlineStr">
        <is>
          <t>KRONOBERGS LÄN</t>
        </is>
      </c>
      <c r="E682" t="inlineStr">
        <is>
          <t>VÄXJÖ</t>
        </is>
      </c>
      <c r="G682" t="n">
        <v>0.7</v>
      </c>
      <c r="H682" t="n">
        <v>0</v>
      </c>
      <c r="I682" t="n">
        <v>0</v>
      </c>
      <c r="J682" t="n">
        <v>0</v>
      </c>
      <c r="K682" t="n">
        <v>0</v>
      </c>
      <c r="L682" t="n">
        <v>0</v>
      </c>
      <c r="M682" t="n">
        <v>0</v>
      </c>
      <c r="N682" t="n">
        <v>0</v>
      </c>
      <c r="O682" t="n">
        <v>0</v>
      </c>
      <c r="P682" t="n">
        <v>0</v>
      </c>
      <c r="Q682" t="n">
        <v>0</v>
      </c>
      <c r="R682" s="2" t="inlineStr"/>
    </row>
    <row r="683" ht="15" customHeight="1">
      <c r="A683" t="inlineStr">
        <is>
          <t>A 35131-2021</t>
        </is>
      </c>
      <c r="B683" s="1" t="n">
        <v>44384.39226851852</v>
      </c>
      <c r="C683" s="1" t="n">
        <v>46103</v>
      </c>
      <c r="D683" t="inlineStr">
        <is>
          <t>KRONOBERGS LÄN</t>
        </is>
      </c>
      <c r="E683" t="inlineStr">
        <is>
          <t>LJUNGBY</t>
        </is>
      </c>
      <c r="G683" t="n">
        <v>4.2</v>
      </c>
      <c r="H683" t="n">
        <v>0</v>
      </c>
      <c r="I683" t="n">
        <v>0</v>
      </c>
      <c r="J683" t="n">
        <v>0</v>
      </c>
      <c r="K683" t="n">
        <v>0</v>
      </c>
      <c r="L683" t="n">
        <v>0</v>
      </c>
      <c r="M683" t="n">
        <v>0</v>
      </c>
      <c r="N683" t="n">
        <v>0</v>
      </c>
      <c r="O683" t="n">
        <v>0</v>
      </c>
      <c r="P683" t="n">
        <v>0</v>
      </c>
      <c r="Q683" t="n">
        <v>0</v>
      </c>
      <c r="R683" s="2" t="inlineStr"/>
    </row>
    <row r="684" ht="15" customHeight="1">
      <c r="A684" t="inlineStr">
        <is>
          <t>A 40496-2021</t>
        </is>
      </c>
      <c r="B684" s="1" t="n">
        <v>44420.32788194445</v>
      </c>
      <c r="C684" s="1" t="n">
        <v>46103</v>
      </c>
      <c r="D684" t="inlineStr">
        <is>
          <t>KRONOBERGS LÄN</t>
        </is>
      </c>
      <c r="E684" t="inlineStr">
        <is>
          <t>VÄXJÖ</t>
        </is>
      </c>
      <c r="G684" t="n">
        <v>3.8</v>
      </c>
      <c r="H684" t="n">
        <v>0</v>
      </c>
      <c r="I684" t="n">
        <v>0</v>
      </c>
      <c r="J684" t="n">
        <v>0</v>
      </c>
      <c r="K684" t="n">
        <v>0</v>
      </c>
      <c r="L684" t="n">
        <v>0</v>
      </c>
      <c r="M684" t="n">
        <v>0</v>
      </c>
      <c r="N684" t="n">
        <v>0</v>
      </c>
      <c r="O684" t="n">
        <v>0</v>
      </c>
      <c r="P684" t="n">
        <v>0</v>
      </c>
      <c r="Q684" t="n">
        <v>0</v>
      </c>
      <c r="R684" s="2" t="inlineStr"/>
    </row>
    <row r="685" ht="15" customHeight="1">
      <c r="A685" t="inlineStr">
        <is>
          <t>A 2082-2022</t>
        </is>
      </c>
      <c r="B685" s="1" t="n">
        <v>44576</v>
      </c>
      <c r="C685" s="1" t="n">
        <v>46103</v>
      </c>
      <c r="D685" t="inlineStr">
        <is>
          <t>KRONOBERGS LÄN</t>
        </is>
      </c>
      <c r="E685" t="inlineStr">
        <is>
          <t>LJUNGBY</t>
        </is>
      </c>
      <c r="G685" t="n">
        <v>0.9</v>
      </c>
      <c r="H685" t="n">
        <v>0</v>
      </c>
      <c r="I685" t="n">
        <v>0</v>
      </c>
      <c r="J685" t="n">
        <v>0</v>
      </c>
      <c r="K685" t="n">
        <v>0</v>
      </c>
      <c r="L685" t="n">
        <v>0</v>
      </c>
      <c r="M685" t="n">
        <v>0</v>
      </c>
      <c r="N685" t="n">
        <v>0</v>
      </c>
      <c r="O685" t="n">
        <v>0</v>
      </c>
      <c r="P685" t="n">
        <v>0</v>
      </c>
      <c r="Q685" t="n">
        <v>0</v>
      </c>
      <c r="R685" s="2" t="inlineStr"/>
    </row>
    <row r="686" ht="15" customHeight="1">
      <c r="A686" t="inlineStr">
        <is>
          <t>A 64679-2021</t>
        </is>
      </c>
      <c r="B686" s="1" t="n">
        <v>44510</v>
      </c>
      <c r="C686" s="1" t="n">
        <v>46103</v>
      </c>
      <c r="D686" t="inlineStr">
        <is>
          <t>KRONOBERGS LÄN</t>
        </is>
      </c>
      <c r="E686" t="inlineStr">
        <is>
          <t>UPPVIDINGE</t>
        </is>
      </c>
      <c r="G686" t="n">
        <v>0.5</v>
      </c>
      <c r="H686" t="n">
        <v>0</v>
      </c>
      <c r="I686" t="n">
        <v>0</v>
      </c>
      <c r="J686" t="n">
        <v>0</v>
      </c>
      <c r="K686" t="n">
        <v>0</v>
      </c>
      <c r="L686" t="n">
        <v>0</v>
      </c>
      <c r="M686" t="n">
        <v>0</v>
      </c>
      <c r="N686" t="n">
        <v>0</v>
      </c>
      <c r="O686" t="n">
        <v>0</v>
      </c>
      <c r="P686" t="n">
        <v>0</v>
      </c>
      <c r="Q686" t="n">
        <v>0</v>
      </c>
      <c r="R686" s="2" t="inlineStr"/>
    </row>
    <row r="687" ht="15" customHeight="1">
      <c r="A687" t="inlineStr">
        <is>
          <t>A 64686-2021</t>
        </is>
      </c>
      <c r="B687" s="1" t="n">
        <v>44512.3278587963</v>
      </c>
      <c r="C687" s="1" t="n">
        <v>46103</v>
      </c>
      <c r="D687" t="inlineStr">
        <is>
          <t>KRONOBERGS LÄN</t>
        </is>
      </c>
      <c r="E687" t="inlineStr">
        <is>
          <t>ÄLMHULT</t>
        </is>
      </c>
      <c r="G687" t="n">
        <v>0.5</v>
      </c>
      <c r="H687" t="n">
        <v>0</v>
      </c>
      <c r="I687" t="n">
        <v>0</v>
      </c>
      <c r="J687" t="n">
        <v>0</v>
      </c>
      <c r="K687" t="n">
        <v>0</v>
      </c>
      <c r="L687" t="n">
        <v>0</v>
      </c>
      <c r="M687" t="n">
        <v>0</v>
      </c>
      <c r="N687" t="n">
        <v>0</v>
      </c>
      <c r="O687" t="n">
        <v>0</v>
      </c>
      <c r="P687" t="n">
        <v>0</v>
      </c>
      <c r="Q687" t="n">
        <v>0</v>
      </c>
      <c r="R687" s="2" t="inlineStr"/>
    </row>
    <row r="688" ht="15" customHeight="1">
      <c r="A688" t="inlineStr">
        <is>
          <t>A 49424-2021</t>
        </is>
      </c>
      <c r="B688" s="1" t="n">
        <v>44454.6562962963</v>
      </c>
      <c r="C688" s="1" t="n">
        <v>46103</v>
      </c>
      <c r="D688" t="inlineStr">
        <is>
          <t>KRONOBERGS LÄN</t>
        </is>
      </c>
      <c r="E688" t="inlineStr">
        <is>
          <t>ALVESTA</t>
        </is>
      </c>
      <c r="G688" t="n">
        <v>1.9</v>
      </c>
      <c r="H688" t="n">
        <v>0</v>
      </c>
      <c r="I688" t="n">
        <v>0</v>
      </c>
      <c r="J688" t="n">
        <v>0</v>
      </c>
      <c r="K688" t="n">
        <v>0</v>
      </c>
      <c r="L688" t="n">
        <v>0</v>
      </c>
      <c r="M688" t="n">
        <v>0</v>
      </c>
      <c r="N688" t="n">
        <v>0</v>
      </c>
      <c r="O688" t="n">
        <v>0</v>
      </c>
      <c r="P688" t="n">
        <v>0</v>
      </c>
      <c r="Q688" t="n">
        <v>0</v>
      </c>
      <c r="R688" s="2" t="inlineStr"/>
    </row>
    <row r="689" ht="15" customHeight="1">
      <c r="A689" t="inlineStr">
        <is>
          <t>A 7755-2022</t>
        </is>
      </c>
      <c r="B689" s="1" t="n">
        <v>44608</v>
      </c>
      <c r="C689" s="1" t="n">
        <v>46103</v>
      </c>
      <c r="D689" t="inlineStr">
        <is>
          <t>KRONOBERGS LÄN</t>
        </is>
      </c>
      <c r="E689" t="inlineStr">
        <is>
          <t>TINGSRYD</t>
        </is>
      </c>
      <c r="G689" t="n">
        <v>3.2</v>
      </c>
      <c r="H689" t="n">
        <v>0</v>
      </c>
      <c r="I689" t="n">
        <v>0</v>
      </c>
      <c r="J689" t="n">
        <v>0</v>
      </c>
      <c r="K689" t="n">
        <v>0</v>
      </c>
      <c r="L689" t="n">
        <v>0</v>
      </c>
      <c r="M689" t="n">
        <v>0</v>
      </c>
      <c r="N689" t="n">
        <v>0</v>
      </c>
      <c r="O689" t="n">
        <v>0</v>
      </c>
      <c r="P689" t="n">
        <v>0</v>
      </c>
      <c r="Q689" t="n">
        <v>0</v>
      </c>
      <c r="R689" s="2" t="inlineStr"/>
    </row>
    <row r="690" ht="15" customHeight="1">
      <c r="A690" t="inlineStr">
        <is>
          <t>A 9967-2022</t>
        </is>
      </c>
      <c r="B690" s="1" t="n">
        <v>44621.38096064814</v>
      </c>
      <c r="C690" s="1" t="n">
        <v>46103</v>
      </c>
      <c r="D690" t="inlineStr">
        <is>
          <t>KRONOBERGS LÄN</t>
        </is>
      </c>
      <c r="E690" t="inlineStr">
        <is>
          <t>ÄLMHULT</t>
        </is>
      </c>
      <c r="G690" t="n">
        <v>0.8</v>
      </c>
      <c r="H690" t="n">
        <v>0</v>
      </c>
      <c r="I690" t="n">
        <v>0</v>
      </c>
      <c r="J690" t="n">
        <v>0</v>
      </c>
      <c r="K690" t="n">
        <v>0</v>
      </c>
      <c r="L690" t="n">
        <v>0</v>
      </c>
      <c r="M690" t="n">
        <v>0</v>
      </c>
      <c r="N690" t="n">
        <v>0</v>
      </c>
      <c r="O690" t="n">
        <v>0</v>
      </c>
      <c r="P690" t="n">
        <v>0</v>
      </c>
      <c r="Q690" t="n">
        <v>0</v>
      </c>
      <c r="R690" s="2" t="inlineStr"/>
    </row>
    <row r="691" ht="15" customHeight="1">
      <c r="A691" t="inlineStr">
        <is>
          <t>A 39686-2021</t>
        </is>
      </c>
      <c r="B691" s="1" t="n">
        <v>44417</v>
      </c>
      <c r="C691" s="1" t="n">
        <v>46103</v>
      </c>
      <c r="D691" t="inlineStr">
        <is>
          <t>KRONOBERGS LÄN</t>
        </is>
      </c>
      <c r="E691" t="inlineStr">
        <is>
          <t>TINGSRYD</t>
        </is>
      </c>
      <c r="G691" t="n">
        <v>0.6</v>
      </c>
      <c r="H691" t="n">
        <v>0</v>
      </c>
      <c r="I691" t="n">
        <v>0</v>
      </c>
      <c r="J691" t="n">
        <v>0</v>
      </c>
      <c r="K691" t="n">
        <v>0</v>
      </c>
      <c r="L691" t="n">
        <v>0</v>
      </c>
      <c r="M691" t="n">
        <v>0</v>
      </c>
      <c r="N691" t="n">
        <v>0</v>
      </c>
      <c r="O691" t="n">
        <v>0</v>
      </c>
      <c r="P691" t="n">
        <v>0</v>
      </c>
      <c r="Q691" t="n">
        <v>0</v>
      </c>
      <c r="R691" s="2" t="inlineStr"/>
    </row>
    <row r="692" ht="15" customHeight="1">
      <c r="A692" t="inlineStr">
        <is>
          <t>A 46246-2021</t>
        </is>
      </c>
      <c r="B692" s="1" t="n">
        <v>44442.54784722222</v>
      </c>
      <c r="C692" s="1" t="n">
        <v>46103</v>
      </c>
      <c r="D692" t="inlineStr">
        <is>
          <t>KRONOBERGS LÄN</t>
        </is>
      </c>
      <c r="E692" t="inlineStr">
        <is>
          <t>VÄXJÖ</t>
        </is>
      </c>
      <c r="G692" t="n">
        <v>0.8</v>
      </c>
      <c r="H692" t="n">
        <v>0</v>
      </c>
      <c r="I692" t="n">
        <v>0</v>
      </c>
      <c r="J692" t="n">
        <v>0</v>
      </c>
      <c r="K692" t="n">
        <v>0</v>
      </c>
      <c r="L692" t="n">
        <v>0</v>
      </c>
      <c r="M692" t="n">
        <v>0</v>
      </c>
      <c r="N692" t="n">
        <v>0</v>
      </c>
      <c r="O692" t="n">
        <v>0</v>
      </c>
      <c r="P692" t="n">
        <v>0</v>
      </c>
      <c r="Q692" t="n">
        <v>0</v>
      </c>
      <c r="R692" s="2" t="inlineStr"/>
    </row>
    <row r="693" ht="15" customHeight="1">
      <c r="A693" t="inlineStr">
        <is>
          <t>A 47812-2021</t>
        </is>
      </c>
      <c r="B693" s="1" t="n">
        <v>44448.62255787037</v>
      </c>
      <c r="C693" s="1" t="n">
        <v>46103</v>
      </c>
      <c r="D693" t="inlineStr">
        <is>
          <t>KRONOBERGS LÄN</t>
        </is>
      </c>
      <c r="E693" t="inlineStr">
        <is>
          <t>TINGSRYD</t>
        </is>
      </c>
      <c r="G693" t="n">
        <v>0.6</v>
      </c>
      <c r="H693" t="n">
        <v>0</v>
      </c>
      <c r="I693" t="n">
        <v>0</v>
      </c>
      <c r="J693" t="n">
        <v>0</v>
      </c>
      <c r="K693" t="n">
        <v>0</v>
      </c>
      <c r="L693" t="n">
        <v>0</v>
      </c>
      <c r="M693" t="n">
        <v>0</v>
      </c>
      <c r="N693" t="n">
        <v>0</v>
      </c>
      <c r="O693" t="n">
        <v>0</v>
      </c>
      <c r="P693" t="n">
        <v>0</v>
      </c>
      <c r="Q693" t="n">
        <v>0</v>
      </c>
      <c r="R693" s="2" t="inlineStr"/>
    </row>
    <row r="694" ht="15" customHeight="1">
      <c r="A694" t="inlineStr">
        <is>
          <t>A 47815-2021</t>
        </is>
      </c>
      <c r="B694" s="1" t="n">
        <v>44448.62701388889</v>
      </c>
      <c r="C694" s="1" t="n">
        <v>46103</v>
      </c>
      <c r="D694" t="inlineStr">
        <is>
          <t>KRONOBERGS LÄN</t>
        </is>
      </c>
      <c r="E694" t="inlineStr">
        <is>
          <t>TINGSRYD</t>
        </is>
      </c>
      <c r="G694" t="n">
        <v>2.8</v>
      </c>
      <c r="H694" t="n">
        <v>0</v>
      </c>
      <c r="I694" t="n">
        <v>0</v>
      </c>
      <c r="J694" t="n">
        <v>0</v>
      </c>
      <c r="K694" t="n">
        <v>0</v>
      </c>
      <c r="L694" t="n">
        <v>0</v>
      </c>
      <c r="M694" t="n">
        <v>0</v>
      </c>
      <c r="N694" t="n">
        <v>0</v>
      </c>
      <c r="O694" t="n">
        <v>0</v>
      </c>
      <c r="P694" t="n">
        <v>0</v>
      </c>
      <c r="Q694" t="n">
        <v>0</v>
      </c>
      <c r="R694" s="2" t="inlineStr"/>
    </row>
    <row r="695" ht="15" customHeight="1">
      <c r="A695" t="inlineStr">
        <is>
          <t>A 47861-2021</t>
        </is>
      </c>
      <c r="B695" s="1" t="n">
        <v>44448</v>
      </c>
      <c r="C695" s="1" t="n">
        <v>46103</v>
      </c>
      <c r="D695" t="inlineStr">
        <is>
          <t>KRONOBERGS LÄN</t>
        </is>
      </c>
      <c r="E695" t="inlineStr">
        <is>
          <t>ÄLMHULT</t>
        </is>
      </c>
      <c r="G695" t="n">
        <v>1.2</v>
      </c>
      <c r="H695" t="n">
        <v>0</v>
      </c>
      <c r="I695" t="n">
        <v>0</v>
      </c>
      <c r="J695" t="n">
        <v>0</v>
      </c>
      <c r="K695" t="n">
        <v>0</v>
      </c>
      <c r="L695" t="n">
        <v>0</v>
      </c>
      <c r="M695" t="n">
        <v>0</v>
      </c>
      <c r="N695" t="n">
        <v>0</v>
      </c>
      <c r="O695" t="n">
        <v>0</v>
      </c>
      <c r="P695" t="n">
        <v>0</v>
      </c>
      <c r="Q695" t="n">
        <v>0</v>
      </c>
      <c r="R695" s="2" t="inlineStr"/>
    </row>
    <row r="696" ht="15" customHeight="1">
      <c r="A696" t="inlineStr">
        <is>
          <t>A 71874-2021</t>
        </is>
      </c>
      <c r="B696" s="1" t="n">
        <v>44543.68087962963</v>
      </c>
      <c r="C696" s="1" t="n">
        <v>46103</v>
      </c>
      <c r="D696" t="inlineStr">
        <is>
          <t>KRONOBERGS LÄN</t>
        </is>
      </c>
      <c r="E696" t="inlineStr">
        <is>
          <t>VÄXJÖ</t>
        </is>
      </c>
      <c r="G696" t="n">
        <v>1.2</v>
      </c>
      <c r="H696" t="n">
        <v>0</v>
      </c>
      <c r="I696" t="n">
        <v>0</v>
      </c>
      <c r="J696" t="n">
        <v>0</v>
      </c>
      <c r="K696" t="n">
        <v>0</v>
      </c>
      <c r="L696" t="n">
        <v>0</v>
      </c>
      <c r="M696" t="n">
        <v>0</v>
      </c>
      <c r="N696" t="n">
        <v>0</v>
      </c>
      <c r="O696" t="n">
        <v>0</v>
      </c>
      <c r="P696" t="n">
        <v>0</v>
      </c>
      <c r="Q696" t="n">
        <v>0</v>
      </c>
      <c r="R696" s="2" t="inlineStr"/>
    </row>
    <row r="697" ht="15" customHeight="1">
      <c r="A697" t="inlineStr">
        <is>
          <t>A 7388-2022</t>
        </is>
      </c>
      <c r="B697" s="1" t="n">
        <v>44606</v>
      </c>
      <c r="C697" s="1" t="n">
        <v>46103</v>
      </c>
      <c r="D697" t="inlineStr">
        <is>
          <t>KRONOBERGS LÄN</t>
        </is>
      </c>
      <c r="E697" t="inlineStr">
        <is>
          <t>ALVESTA</t>
        </is>
      </c>
      <c r="F697" t="inlineStr">
        <is>
          <t>Kommuner</t>
        </is>
      </c>
      <c r="G697" t="n">
        <v>3</v>
      </c>
      <c r="H697" t="n">
        <v>0</v>
      </c>
      <c r="I697" t="n">
        <v>0</v>
      </c>
      <c r="J697" t="n">
        <v>0</v>
      </c>
      <c r="K697" t="n">
        <v>0</v>
      </c>
      <c r="L697" t="n">
        <v>0</v>
      </c>
      <c r="M697" t="n">
        <v>0</v>
      </c>
      <c r="N697" t="n">
        <v>0</v>
      </c>
      <c r="O697" t="n">
        <v>0</v>
      </c>
      <c r="P697" t="n">
        <v>0</v>
      </c>
      <c r="Q697" t="n">
        <v>0</v>
      </c>
      <c r="R697" s="2" t="inlineStr"/>
    </row>
    <row r="698" ht="15" customHeight="1">
      <c r="A698" t="inlineStr">
        <is>
          <t>A 33108-2021</t>
        </is>
      </c>
      <c r="B698" s="1" t="n">
        <v>44376</v>
      </c>
      <c r="C698" s="1" t="n">
        <v>46103</v>
      </c>
      <c r="D698" t="inlineStr">
        <is>
          <t>KRONOBERGS LÄN</t>
        </is>
      </c>
      <c r="E698" t="inlineStr">
        <is>
          <t>UPPVIDINGE</t>
        </is>
      </c>
      <c r="G698" t="n">
        <v>0.7</v>
      </c>
      <c r="H698" t="n">
        <v>0</v>
      </c>
      <c r="I698" t="n">
        <v>0</v>
      </c>
      <c r="J698" t="n">
        <v>0</v>
      </c>
      <c r="K698" t="n">
        <v>0</v>
      </c>
      <c r="L698" t="n">
        <v>0</v>
      </c>
      <c r="M698" t="n">
        <v>0</v>
      </c>
      <c r="N698" t="n">
        <v>0</v>
      </c>
      <c r="O698" t="n">
        <v>0</v>
      </c>
      <c r="P698" t="n">
        <v>0</v>
      </c>
      <c r="Q698" t="n">
        <v>0</v>
      </c>
      <c r="R698" s="2" t="inlineStr"/>
    </row>
    <row r="699" ht="15" customHeight="1">
      <c r="A699" t="inlineStr">
        <is>
          <t>A 41893-2021</t>
        </is>
      </c>
      <c r="B699" s="1" t="n">
        <v>44426.34618055556</v>
      </c>
      <c r="C699" s="1" t="n">
        <v>46103</v>
      </c>
      <c r="D699" t="inlineStr">
        <is>
          <t>KRONOBERGS LÄN</t>
        </is>
      </c>
      <c r="E699" t="inlineStr">
        <is>
          <t>LJUNGBY</t>
        </is>
      </c>
      <c r="G699" t="n">
        <v>1.2</v>
      </c>
      <c r="H699" t="n">
        <v>0</v>
      </c>
      <c r="I699" t="n">
        <v>0</v>
      </c>
      <c r="J699" t="n">
        <v>0</v>
      </c>
      <c r="K699" t="n">
        <v>0</v>
      </c>
      <c r="L699" t="n">
        <v>0</v>
      </c>
      <c r="M699" t="n">
        <v>0</v>
      </c>
      <c r="N699" t="n">
        <v>0</v>
      </c>
      <c r="O699" t="n">
        <v>0</v>
      </c>
      <c r="P699" t="n">
        <v>0</v>
      </c>
      <c r="Q699" t="n">
        <v>0</v>
      </c>
      <c r="R699" s="2" t="inlineStr"/>
    </row>
    <row r="700" ht="15" customHeight="1">
      <c r="A700" t="inlineStr">
        <is>
          <t>A 42005-2021</t>
        </is>
      </c>
      <c r="B700" s="1" t="n">
        <v>44426</v>
      </c>
      <c r="C700" s="1" t="n">
        <v>46103</v>
      </c>
      <c r="D700" t="inlineStr">
        <is>
          <t>KRONOBERGS LÄN</t>
        </is>
      </c>
      <c r="E700" t="inlineStr">
        <is>
          <t>VÄXJÖ</t>
        </is>
      </c>
      <c r="G700" t="n">
        <v>0.9</v>
      </c>
      <c r="H700" t="n">
        <v>0</v>
      </c>
      <c r="I700" t="n">
        <v>0</v>
      </c>
      <c r="J700" t="n">
        <v>0</v>
      </c>
      <c r="K700" t="n">
        <v>0</v>
      </c>
      <c r="L700" t="n">
        <v>0</v>
      </c>
      <c r="M700" t="n">
        <v>0</v>
      </c>
      <c r="N700" t="n">
        <v>0</v>
      </c>
      <c r="O700" t="n">
        <v>0</v>
      </c>
      <c r="P700" t="n">
        <v>0</v>
      </c>
      <c r="Q700" t="n">
        <v>0</v>
      </c>
      <c r="R700" s="2" t="inlineStr"/>
    </row>
    <row r="701" ht="15" customHeight="1">
      <c r="A701" t="inlineStr">
        <is>
          <t>A 53135-2021</t>
        </is>
      </c>
      <c r="B701" s="1" t="n">
        <v>44468.3096875</v>
      </c>
      <c r="C701" s="1" t="n">
        <v>46103</v>
      </c>
      <c r="D701" t="inlineStr">
        <is>
          <t>KRONOBERGS LÄN</t>
        </is>
      </c>
      <c r="E701" t="inlineStr">
        <is>
          <t>VÄXJÖ</t>
        </is>
      </c>
      <c r="G701" t="n">
        <v>1.2</v>
      </c>
      <c r="H701" t="n">
        <v>0</v>
      </c>
      <c r="I701" t="n">
        <v>0</v>
      </c>
      <c r="J701" t="n">
        <v>0</v>
      </c>
      <c r="K701" t="n">
        <v>0</v>
      </c>
      <c r="L701" t="n">
        <v>0</v>
      </c>
      <c r="M701" t="n">
        <v>0</v>
      </c>
      <c r="N701" t="n">
        <v>0</v>
      </c>
      <c r="O701" t="n">
        <v>0</v>
      </c>
      <c r="P701" t="n">
        <v>0</v>
      </c>
      <c r="Q701" t="n">
        <v>0</v>
      </c>
      <c r="R701" s="2" t="inlineStr"/>
    </row>
    <row r="702" ht="15" customHeight="1">
      <c r="A702" t="inlineStr">
        <is>
          <t>A 7245-2022</t>
        </is>
      </c>
      <c r="B702" s="1" t="n">
        <v>44606</v>
      </c>
      <c r="C702" s="1" t="n">
        <v>46103</v>
      </c>
      <c r="D702" t="inlineStr">
        <is>
          <t>KRONOBERGS LÄN</t>
        </is>
      </c>
      <c r="E702" t="inlineStr">
        <is>
          <t>VÄXJÖ</t>
        </is>
      </c>
      <c r="G702" t="n">
        <v>0.6</v>
      </c>
      <c r="H702" t="n">
        <v>0</v>
      </c>
      <c r="I702" t="n">
        <v>0</v>
      </c>
      <c r="J702" t="n">
        <v>0</v>
      </c>
      <c r="K702" t="n">
        <v>0</v>
      </c>
      <c r="L702" t="n">
        <v>0</v>
      </c>
      <c r="M702" t="n">
        <v>0</v>
      </c>
      <c r="N702" t="n">
        <v>0</v>
      </c>
      <c r="O702" t="n">
        <v>0</v>
      </c>
      <c r="P702" t="n">
        <v>0</v>
      </c>
      <c r="Q702" t="n">
        <v>0</v>
      </c>
      <c r="R702" s="2" t="inlineStr"/>
    </row>
    <row r="703" ht="15" customHeight="1">
      <c r="A703" t="inlineStr">
        <is>
          <t>A 56859-2021</t>
        </is>
      </c>
      <c r="B703" s="1" t="n">
        <v>44481</v>
      </c>
      <c r="C703" s="1" t="n">
        <v>46103</v>
      </c>
      <c r="D703" t="inlineStr">
        <is>
          <t>KRONOBERGS LÄN</t>
        </is>
      </c>
      <c r="E703" t="inlineStr">
        <is>
          <t>TINGSRYD</t>
        </is>
      </c>
      <c r="G703" t="n">
        <v>0</v>
      </c>
      <c r="H703" t="n">
        <v>0</v>
      </c>
      <c r="I703" t="n">
        <v>0</v>
      </c>
      <c r="J703" t="n">
        <v>0</v>
      </c>
      <c r="K703" t="n">
        <v>0</v>
      </c>
      <c r="L703" t="n">
        <v>0</v>
      </c>
      <c r="M703" t="n">
        <v>0</v>
      </c>
      <c r="N703" t="n">
        <v>0</v>
      </c>
      <c r="O703" t="n">
        <v>0</v>
      </c>
      <c r="P703" t="n">
        <v>0</v>
      </c>
      <c r="Q703" t="n">
        <v>0</v>
      </c>
      <c r="R703" s="2" t="inlineStr"/>
    </row>
    <row r="704" ht="15" customHeight="1">
      <c r="A704" t="inlineStr">
        <is>
          <t>A 49430-2021</t>
        </is>
      </c>
      <c r="B704" s="1" t="n">
        <v>44454.65834490741</v>
      </c>
      <c r="C704" s="1" t="n">
        <v>46103</v>
      </c>
      <c r="D704" t="inlineStr">
        <is>
          <t>KRONOBERGS LÄN</t>
        </is>
      </c>
      <c r="E704" t="inlineStr">
        <is>
          <t>ALVESTA</t>
        </is>
      </c>
      <c r="G704" t="n">
        <v>0.7</v>
      </c>
      <c r="H704" t="n">
        <v>0</v>
      </c>
      <c r="I704" t="n">
        <v>0</v>
      </c>
      <c r="J704" t="n">
        <v>0</v>
      </c>
      <c r="K704" t="n">
        <v>0</v>
      </c>
      <c r="L704" t="n">
        <v>0</v>
      </c>
      <c r="M704" t="n">
        <v>0</v>
      </c>
      <c r="N704" t="n">
        <v>0</v>
      </c>
      <c r="O704" t="n">
        <v>0</v>
      </c>
      <c r="P704" t="n">
        <v>0</v>
      </c>
      <c r="Q704" t="n">
        <v>0</v>
      </c>
      <c r="R704" s="2" t="inlineStr"/>
    </row>
    <row r="705" ht="15" customHeight="1">
      <c r="A705" t="inlineStr">
        <is>
          <t>A 9841-2022</t>
        </is>
      </c>
      <c r="B705" s="1" t="n">
        <v>44620.48642361111</v>
      </c>
      <c r="C705" s="1" t="n">
        <v>46103</v>
      </c>
      <c r="D705" t="inlineStr">
        <is>
          <t>KRONOBERGS LÄN</t>
        </is>
      </c>
      <c r="E705" t="inlineStr">
        <is>
          <t>TINGSRYD</t>
        </is>
      </c>
      <c r="F705" t="inlineStr">
        <is>
          <t>Kommuner</t>
        </is>
      </c>
      <c r="G705" t="n">
        <v>0.4</v>
      </c>
      <c r="H705" t="n">
        <v>0</v>
      </c>
      <c r="I705" t="n">
        <v>0</v>
      </c>
      <c r="J705" t="n">
        <v>0</v>
      </c>
      <c r="K705" t="n">
        <v>0</v>
      </c>
      <c r="L705" t="n">
        <v>0</v>
      </c>
      <c r="M705" t="n">
        <v>0</v>
      </c>
      <c r="N705" t="n">
        <v>0</v>
      </c>
      <c r="O705" t="n">
        <v>0</v>
      </c>
      <c r="P705" t="n">
        <v>0</v>
      </c>
      <c r="Q705" t="n">
        <v>0</v>
      </c>
      <c r="R705" s="2" t="inlineStr"/>
    </row>
    <row r="706" ht="15" customHeight="1">
      <c r="A706" t="inlineStr">
        <is>
          <t>A 9870-2022</t>
        </is>
      </c>
      <c r="B706" s="1" t="n">
        <v>44620.56289351852</v>
      </c>
      <c r="C706" s="1" t="n">
        <v>46103</v>
      </c>
      <c r="D706" t="inlineStr">
        <is>
          <t>KRONOBERGS LÄN</t>
        </is>
      </c>
      <c r="E706" t="inlineStr">
        <is>
          <t>TINGSRYD</t>
        </is>
      </c>
      <c r="F706" t="inlineStr">
        <is>
          <t>Kommuner</t>
        </is>
      </c>
      <c r="G706" t="n">
        <v>0.7</v>
      </c>
      <c r="H706" t="n">
        <v>0</v>
      </c>
      <c r="I706" t="n">
        <v>0</v>
      </c>
      <c r="J706" t="n">
        <v>0</v>
      </c>
      <c r="K706" t="n">
        <v>0</v>
      </c>
      <c r="L706" t="n">
        <v>0</v>
      </c>
      <c r="M706" t="n">
        <v>0</v>
      </c>
      <c r="N706" t="n">
        <v>0</v>
      </c>
      <c r="O706" t="n">
        <v>0</v>
      </c>
      <c r="P706" t="n">
        <v>0</v>
      </c>
      <c r="Q706" t="n">
        <v>0</v>
      </c>
      <c r="R706" s="2" t="inlineStr"/>
    </row>
    <row r="707" ht="15" customHeight="1">
      <c r="A707" t="inlineStr">
        <is>
          <t>A 8216-2022</t>
        </is>
      </c>
      <c r="B707" s="1" t="n">
        <v>44609.87715277778</v>
      </c>
      <c r="C707" s="1" t="n">
        <v>46103</v>
      </c>
      <c r="D707" t="inlineStr">
        <is>
          <t>KRONOBERGS LÄN</t>
        </is>
      </c>
      <c r="E707" t="inlineStr">
        <is>
          <t>ÄLMHULT</t>
        </is>
      </c>
      <c r="G707" t="n">
        <v>0.6</v>
      </c>
      <c r="H707" t="n">
        <v>0</v>
      </c>
      <c r="I707" t="n">
        <v>0</v>
      </c>
      <c r="J707" t="n">
        <v>0</v>
      </c>
      <c r="K707" t="n">
        <v>0</v>
      </c>
      <c r="L707" t="n">
        <v>0</v>
      </c>
      <c r="M707" t="n">
        <v>0</v>
      </c>
      <c r="N707" t="n">
        <v>0</v>
      </c>
      <c r="O707" t="n">
        <v>0</v>
      </c>
      <c r="P707" t="n">
        <v>0</v>
      </c>
      <c r="Q707" t="n">
        <v>0</v>
      </c>
      <c r="R707" s="2" t="inlineStr"/>
    </row>
    <row r="708" ht="15" customHeight="1">
      <c r="A708" t="inlineStr">
        <is>
          <t>A 54210-2021</t>
        </is>
      </c>
      <c r="B708" s="1" t="n">
        <v>44470.61033564815</v>
      </c>
      <c r="C708" s="1" t="n">
        <v>46103</v>
      </c>
      <c r="D708" t="inlineStr">
        <is>
          <t>KRONOBERGS LÄN</t>
        </is>
      </c>
      <c r="E708" t="inlineStr">
        <is>
          <t>VÄXJÖ</t>
        </is>
      </c>
      <c r="G708" t="n">
        <v>2.4</v>
      </c>
      <c r="H708" t="n">
        <v>0</v>
      </c>
      <c r="I708" t="n">
        <v>0</v>
      </c>
      <c r="J708" t="n">
        <v>0</v>
      </c>
      <c r="K708" t="n">
        <v>0</v>
      </c>
      <c r="L708" t="n">
        <v>0</v>
      </c>
      <c r="M708" t="n">
        <v>0</v>
      </c>
      <c r="N708" t="n">
        <v>0</v>
      </c>
      <c r="O708" t="n">
        <v>0</v>
      </c>
      <c r="P708" t="n">
        <v>0</v>
      </c>
      <c r="Q708" t="n">
        <v>0</v>
      </c>
      <c r="R708" s="2" t="inlineStr"/>
    </row>
    <row r="709" ht="15" customHeight="1">
      <c r="A709" t="inlineStr">
        <is>
          <t>A 48722-2021</t>
        </is>
      </c>
      <c r="B709" s="1" t="n">
        <v>44452.59166666667</v>
      </c>
      <c r="C709" s="1" t="n">
        <v>46103</v>
      </c>
      <c r="D709" t="inlineStr">
        <is>
          <t>KRONOBERGS LÄN</t>
        </is>
      </c>
      <c r="E709" t="inlineStr">
        <is>
          <t>TINGSRYD</t>
        </is>
      </c>
      <c r="G709" t="n">
        <v>1.5</v>
      </c>
      <c r="H709" t="n">
        <v>0</v>
      </c>
      <c r="I709" t="n">
        <v>0</v>
      </c>
      <c r="J709" t="n">
        <v>0</v>
      </c>
      <c r="K709" t="n">
        <v>0</v>
      </c>
      <c r="L709" t="n">
        <v>0</v>
      </c>
      <c r="M709" t="n">
        <v>0</v>
      </c>
      <c r="N709" t="n">
        <v>0</v>
      </c>
      <c r="O709" t="n">
        <v>0</v>
      </c>
      <c r="P709" t="n">
        <v>0</v>
      </c>
      <c r="Q709" t="n">
        <v>0</v>
      </c>
      <c r="R709" s="2" t="inlineStr"/>
    </row>
    <row r="710" ht="15" customHeight="1">
      <c r="A710" t="inlineStr">
        <is>
          <t>A 55838-2022</t>
        </is>
      </c>
      <c r="B710" s="1" t="n">
        <v>44888.69445601852</v>
      </c>
      <c r="C710" s="1" t="n">
        <v>46103</v>
      </c>
      <c r="D710" t="inlineStr">
        <is>
          <t>KRONOBERGS LÄN</t>
        </is>
      </c>
      <c r="E710" t="inlineStr">
        <is>
          <t>LJUNGBY</t>
        </is>
      </c>
      <c r="G710" t="n">
        <v>0.7</v>
      </c>
      <c r="H710" t="n">
        <v>0</v>
      </c>
      <c r="I710" t="n">
        <v>0</v>
      </c>
      <c r="J710" t="n">
        <v>0</v>
      </c>
      <c r="K710" t="n">
        <v>0</v>
      </c>
      <c r="L710" t="n">
        <v>0</v>
      </c>
      <c r="M710" t="n">
        <v>0</v>
      </c>
      <c r="N710" t="n">
        <v>0</v>
      </c>
      <c r="O710" t="n">
        <v>0</v>
      </c>
      <c r="P710" t="n">
        <v>0</v>
      </c>
      <c r="Q710" t="n">
        <v>0</v>
      </c>
      <c r="R710" s="2" t="inlineStr"/>
    </row>
    <row r="711" ht="15" customHeight="1">
      <c r="A711" t="inlineStr">
        <is>
          <t>A 12187-2022</t>
        </is>
      </c>
      <c r="B711" s="1" t="n">
        <v>44636.91965277777</v>
      </c>
      <c r="C711" s="1" t="n">
        <v>46103</v>
      </c>
      <c r="D711" t="inlineStr">
        <is>
          <t>KRONOBERGS LÄN</t>
        </is>
      </c>
      <c r="E711" t="inlineStr">
        <is>
          <t>TINGSRYD</t>
        </is>
      </c>
      <c r="G711" t="n">
        <v>1</v>
      </c>
      <c r="H711" t="n">
        <v>0</v>
      </c>
      <c r="I711" t="n">
        <v>0</v>
      </c>
      <c r="J711" t="n">
        <v>0</v>
      </c>
      <c r="K711" t="n">
        <v>0</v>
      </c>
      <c r="L711" t="n">
        <v>0</v>
      </c>
      <c r="M711" t="n">
        <v>0</v>
      </c>
      <c r="N711" t="n">
        <v>0</v>
      </c>
      <c r="O711" t="n">
        <v>0</v>
      </c>
      <c r="P711" t="n">
        <v>0</v>
      </c>
      <c r="Q711" t="n">
        <v>0</v>
      </c>
      <c r="R711" s="2" t="inlineStr"/>
    </row>
    <row r="712" ht="15" customHeight="1">
      <c r="A712" t="inlineStr">
        <is>
          <t>A 50908-2022</t>
        </is>
      </c>
      <c r="B712" s="1" t="n">
        <v>44867.62162037037</v>
      </c>
      <c r="C712" s="1" t="n">
        <v>46103</v>
      </c>
      <c r="D712" t="inlineStr">
        <is>
          <t>KRONOBERGS LÄN</t>
        </is>
      </c>
      <c r="E712" t="inlineStr">
        <is>
          <t>ALVESTA</t>
        </is>
      </c>
      <c r="G712" t="n">
        <v>2.4</v>
      </c>
      <c r="H712" t="n">
        <v>0</v>
      </c>
      <c r="I712" t="n">
        <v>0</v>
      </c>
      <c r="J712" t="n">
        <v>0</v>
      </c>
      <c r="K712" t="n">
        <v>0</v>
      </c>
      <c r="L712" t="n">
        <v>0</v>
      </c>
      <c r="M712" t="n">
        <v>0</v>
      </c>
      <c r="N712" t="n">
        <v>0</v>
      </c>
      <c r="O712" t="n">
        <v>0</v>
      </c>
      <c r="P712" t="n">
        <v>0</v>
      </c>
      <c r="Q712" t="n">
        <v>0</v>
      </c>
      <c r="R712" s="2" t="inlineStr"/>
    </row>
    <row r="713" ht="15" customHeight="1">
      <c r="A713" t="inlineStr">
        <is>
          <t>A 18055-2021</t>
        </is>
      </c>
      <c r="B713" s="1" t="n">
        <v>44302.41256944444</v>
      </c>
      <c r="C713" s="1" t="n">
        <v>46103</v>
      </c>
      <c r="D713" t="inlineStr">
        <is>
          <t>KRONOBERGS LÄN</t>
        </is>
      </c>
      <c r="E713" t="inlineStr">
        <is>
          <t>TINGSRYD</t>
        </is>
      </c>
      <c r="G713" t="n">
        <v>6.3</v>
      </c>
      <c r="H713" t="n">
        <v>0</v>
      </c>
      <c r="I713" t="n">
        <v>0</v>
      </c>
      <c r="J713" t="n">
        <v>0</v>
      </c>
      <c r="K713" t="n">
        <v>0</v>
      </c>
      <c r="L713" t="n">
        <v>0</v>
      </c>
      <c r="M713" t="n">
        <v>0</v>
      </c>
      <c r="N713" t="n">
        <v>0</v>
      </c>
      <c r="O713" t="n">
        <v>0</v>
      </c>
      <c r="P713" t="n">
        <v>0</v>
      </c>
      <c r="Q713" t="n">
        <v>0</v>
      </c>
      <c r="R713" s="2" t="inlineStr"/>
    </row>
    <row r="714" ht="15" customHeight="1">
      <c r="A714" t="inlineStr">
        <is>
          <t>A 21892-2021</t>
        </is>
      </c>
      <c r="B714" s="1" t="n">
        <v>44322.68579861111</v>
      </c>
      <c r="C714" s="1" t="n">
        <v>46103</v>
      </c>
      <c r="D714" t="inlineStr">
        <is>
          <t>KRONOBERGS LÄN</t>
        </is>
      </c>
      <c r="E714" t="inlineStr">
        <is>
          <t>LJUNGBY</t>
        </is>
      </c>
      <c r="G714" t="n">
        <v>1.6</v>
      </c>
      <c r="H714" t="n">
        <v>0</v>
      </c>
      <c r="I714" t="n">
        <v>0</v>
      </c>
      <c r="J714" t="n">
        <v>0</v>
      </c>
      <c r="K714" t="n">
        <v>0</v>
      </c>
      <c r="L714" t="n">
        <v>0</v>
      </c>
      <c r="M714" t="n">
        <v>0</v>
      </c>
      <c r="N714" t="n">
        <v>0</v>
      </c>
      <c r="O714" t="n">
        <v>0</v>
      </c>
      <c r="P714" t="n">
        <v>0</v>
      </c>
      <c r="Q714" t="n">
        <v>0</v>
      </c>
      <c r="R714" s="2" t="inlineStr"/>
    </row>
    <row r="715" ht="15" customHeight="1">
      <c r="A715" t="inlineStr">
        <is>
          <t>A 66548-2021</t>
        </is>
      </c>
      <c r="B715" s="1" t="n">
        <v>44519.39663194444</v>
      </c>
      <c r="C715" s="1" t="n">
        <v>46103</v>
      </c>
      <c r="D715" t="inlineStr">
        <is>
          <t>KRONOBERGS LÄN</t>
        </is>
      </c>
      <c r="E715" t="inlineStr">
        <is>
          <t>TINGSRYD</t>
        </is>
      </c>
      <c r="G715" t="n">
        <v>0.7</v>
      </c>
      <c r="H715" t="n">
        <v>0</v>
      </c>
      <c r="I715" t="n">
        <v>0</v>
      </c>
      <c r="J715" t="n">
        <v>0</v>
      </c>
      <c r="K715" t="n">
        <v>0</v>
      </c>
      <c r="L715" t="n">
        <v>0</v>
      </c>
      <c r="M715" t="n">
        <v>0</v>
      </c>
      <c r="N715" t="n">
        <v>0</v>
      </c>
      <c r="O715" t="n">
        <v>0</v>
      </c>
      <c r="P715" t="n">
        <v>0</v>
      </c>
      <c r="Q715" t="n">
        <v>0</v>
      </c>
      <c r="R715" s="2" t="inlineStr"/>
    </row>
    <row r="716" ht="15" customHeight="1">
      <c r="A716" t="inlineStr">
        <is>
          <t>A 16328-2021</t>
        </is>
      </c>
      <c r="B716" s="1" t="n">
        <v>44292</v>
      </c>
      <c r="C716" s="1" t="n">
        <v>46103</v>
      </c>
      <c r="D716" t="inlineStr">
        <is>
          <t>KRONOBERGS LÄN</t>
        </is>
      </c>
      <c r="E716" t="inlineStr">
        <is>
          <t>ÄLMHULT</t>
        </is>
      </c>
      <c r="G716" t="n">
        <v>2.8</v>
      </c>
      <c r="H716" t="n">
        <v>0</v>
      </c>
      <c r="I716" t="n">
        <v>0</v>
      </c>
      <c r="J716" t="n">
        <v>0</v>
      </c>
      <c r="K716" t="n">
        <v>0</v>
      </c>
      <c r="L716" t="n">
        <v>0</v>
      </c>
      <c r="M716" t="n">
        <v>0</v>
      </c>
      <c r="N716" t="n">
        <v>0</v>
      </c>
      <c r="O716" t="n">
        <v>0</v>
      </c>
      <c r="P716" t="n">
        <v>0</v>
      </c>
      <c r="Q716" t="n">
        <v>0</v>
      </c>
      <c r="R716" s="2" t="inlineStr"/>
    </row>
    <row r="717" ht="15" customHeight="1">
      <c r="A717" t="inlineStr">
        <is>
          <t>A 16399-2021</t>
        </is>
      </c>
      <c r="B717" s="1" t="n">
        <v>44293</v>
      </c>
      <c r="C717" s="1" t="n">
        <v>46103</v>
      </c>
      <c r="D717" t="inlineStr">
        <is>
          <t>KRONOBERGS LÄN</t>
        </is>
      </c>
      <c r="E717" t="inlineStr">
        <is>
          <t>ALVESTA</t>
        </is>
      </c>
      <c r="G717" t="n">
        <v>0.3</v>
      </c>
      <c r="H717" t="n">
        <v>0</v>
      </c>
      <c r="I717" t="n">
        <v>0</v>
      </c>
      <c r="J717" t="n">
        <v>0</v>
      </c>
      <c r="K717" t="n">
        <v>0</v>
      </c>
      <c r="L717" t="n">
        <v>0</v>
      </c>
      <c r="M717" t="n">
        <v>0</v>
      </c>
      <c r="N717" t="n">
        <v>0</v>
      </c>
      <c r="O717" t="n">
        <v>0</v>
      </c>
      <c r="P717" t="n">
        <v>0</v>
      </c>
      <c r="Q717" t="n">
        <v>0</v>
      </c>
      <c r="R717" s="2" t="inlineStr"/>
    </row>
    <row r="718" ht="15" customHeight="1">
      <c r="A718" t="inlineStr">
        <is>
          <t>A 21856-2021</t>
        </is>
      </c>
      <c r="B718" s="1" t="n">
        <v>44322</v>
      </c>
      <c r="C718" s="1" t="n">
        <v>46103</v>
      </c>
      <c r="D718" t="inlineStr">
        <is>
          <t>KRONOBERGS LÄN</t>
        </is>
      </c>
      <c r="E718" t="inlineStr">
        <is>
          <t>VÄXJÖ</t>
        </is>
      </c>
      <c r="G718" t="n">
        <v>3.6</v>
      </c>
      <c r="H718" t="n">
        <v>0</v>
      </c>
      <c r="I718" t="n">
        <v>0</v>
      </c>
      <c r="J718" t="n">
        <v>0</v>
      </c>
      <c r="K718" t="n">
        <v>0</v>
      </c>
      <c r="L718" t="n">
        <v>0</v>
      </c>
      <c r="M718" t="n">
        <v>0</v>
      </c>
      <c r="N718" t="n">
        <v>0</v>
      </c>
      <c r="O718" t="n">
        <v>0</v>
      </c>
      <c r="P718" t="n">
        <v>0</v>
      </c>
      <c r="Q718" t="n">
        <v>0</v>
      </c>
      <c r="R718" s="2" t="inlineStr"/>
    </row>
    <row r="719" ht="15" customHeight="1">
      <c r="A719" t="inlineStr">
        <is>
          <t>A 28080-2022</t>
        </is>
      </c>
      <c r="B719" s="1" t="n">
        <v>44746.44984953704</v>
      </c>
      <c r="C719" s="1" t="n">
        <v>46103</v>
      </c>
      <c r="D719" t="inlineStr">
        <is>
          <t>KRONOBERGS LÄN</t>
        </is>
      </c>
      <c r="E719" t="inlineStr">
        <is>
          <t>VÄXJÖ</t>
        </is>
      </c>
      <c r="G719" t="n">
        <v>0.4</v>
      </c>
      <c r="H719" t="n">
        <v>0</v>
      </c>
      <c r="I719" t="n">
        <v>0</v>
      </c>
      <c r="J719" t="n">
        <v>0</v>
      </c>
      <c r="K719" t="n">
        <v>0</v>
      </c>
      <c r="L719" t="n">
        <v>0</v>
      </c>
      <c r="M719" t="n">
        <v>0</v>
      </c>
      <c r="N719" t="n">
        <v>0</v>
      </c>
      <c r="O719" t="n">
        <v>0</v>
      </c>
      <c r="P719" t="n">
        <v>0</v>
      </c>
      <c r="Q719" t="n">
        <v>0</v>
      </c>
      <c r="R719" s="2" t="inlineStr"/>
    </row>
    <row r="720" ht="15" customHeight="1">
      <c r="A720" t="inlineStr">
        <is>
          <t>A 42318-2021</t>
        </is>
      </c>
      <c r="B720" s="1" t="n">
        <v>44427.38479166666</v>
      </c>
      <c r="C720" s="1" t="n">
        <v>46103</v>
      </c>
      <c r="D720" t="inlineStr">
        <is>
          <t>KRONOBERGS LÄN</t>
        </is>
      </c>
      <c r="E720" t="inlineStr">
        <is>
          <t>TINGSRYD</t>
        </is>
      </c>
      <c r="G720" t="n">
        <v>4</v>
      </c>
      <c r="H720" t="n">
        <v>0</v>
      </c>
      <c r="I720" t="n">
        <v>0</v>
      </c>
      <c r="J720" t="n">
        <v>0</v>
      </c>
      <c r="K720" t="n">
        <v>0</v>
      </c>
      <c r="L720" t="n">
        <v>0</v>
      </c>
      <c r="M720" t="n">
        <v>0</v>
      </c>
      <c r="N720" t="n">
        <v>0</v>
      </c>
      <c r="O720" t="n">
        <v>0</v>
      </c>
      <c r="P720" t="n">
        <v>0</v>
      </c>
      <c r="Q720" t="n">
        <v>0</v>
      </c>
      <c r="R720" s="2" t="inlineStr"/>
    </row>
    <row r="721" ht="15" customHeight="1">
      <c r="A721" t="inlineStr">
        <is>
          <t>A 40892-2022</t>
        </is>
      </c>
      <c r="B721" s="1" t="n">
        <v>44825.35965277778</v>
      </c>
      <c r="C721" s="1" t="n">
        <v>46103</v>
      </c>
      <c r="D721" t="inlineStr">
        <is>
          <t>KRONOBERGS LÄN</t>
        </is>
      </c>
      <c r="E721" t="inlineStr">
        <is>
          <t>LJUNGBY</t>
        </is>
      </c>
      <c r="G721" t="n">
        <v>0.7</v>
      </c>
      <c r="H721" t="n">
        <v>0</v>
      </c>
      <c r="I721" t="n">
        <v>0</v>
      </c>
      <c r="J721" t="n">
        <v>0</v>
      </c>
      <c r="K721" t="n">
        <v>0</v>
      </c>
      <c r="L721" t="n">
        <v>0</v>
      </c>
      <c r="M721" t="n">
        <v>0</v>
      </c>
      <c r="N721" t="n">
        <v>0</v>
      </c>
      <c r="O721" t="n">
        <v>0</v>
      </c>
      <c r="P721" t="n">
        <v>0</v>
      </c>
      <c r="Q721" t="n">
        <v>0</v>
      </c>
      <c r="R721" s="2" t="inlineStr"/>
    </row>
    <row r="722" ht="15" customHeight="1">
      <c r="A722" t="inlineStr">
        <is>
          <t>A 8480-2022</t>
        </is>
      </c>
      <c r="B722" s="1" t="n">
        <v>44613.36252314815</v>
      </c>
      <c r="C722" s="1" t="n">
        <v>46103</v>
      </c>
      <c r="D722" t="inlineStr">
        <is>
          <t>KRONOBERGS LÄN</t>
        </is>
      </c>
      <c r="E722" t="inlineStr">
        <is>
          <t>VÄXJÖ</t>
        </is>
      </c>
      <c r="G722" t="n">
        <v>10.7</v>
      </c>
      <c r="H722" t="n">
        <v>0</v>
      </c>
      <c r="I722" t="n">
        <v>0</v>
      </c>
      <c r="J722" t="n">
        <v>0</v>
      </c>
      <c r="K722" t="n">
        <v>0</v>
      </c>
      <c r="L722" t="n">
        <v>0</v>
      </c>
      <c r="M722" t="n">
        <v>0</v>
      </c>
      <c r="N722" t="n">
        <v>0</v>
      </c>
      <c r="O722" t="n">
        <v>0</v>
      </c>
      <c r="P722" t="n">
        <v>0</v>
      </c>
      <c r="Q722" t="n">
        <v>0</v>
      </c>
      <c r="R722" s="2" t="inlineStr"/>
    </row>
    <row r="723" ht="15" customHeight="1">
      <c r="A723" t="inlineStr">
        <is>
          <t>A 36141-2022</t>
        </is>
      </c>
      <c r="B723" s="1" t="n">
        <v>44803.35861111111</v>
      </c>
      <c r="C723" s="1" t="n">
        <v>46103</v>
      </c>
      <c r="D723" t="inlineStr">
        <is>
          <t>KRONOBERGS LÄN</t>
        </is>
      </c>
      <c r="E723" t="inlineStr">
        <is>
          <t>UPPVIDINGE</t>
        </is>
      </c>
      <c r="G723" t="n">
        <v>1</v>
      </c>
      <c r="H723" t="n">
        <v>0</v>
      </c>
      <c r="I723" t="n">
        <v>0</v>
      </c>
      <c r="J723" t="n">
        <v>0</v>
      </c>
      <c r="K723" t="n">
        <v>0</v>
      </c>
      <c r="L723" t="n">
        <v>0</v>
      </c>
      <c r="M723" t="n">
        <v>0</v>
      </c>
      <c r="N723" t="n">
        <v>0</v>
      </c>
      <c r="O723" t="n">
        <v>0</v>
      </c>
      <c r="P723" t="n">
        <v>0</v>
      </c>
      <c r="Q723" t="n">
        <v>0</v>
      </c>
      <c r="R723" s="2" t="inlineStr"/>
    </row>
    <row r="724" ht="15" customHeight="1">
      <c r="A724" t="inlineStr">
        <is>
          <t>A 50931-2021</t>
        </is>
      </c>
      <c r="B724" s="1" t="n">
        <v>44460.62309027778</v>
      </c>
      <c r="C724" s="1" t="n">
        <v>46103</v>
      </c>
      <c r="D724" t="inlineStr">
        <is>
          <t>KRONOBERGS LÄN</t>
        </is>
      </c>
      <c r="E724" t="inlineStr">
        <is>
          <t>LJUNGBY</t>
        </is>
      </c>
      <c r="G724" t="n">
        <v>3</v>
      </c>
      <c r="H724" t="n">
        <v>0</v>
      </c>
      <c r="I724" t="n">
        <v>0</v>
      </c>
      <c r="J724" t="n">
        <v>0</v>
      </c>
      <c r="K724" t="n">
        <v>0</v>
      </c>
      <c r="L724" t="n">
        <v>0</v>
      </c>
      <c r="M724" t="n">
        <v>0</v>
      </c>
      <c r="N724" t="n">
        <v>0</v>
      </c>
      <c r="O724" t="n">
        <v>0</v>
      </c>
      <c r="P724" t="n">
        <v>0</v>
      </c>
      <c r="Q724" t="n">
        <v>0</v>
      </c>
      <c r="R724" s="2" t="inlineStr"/>
    </row>
    <row r="725" ht="15" customHeight="1">
      <c r="A725" t="inlineStr">
        <is>
          <t>A 42483-2021</t>
        </is>
      </c>
      <c r="B725" s="1" t="n">
        <v>44427.65782407407</v>
      </c>
      <c r="C725" s="1" t="n">
        <v>46103</v>
      </c>
      <c r="D725" t="inlineStr">
        <is>
          <t>KRONOBERGS LÄN</t>
        </is>
      </c>
      <c r="E725" t="inlineStr">
        <is>
          <t>VÄXJÖ</t>
        </is>
      </c>
      <c r="G725" t="n">
        <v>0.8</v>
      </c>
      <c r="H725" t="n">
        <v>0</v>
      </c>
      <c r="I725" t="n">
        <v>0</v>
      </c>
      <c r="J725" t="n">
        <v>0</v>
      </c>
      <c r="K725" t="n">
        <v>0</v>
      </c>
      <c r="L725" t="n">
        <v>0</v>
      </c>
      <c r="M725" t="n">
        <v>0</v>
      </c>
      <c r="N725" t="n">
        <v>0</v>
      </c>
      <c r="O725" t="n">
        <v>0</v>
      </c>
      <c r="P725" t="n">
        <v>0</v>
      </c>
      <c r="Q725" t="n">
        <v>0</v>
      </c>
      <c r="R725" s="2" t="inlineStr"/>
    </row>
    <row r="726" ht="15" customHeight="1">
      <c r="A726" t="inlineStr">
        <is>
          <t>A 55317-2022</t>
        </is>
      </c>
      <c r="B726" s="1" t="n">
        <v>44887.42521990741</v>
      </c>
      <c r="C726" s="1" t="n">
        <v>46103</v>
      </c>
      <c r="D726" t="inlineStr">
        <is>
          <t>KRONOBERGS LÄN</t>
        </is>
      </c>
      <c r="E726" t="inlineStr">
        <is>
          <t>UPPVIDINGE</t>
        </is>
      </c>
      <c r="G726" t="n">
        <v>2.1</v>
      </c>
      <c r="H726" t="n">
        <v>0</v>
      </c>
      <c r="I726" t="n">
        <v>0</v>
      </c>
      <c r="J726" t="n">
        <v>0</v>
      </c>
      <c r="K726" t="n">
        <v>0</v>
      </c>
      <c r="L726" t="n">
        <v>0</v>
      </c>
      <c r="M726" t="n">
        <v>0</v>
      </c>
      <c r="N726" t="n">
        <v>0</v>
      </c>
      <c r="O726" t="n">
        <v>0</v>
      </c>
      <c r="P726" t="n">
        <v>0</v>
      </c>
      <c r="Q726" t="n">
        <v>0</v>
      </c>
      <c r="R726" s="2" t="inlineStr"/>
    </row>
    <row r="727" ht="15" customHeight="1">
      <c r="A727" t="inlineStr">
        <is>
          <t>A 54874-2021</t>
        </is>
      </c>
      <c r="B727" s="1" t="n">
        <v>44474.35017361111</v>
      </c>
      <c r="C727" s="1" t="n">
        <v>46103</v>
      </c>
      <c r="D727" t="inlineStr">
        <is>
          <t>KRONOBERGS LÄN</t>
        </is>
      </c>
      <c r="E727" t="inlineStr">
        <is>
          <t>VÄXJÖ</t>
        </is>
      </c>
      <c r="G727" t="n">
        <v>0.8</v>
      </c>
      <c r="H727" t="n">
        <v>0</v>
      </c>
      <c r="I727" t="n">
        <v>0</v>
      </c>
      <c r="J727" t="n">
        <v>0</v>
      </c>
      <c r="K727" t="n">
        <v>0</v>
      </c>
      <c r="L727" t="n">
        <v>0</v>
      </c>
      <c r="M727" t="n">
        <v>0</v>
      </c>
      <c r="N727" t="n">
        <v>0</v>
      </c>
      <c r="O727" t="n">
        <v>0</v>
      </c>
      <c r="P727" t="n">
        <v>0</v>
      </c>
      <c r="Q727" t="n">
        <v>0</v>
      </c>
      <c r="R727" s="2" t="inlineStr"/>
    </row>
    <row r="728" ht="15" customHeight="1">
      <c r="A728" t="inlineStr">
        <is>
          <t>A 19266-2022</t>
        </is>
      </c>
      <c r="B728" s="1" t="n">
        <v>44692</v>
      </c>
      <c r="C728" s="1" t="n">
        <v>46103</v>
      </c>
      <c r="D728" t="inlineStr">
        <is>
          <t>KRONOBERGS LÄN</t>
        </is>
      </c>
      <c r="E728" t="inlineStr">
        <is>
          <t>ALVESTA</t>
        </is>
      </c>
      <c r="G728" t="n">
        <v>1.6</v>
      </c>
      <c r="H728" t="n">
        <v>0</v>
      </c>
      <c r="I728" t="n">
        <v>0</v>
      </c>
      <c r="J728" t="n">
        <v>0</v>
      </c>
      <c r="K728" t="n">
        <v>0</v>
      </c>
      <c r="L728" t="n">
        <v>0</v>
      </c>
      <c r="M728" t="n">
        <v>0</v>
      </c>
      <c r="N728" t="n">
        <v>0</v>
      </c>
      <c r="O728" t="n">
        <v>0</v>
      </c>
      <c r="P728" t="n">
        <v>0</v>
      </c>
      <c r="Q728" t="n">
        <v>0</v>
      </c>
      <c r="R728" s="2" t="inlineStr"/>
    </row>
    <row r="729" ht="15" customHeight="1">
      <c r="A729" t="inlineStr">
        <is>
          <t>A 26092-2022</t>
        </is>
      </c>
      <c r="B729" s="1" t="n">
        <v>44734.80560185185</v>
      </c>
      <c r="C729" s="1" t="n">
        <v>46103</v>
      </c>
      <c r="D729" t="inlineStr">
        <is>
          <t>KRONOBERGS LÄN</t>
        </is>
      </c>
      <c r="E729" t="inlineStr">
        <is>
          <t>ALVESTA</t>
        </is>
      </c>
      <c r="G729" t="n">
        <v>0.9</v>
      </c>
      <c r="H729" t="n">
        <v>0</v>
      </c>
      <c r="I729" t="n">
        <v>0</v>
      </c>
      <c r="J729" t="n">
        <v>0</v>
      </c>
      <c r="K729" t="n">
        <v>0</v>
      </c>
      <c r="L729" t="n">
        <v>0</v>
      </c>
      <c r="M729" t="n">
        <v>0</v>
      </c>
      <c r="N729" t="n">
        <v>0</v>
      </c>
      <c r="O729" t="n">
        <v>0</v>
      </c>
      <c r="P729" t="n">
        <v>0</v>
      </c>
      <c r="Q729" t="n">
        <v>0</v>
      </c>
      <c r="R729" s="2" t="inlineStr"/>
    </row>
    <row r="730" ht="15" customHeight="1">
      <c r="A730" t="inlineStr">
        <is>
          <t>A 25799-2021</t>
        </is>
      </c>
      <c r="B730" s="1" t="n">
        <v>44343.88627314815</v>
      </c>
      <c r="C730" s="1" t="n">
        <v>46103</v>
      </c>
      <c r="D730" t="inlineStr">
        <is>
          <t>KRONOBERGS LÄN</t>
        </is>
      </c>
      <c r="E730" t="inlineStr">
        <is>
          <t>UPPVIDINGE</t>
        </is>
      </c>
      <c r="G730" t="n">
        <v>1.1</v>
      </c>
      <c r="H730" t="n">
        <v>0</v>
      </c>
      <c r="I730" t="n">
        <v>0</v>
      </c>
      <c r="J730" t="n">
        <v>0</v>
      </c>
      <c r="K730" t="n">
        <v>0</v>
      </c>
      <c r="L730" t="n">
        <v>0</v>
      </c>
      <c r="M730" t="n">
        <v>0</v>
      </c>
      <c r="N730" t="n">
        <v>0</v>
      </c>
      <c r="O730" t="n">
        <v>0</v>
      </c>
      <c r="P730" t="n">
        <v>0</v>
      </c>
      <c r="Q730" t="n">
        <v>0</v>
      </c>
      <c r="R730" s="2" t="inlineStr"/>
    </row>
    <row r="731" ht="15" customHeight="1">
      <c r="A731" t="inlineStr">
        <is>
          <t>A 34134-2022</t>
        </is>
      </c>
      <c r="B731" s="1" t="n">
        <v>44791</v>
      </c>
      <c r="C731" s="1" t="n">
        <v>46103</v>
      </c>
      <c r="D731" t="inlineStr">
        <is>
          <t>KRONOBERGS LÄN</t>
        </is>
      </c>
      <c r="E731" t="inlineStr">
        <is>
          <t>TINGSRYD</t>
        </is>
      </c>
      <c r="G731" t="n">
        <v>0.6</v>
      </c>
      <c r="H731" t="n">
        <v>0</v>
      </c>
      <c r="I731" t="n">
        <v>0</v>
      </c>
      <c r="J731" t="n">
        <v>0</v>
      </c>
      <c r="K731" t="n">
        <v>0</v>
      </c>
      <c r="L731" t="n">
        <v>0</v>
      </c>
      <c r="M731" t="n">
        <v>0</v>
      </c>
      <c r="N731" t="n">
        <v>0</v>
      </c>
      <c r="O731" t="n">
        <v>0</v>
      </c>
      <c r="P731" t="n">
        <v>0</v>
      </c>
      <c r="Q731" t="n">
        <v>0</v>
      </c>
      <c r="R731" s="2" t="inlineStr"/>
    </row>
    <row r="732" ht="15" customHeight="1">
      <c r="A732" t="inlineStr">
        <is>
          <t>A 23535-2021</t>
        </is>
      </c>
      <c r="B732" s="1" t="n">
        <v>44334</v>
      </c>
      <c r="C732" s="1" t="n">
        <v>46103</v>
      </c>
      <c r="D732" t="inlineStr">
        <is>
          <t>KRONOBERGS LÄN</t>
        </is>
      </c>
      <c r="E732" t="inlineStr">
        <is>
          <t>VÄXJÖ</t>
        </is>
      </c>
      <c r="G732" t="n">
        <v>0.5</v>
      </c>
      <c r="H732" t="n">
        <v>0</v>
      </c>
      <c r="I732" t="n">
        <v>0</v>
      </c>
      <c r="J732" t="n">
        <v>0</v>
      </c>
      <c r="K732" t="n">
        <v>0</v>
      </c>
      <c r="L732" t="n">
        <v>0</v>
      </c>
      <c r="M732" t="n">
        <v>0</v>
      </c>
      <c r="N732" t="n">
        <v>0</v>
      </c>
      <c r="O732" t="n">
        <v>0</v>
      </c>
      <c r="P732" t="n">
        <v>0</v>
      </c>
      <c r="Q732" t="n">
        <v>0</v>
      </c>
      <c r="R732" s="2" t="inlineStr"/>
    </row>
    <row r="733" ht="15" customHeight="1">
      <c r="A733" t="inlineStr">
        <is>
          <t>A 28509-2022</t>
        </is>
      </c>
      <c r="B733" s="1" t="n">
        <v>44748.33731481482</v>
      </c>
      <c r="C733" s="1" t="n">
        <v>46103</v>
      </c>
      <c r="D733" t="inlineStr">
        <is>
          <t>KRONOBERGS LÄN</t>
        </is>
      </c>
      <c r="E733" t="inlineStr">
        <is>
          <t>TINGSRYD</t>
        </is>
      </c>
      <c r="G733" t="n">
        <v>1.7</v>
      </c>
      <c r="H733" t="n">
        <v>0</v>
      </c>
      <c r="I733" t="n">
        <v>0</v>
      </c>
      <c r="J733" t="n">
        <v>0</v>
      </c>
      <c r="K733" t="n">
        <v>0</v>
      </c>
      <c r="L733" t="n">
        <v>0</v>
      </c>
      <c r="M733" t="n">
        <v>0</v>
      </c>
      <c r="N733" t="n">
        <v>0</v>
      </c>
      <c r="O733" t="n">
        <v>0</v>
      </c>
      <c r="P733" t="n">
        <v>0</v>
      </c>
      <c r="Q733" t="n">
        <v>0</v>
      </c>
      <c r="R733" s="2" t="inlineStr"/>
    </row>
    <row r="734" ht="15" customHeight="1">
      <c r="A734" t="inlineStr">
        <is>
          <t>A 58098-2021</t>
        </is>
      </c>
      <c r="B734" s="1" t="n">
        <v>44487</v>
      </c>
      <c r="C734" s="1" t="n">
        <v>46103</v>
      </c>
      <c r="D734" t="inlineStr">
        <is>
          <t>KRONOBERGS LÄN</t>
        </is>
      </c>
      <c r="E734" t="inlineStr">
        <is>
          <t>ÄLMHULT</t>
        </is>
      </c>
      <c r="G734" t="n">
        <v>0.7</v>
      </c>
      <c r="H734" t="n">
        <v>0</v>
      </c>
      <c r="I734" t="n">
        <v>0</v>
      </c>
      <c r="J734" t="n">
        <v>0</v>
      </c>
      <c r="K734" t="n">
        <v>0</v>
      </c>
      <c r="L734" t="n">
        <v>0</v>
      </c>
      <c r="M734" t="n">
        <v>0</v>
      </c>
      <c r="N734" t="n">
        <v>0</v>
      </c>
      <c r="O734" t="n">
        <v>0</v>
      </c>
      <c r="P734" t="n">
        <v>0</v>
      </c>
      <c r="Q734" t="n">
        <v>0</v>
      </c>
      <c r="R734" s="2" t="inlineStr"/>
    </row>
    <row r="735" ht="15" customHeight="1">
      <c r="A735" t="inlineStr">
        <is>
          <t>A 40494-2021</t>
        </is>
      </c>
      <c r="B735" s="1" t="n">
        <v>44420.32596064815</v>
      </c>
      <c r="C735" s="1" t="n">
        <v>46103</v>
      </c>
      <c r="D735" t="inlineStr">
        <is>
          <t>KRONOBERGS LÄN</t>
        </is>
      </c>
      <c r="E735" t="inlineStr">
        <is>
          <t>VÄXJÖ</t>
        </is>
      </c>
      <c r="G735" t="n">
        <v>2</v>
      </c>
      <c r="H735" t="n">
        <v>0</v>
      </c>
      <c r="I735" t="n">
        <v>0</v>
      </c>
      <c r="J735" t="n">
        <v>0</v>
      </c>
      <c r="K735" t="n">
        <v>0</v>
      </c>
      <c r="L735" t="n">
        <v>0</v>
      </c>
      <c r="M735" t="n">
        <v>0</v>
      </c>
      <c r="N735" t="n">
        <v>0</v>
      </c>
      <c r="O735" t="n">
        <v>0</v>
      </c>
      <c r="P735" t="n">
        <v>0</v>
      </c>
      <c r="Q735" t="n">
        <v>0</v>
      </c>
      <c r="R735" s="2" t="inlineStr"/>
    </row>
    <row r="736" ht="15" customHeight="1">
      <c r="A736" t="inlineStr">
        <is>
          <t>A 41626-2021</t>
        </is>
      </c>
      <c r="B736" s="1" t="n">
        <v>44425.45453703704</v>
      </c>
      <c r="C736" s="1" t="n">
        <v>46103</v>
      </c>
      <c r="D736" t="inlineStr">
        <is>
          <t>KRONOBERGS LÄN</t>
        </is>
      </c>
      <c r="E736" t="inlineStr">
        <is>
          <t>LESSEBO</t>
        </is>
      </c>
      <c r="F736" t="inlineStr">
        <is>
          <t>Sveaskog</t>
        </is>
      </c>
      <c r="G736" t="n">
        <v>0.6</v>
      </c>
      <c r="H736" t="n">
        <v>0</v>
      </c>
      <c r="I736" t="n">
        <v>0</v>
      </c>
      <c r="J736" t="n">
        <v>0</v>
      </c>
      <c r="K736" t="n">
        <v>0</v>
      </c>
      <c r="L736" t="n">
        <v>0</v>
      </c>
      <c r="M736" t="n">
        <v>0</v>
      </c>
      <c r="N736" t="n">
        <v>0</v>
      </c>
      <c r="O736" t="n">
        <v>0</v>
      </c>
      <c r="P736" t="n">
        <v>0</v>
      </c>
      <c r="Q736" t="n">
        <v>0</v>
      </c>
      <c r="R736" s="2" t="inlineStr"/>
    </row>
    <row r="737" ht="15" customHeight="1">
      <c r="A737" t="inlineStr">
        <is>
          <t>A 39080-2021</t>
        </is>
      </c>
      <c r="B737" s="1" t="n">
        <v>44412</v>
      </c>
      <c r="C737" s="1" t="n">
        <v>46103</v>
      </c>
      <c r="D737" t="inlineStr">
        <is>
          <t>KRONOBERGS LÄN</t>
        </is>
      </c>
      <c r="E737" t="inlineStr">
        <is>
          <t>VÄXJÖ</t>
        </is>
      </c>
      <c r="G737" t="n">
        <v>4.6</v>
      </c>
      <c r="H737" t="n">
        <v>0</v>
      </c>
      <c r="I737" t="n">
        <v>0</v>
      </c>
      <c r="J737" t="n">
        <v>0</v>
      </c>
      <c r="K737" t="n">
        <v>0</v>
      </c>
      <c r="L737" t="n">
        <v>0</v>
      </c>
      <c r="M737" t="n">
        <v>0</v>
      </c>
      <c r="N737" t="n">
        <v>0</v>
      </c>
      <c r="O737" t="n">
        <v>0</v>
      </c>
      <c r="P737" t="n">
        <v>0</v>
      </c>
      <c r="Q737" t="n">
        <v>0</v>
      </c>
      <c r="R737" s="2" t="inlineStr"/>
    </row>
    <row r="738" ht="15" customHeight="1">
      <c r="A738" t="inlineStr">
        <is>
          <t>A 25905-2021</t>
        </is>
      </c>
      <c r="B738" s="1" t="n">
        <v>44344.42061342593</v>
      </c>
      <c r="C738" s="1" t="n">
        <v>46103</v>
      </c>
      <c r="D738" t="inlineStr">
        <is>
          <t>KRONOBERGS LÄN</t>
        </is>
      </c>
      <c r="E738" t="inlineStr">
        <is>
          <t>ÄLMHULT</t>
        </is>
      </c>
      <c r="G738" t="n">
        <v>0.8</v>
      </c>
      <c r="H738" t="n">
        <v>0</v>
      </c>
      <c r="I738" t="n">
        <v>0</v>
      </c>
      <c r="J738" t="n">
        <v>0</v>
      </c>
      <c r="K738" t="n">
        <v>0</v>
      </c>
      <c r="L738" t="n">
        <v>0</v>
      </c>
      <c r="M738" t="n">
        <v>0</v>
      </c>
      <c r="N738" t="n">
        <v>0</v>
      </c>
      <c r="O738" t="n">
        <v>0</v>
      </c>
      <c r="P738" t="n">
        <v>0</v>
      </c>
      <c r="Q738" t="n">
        <v>0</v>
      </c>
      <c r="R738" s="2" t="inlineStr"/>
    </row>
    <row r="739" ht="15" customHeight="1">
      <c r="A739" t="inlineStr">
        <is>
          <t>A 8299-2022</t>
        </is>
      </c>
      <c r="B739" s="1" t="n">
        <v>44610</v>
      </c>
      <c r="C739" s="1" t="n">
        <v>46103</v>
      </c>
      <c r="D739" t="inlineStr">
        <is>
          <t>KRONOBERGS LÄN</t>
        </is>
      </c>
      <c r="E739" t="inlineStr">
        <is>
          <t>UPPVIDINGE</t>
        </is>
      </c>
      <c r="G739" t="n">
        <v>2</v>
      </c>
      <c r="H739" t="n">
        <v>0</v>
      </c>
      <c r="I739" t="n">
        <v>0</v>
      </c>
      <c r="J739" t="n">
        <v>0</v>
      </c>
      <c r="K739" t="n">
        <v>0</v>
      </c>
      <c r="L739" t="n">
        <v>0</v>
      </c>
      <c r="M739" t="n">
        <v>0</v>
      </c>
      <c r="N739" t="n">
        <v>0</v>
      </c>
      <c r="O739" t="n">
        <v>0</v>
      </c>
      <c r="P739" t="n">
        <v>0</v>
      </c>
      <c r="Q739" t="n">
        <v>0</v>
      </c>
      <c r="R739" s="2" t="inlineStr"/>
    </row>
    <row r="740" ht="15" customHeight="1">
      <c r="A740" t="inlineStr">
        <is>
          <t>A 8324-2022</t>
        </is>
      </c>
      <c r="B740" s="1" t="n">
        <v>44610.50777777778</v>
      </c>
      <c r="C740" s="1" t="n">
        <v>46103</v>
      </c>
      <c r="D740" t="inlineStr">
        <is>
          <t>KRONOBERGS LÄN</t>
        </is>
      </c>
      <c r="E740" t="inlineStr">
        <is>
          <t>VÄXJÖ</t>
        </is>
      </c>
      <c r="G740" t="n">
        <v>0.7</v>
      </c>
      <c r="H740" t="n">
        <v>0</v>
      </c>
      <c r="I740" t="n">
        <v>0</v>
      </c>
      <c r="J740" t="n">
        <v>0</v>
      </c>
      <c r="K740" t="n">
        <v>0</v>
      </c>
      <c r="L740" t="n">
        <v>0</v>
      </c>
      <c r="M740" t="n">
        <v>0</v>
      </c>
      <c r="N740" t="n">
        <v>0</v>
      </c>
      <c r="O740" t="n">
        <v>0</v>
      </c>
      <c r="P740" t="n">
        <v>0</v>
      </c>
      <c r="Q740" t="n">
        <v>0</v>
      </c>
      <c r="R740" s="2" t="inlineStr"/>
    </row>
    <row r="741" ht="15" customHeight="1">
      <c r="A741" t="inlineStr">
        <is>
          <t>A 8092-2022</t>
        </is>
      </c>
      <c r="B741" s="1" t="n">
        <v>44609</v>
      </c>
      <c r="C741" s="1" t="n">
        <v>46103</v>
      </c>
      <c r="D741" t="inlineStr">
        <is>
          <t>KRONOBERGS LÄN</t>
        </is>
      </c>
      <c r="E741" t="inlineStr">
        <is>
          <t>UPPVIDINGE</t>
        </is>
      </c>
      <c r="G741" t="n">
        <v>0.5</v>
      </c>
      <c r="H741" t="n">
        <v>0</v>
      </c>
      <c r="I741" t="n">
        <v>0</v>
      </c>
      <c r="J741" t="n">
        <v>0</v>
      </c>
      <c r="K741" t="n">
        <v>0</v>
      </c>
      <c r="L741" t="n">
        <v>0</v>
      </c>
      <c r="M741" t="n">
        <v>0</v>
      </c>
      <c r="N741" t="n">
        <v>0</v>
      </c>
      <c r="O741" t="n">
        <v>0</v>
      </c>
      <c r="P741" t="n">
        <v>0</v>
      </c>
      <c r="Q741" t="n">
        <v>0</v>
      </c>
      <c r="R741" s="2" t="inlineStr"/>
    </row>
    <row r="742" ht="15" customHeight="1">
      <c r="A742" t="inlineStr">
        <is>
          <t>A 23565-2022</t>
        </is>
      </c>
      <c r="B742" s="1" t="n">
        <v>44721.47574074074</v>
      </c>
      <c r="C742" s="1" t="n">
        <v>46103</v>
      </c>
      <c r="D742" t="inlineStr">
        <is>
          <t>KRONOBERGS LÄN</t>
        </is>
      </c>
      <c r="E742" t="inlineStr">
        <is>
          <t>ÄLMHULT</t>
        </is>
      </c>
      <c r="G742" t="n">
        <v>1</v>
      </c>
      <c r="H742" t="n">
        <v>0</v>
      </c>
      <c r="I742" t="n">
        <v>0</v>
      </c>
      <c r="J742" t="n">
        <v>0</v>
      </c>
      <c r="K742" t="n">
        <v>0</v>
      </c>
      <c r="L742" t="n">
        <v>0</v>
      </c>
      <c r="M742" t="n">
        <v>0</v>
      </c>
      <c r="N742" t="n">
        <v>0</v>
      </c>
      <c r="O742" t="n">
        <v>0</v>
      </c>
      <c r="P742" t="n">
        <v>0</v>
      </c>
      <c r="Q742" t="n">
        <v>0</v>
      </c>
      <c r="R742" s="2" t="inlineStr"/>
    </row>
    <row r="743" ht="15" customHeight="1">
      <c r="A743" t="inlineStr">
        <is>
          <t>A 347-2022</t>
        </is>
      </c>
      <c r="B743" s="1" t="n">
        <v>44565.61417824074</v>
      </c>
      <c r="C743" s="1" t="n">
        <v>46103</v>
      </c>
      <c r="D743" t="inlineStr">
        <is>
          <t>KRONOBERGS LÄN</t>
        </is>
      </c>
      <c r="E743" t="inlineStr">
        <is>
          <t>LJUNGBY</t>
        </is>
      </c>
      <c r="G743" t="n">
        <v>0.5</v>
      </c>
      <c r="H743" t="n">
        <v>0</v>
      </c>
      <c r="I743" t="n">
        <v>0</v>
      </c>
      <c r="J743" t="n">
        <v>0</v>
      </c>
      <c r="K743" t="n">
        <v>0</v>
      </c>
      <c r="L743" t="n">
        <v>0</v>
      </c>
      <c r="M743" t="n">
        <v>0</v>
      </c>
      <c r="N743" t="n">
        <v>0</v>
      </c>
      <c r="O743" t="n">
        <v>0</v>
      </c>
      <c r="P743" t="n">
        <v>0</v>
      </c>
      <c r="Q743" t="n">
        <v>0</v>
      </c>
      <c r="R743" s="2" t="inlineStr"/>
    </row>
    <row r="744" ht="15" customHeight="1">
      <c r="A744" t="inlineStr">
        <is>
          <t>A 32375-2021</t>
        </is>
      </c>
      <c r="B744" s="1" t="n">
        <v>44371</v>
      </c>
      <c r="C744" s="1" t="n">
        <v>46103</v>
      </c>
      <c r="D744" t="inlineStr">
        <is>
          <t>KRONOBERGS LÄN</t>
        </is>
      </c>
      <c r="E744" t="inlineStr">
        <is>
          <t>TINGSRYD</t>
        </is>
      </c>
      <c r="G744" t="n">
        <v>1.9</v>
      </c>
      <c r="H744" t="n">
        <v>0</v>
      </c>
      <c r="I744" t="n">
        <v>0</v>
      </c>
      <c r="J744" t="n">
        <v>0</v>
      </c>
      <c r="K744" t="n">
        <v>0</v>
      </c>
      <c r="L744" t="n">
        <v>0</v>
      </c>
      <c r="M744" t="n">
        <v>0</v>
      </c>
      <c r="N744" t="n">
        <v>0</v>
      </c>
      <c r="O744" t="n">
        <v>0</v>
      </c>
      <c r="P744" t="n">
        <v>0</v>
      </c>
      <c r="Q744" t="n">
        <v>0</v>
      </c>
      <c r="R744" s="2" t="inlineStr"/>
    </row>
    <row r="745" ht="15" customHeight="1">
      <c r="A745" t="inlineStr">
        <is>
          <t>A 32692-2021</t>
        </is>
      </c>
      <c r="B745" s="1" t="n">
        <v>44375</v>
      </c>
      <c r="C745" s="1" t="n">
        <v>46103</v>
      </c>
      <c r="D745" t="inlineStr">
        <is>
          <t>KRONOBERGS LÄN</t>
        </is>
      </c>
      <c r="E745" t="inlineStr">
        <is>
          <t>UPPVIDINGE</t>
        </is>
      </c>
      <c r="G745" t="n">
        <v>0.8</v>
      </c>
      <c r="H745" t="n">
        <v>0</v>
      </c>
      <c r="I745" t="n">
        <v>0</v>
      </c>
      <c r="J745" t="n">
        <v>0</v>
      </c>
      <c r="K745" t="n">
        <v>0</v>
      </c>
      <c r="L745" t="n">
        <v>0</v>
      </c>
      <c r="M745" t="n">
        <v>0</v>
      </c>
      <c r="N745" t="n">
        <v>0</v>
      </c>
      <c r="O745" t="n">
        <v>0</v>
      </c>
      <c r="P745" t="n">
        <v>0</v>
      </c>
      <c r="Q745" t="n">
        <v>0</v>
      </c>
      <c r="R745" s="2" t="inlineStr"/>
    </row>
    <row r="746" ht="15" customHeight="1">
      <c r="A746" t="inlineStr">
        <is>
          <t>A 9000-2022</t>
        </is>
      </c>
      <c r="B746" s="1" t="n">
        <v>44615.3480324074</v>
      </c>
      <c r="C746" s="1" t="n">
        <v>46103</v>
      </c>
      <c r="D746" t="inlineStr">
        <is>
          <t>KRONOBERGS LÄN</t>
        </is>
      </c>
      <c r="E746" t="inlineStr">
        <is>
          <t>ALVESTA</t>
        </is>
      </c>
      <c r="G746" t="n">
        <v>2</v>
      </c>
      <c r="H746" t="n">
        <v>0</v>
      </c>
      <c r="I746" t="n">
        <v>0</v>
      </c>
      <c r="J746" t="n">
        <v>0</v>
      </c>
      <c r="K746" t="n">
        <v>0</v>
      </c>
      <c r="L746" t="n">
        <v>0</v>
      </c>
      <c r="M746" t="n">
        <v>0</v>
      </c>
      <c r="N746" t="n">
        <v>0</v>
      </c>
      <c r="O746" t="n">
        <v>0</v>
      </c>
      <c r="P746" t="n">
        <v>0</v>
      </c>
      <c r="Q746" t="n">
        <v>0</v>
      </c>
      <c r="R746" s="2" t="inlineStr"/>
    </row>
    <row r="747" ht="15" customHeight="1">
      <c r="A747" t="inlineStr">
        <is>
          <t>A 35838-2021</t>
        </is>
      </c>
      <c r="B747" s="1" t="n">
        <v>44386.74578703703</v>
      </c>
      <c r="C747" s="1" t="n">
        <v>46103</v>
      </c>
      <c r="D747" t="inlineStr">
        <is>
          <t>KRONOBERGS LÄN</t>
        </is>
      </c>
      <c r="E747" t="inlineStr">
        <is>
          <t>ÄLMHULT</t>
        </is>
      </c>
      <c r="G747" t="n">
        <v>1.9</v>
      </c>
      <c r="H747" t="n">
        <v>0</v>
      </c>
      <c r="I747" t="n">
        <v>0</v>
      </c>
      <c r="J747" t="n">
        <v>0</v>
      </c>
      <c r="K747" t="n">
        <v>0</v>
      </c>
      <c r="L747" t="n">
        <v>0</v>
      </c>
      <c r="M747" t="n">
        <v>0</v>
      </c>
      <c r="N747" t="n">
        <v>0</v>
      </c>
      <c r="O747" t="n">
        <v>0</v>
      </c>
      <c r="P747" t="n">
        <v>0</v>
      </c>
      <c r="Q747" t="n">
        <v>0</v>
      </c>
      <c r="R747" s="2" t="inlineStr"/>
    </row>
    <row r="748" ht="15" customHeight="1">
      <c r="A748" t="inlineStr">
        <is>
          <t>A 3918-2022</t>
        </is>
      </c>
      <c r="B748" s="1" t="n">
        <v>44587</v>
      </c>
      <c r="C748" s="1" t="n">
        <v>46103</v>
      </c>
      <c r="D748" t="inlineStr">
        <is>
          <t>KRONOBERGS LÄN</t>
        </is>
      </c>
      <c r="E748" t="inlineStr">
        <is>
          <t>ÄLMHULT</t>
        </is>
      </c>
      <c r="F748" t="inlineStr">
        <is>
          <t>Sveaskog</t>
        </is>
      </c>
      <c r="G748" t="n">
        <v>1.6</v>
      </c>
      <c r="H748" t="n">
        <v>0</v>
      </c>
      <c r="I748" t="n">
        <v>0</v>
      </c>
      <c r="J748" t="n">
        <v>0</v>
      </c>
      <c r="K748" t="n">
        <v>0</v>
      </c>
      <c r="L748" t="n">
        <v>0</v>
      </c>
      <c r="M748" t="n">
        <v>0</v>
      </c>
      <c r="N748" t="n">
        <v>0</v>
      </c>
      <c r="O748" t="n">
        <v>0</v>
      </c>
      <c r="P748" t="n">
        <v>0</v>
      </c>
      <c r="Q748" t="n">
        <v>0</v>
      </c>
      <c r="R748" s="2" t="inlineStr"/>
    </row>
    <row r="749" ht="15" customHeight="1">
      <c r="A749" t="inlineStr">
        <is>
          <t>A 47676-2021</t>
        </is>
      </c>
      <c r="B749" s="1" t="n">
        <v>44448.45023148148</v>
      </c>
      <c r="C749" s="1" t="n">
        <v>46103</v>
      </c>
      <c r="D749" t="inlineStr">
        <is>
          <t>KRONOBERGS LÄN</t>
        </is>
      </c>
      <c r="E749" t="inlineStr">
        <is>
          <t>LJUNGBY</t>
        </is>
      </c>
      <c r="G749" t="n">
        <v>1.2</v>
      </c>
      <c r="H749" t="n">
        <v>0</v>
      </c>
      <c r="I749" t="n">
        <v>0</v>
      </c>
      <c r="J749" t="n">
        <v>0</v>
      </c>
      <c r="K749" t="n">
        <v>0</v>
      </c>
      <c r="L749" t="n">
        <v>0</v>
      </c>
      <c r="M749" t="n">
        <v>0</v>
      </c>
      <c r="N749" t="n">
        <v>0</v>
      </c>
      <c r="O749" t="n">
        <v>0</v>
      </c>
      <c r="P749" t="n">
        <v>0</v>
      </c>
      <c r="Q749" t="n">
        <v>0</v>
      </c>
      <c r="R749" s="2" t="inlineStr"/>
    </row>
    <row r="750" ht="15" customHeight="1">
      <c r="A750" t="inlineStr">
        <is>
          <t>A 47686-2021</t>
        </is>
      </c>
      <c r="B750" s="1" t="n">
        <v>44448</v>
      </c>
      <c r="C750" s="1" t="n">
        <v>46103</v>
      </c>
      <c r="D750" t="inlineStr">
        <is>
          <t>KRONOBERGS LÄN</t>
        </is>
      </c>
      <c r="E750" t="inlineStr">
        <is>
          <t>LJUNGBY</t>
        </is>
      </c>
      <c r="G750" t="n">
        <v>2.6</v>
      </c>
      <c r="H750" t="n">
        <v>0</v>
      </c>
      <c r="I750" t="n">
        <v>0</v>
      </c>
      <c r="J750" t="n">
        <v>0</v>
      </c>
      <c r="K750" t="n">
        <v>0</v>
      </c>
      <c r="L750" t="n">
        <v>0</v>
      </c>
      <c r="M750" t="n">
        <v>0</v>
      </c>
      <c r="N750" t="n">
        <v>0</v>
      </c>
      <c r="O750" t="n">
        <v>0</v>
      </c>
      <c r="P750" t="n">
        <v>0</v>
      </c>
      <c r="Q750" t="n">
        <v>0</v>
      </c>
      <c r="R750" s="2" t="inlineStr"/>
    </row>
    <row r="751" ht="15" customHeight="1">
      <c r="A751" t="inlineStr">
        <is>
          <t>A 32488-2021</t>
        </is>
      </c>
      <c r="B751" s="1" t="n">
        <v>44371</v>
      </c>
      <c r="C751" s="1" t="n">
        <v>46103</v>
      </c>
      <c r="D751" t="inlineStr">
        <is>
          <t>KRONOBERGS LÄN</t>
        </is>
      </c>
      <c r="E751" t="inlineStr">
        <is>
          <t>UPPVIDINGE</t>
        </is>
      </c>
      <c r="G751" t="n">
        <v>0.9</v>
      </c>
      <c r="H751" t="n">
        <v>0</v>
      </c>
      <c r="I751" t="n">
        <v>0</v>
      </c>
      <c r="J751" t="n">
        <v>0</v>
      </c>
      <c r="K751" t="n">
        <v>0</v>
      </c>
      <c r="L751" t="n">
        <v>0</v>
      </c>
      <c r="M751" t="n">
        <v>0</v>
      </c>
      <c r="N751" t="n">
        <v>0</v>
      </c>
      <c r="O751" t="n">
        <v>0</v>
      </c>
      <c r="P751" t="n">
        <v>0</v>
      </c>
      <c r="Q751" t="n">
        <v>0</v>
      </c>
      <c r="R751" s="2" t="inlineStr"/>
    </row>
    <row r="752" ht="15" customHeight="1">
      <c r="A752" t="inlineStr">
        <is>
          <t>A 28832-2021</t>
        </is>
      </c>
      <c r="B752" s="1" t="n">
        <v>44357</v>
      </c>
      <c r="C752" s="1" t="n">
        <v>46103</v>
      </c>
      <c r="D752" t="inlineStr">
        <is>
          <t>KRONOBERGS LÄN</t>
        </is>
      </c>
      <c r="E752" t="inlineStr">
        <is>
          <t>VÄXJÖ</t>
        </is>
      </c>
      <c r="G752" t="n">
        <v>0.8</v>
      </c>
      <c r="H752" t="n">
        <v>0</v>
      </c>
      <c r="I752" t="n">
        <v>0</v>
      </c>
      <c r="J752" t="n">
        <v>0</v>
      </c>
      <c r="K752" t="n">
        <v>0</v>
      </c>
      <c r="L752" t="n">
        <v>0</v>
      </c>
      <c r="M752" t="n">
        <v>0</v>
      </c>
      <c r="N752" t="n">
        <v>0</v>
      </c>
      <c r="O752" t="n">
        <v>0</v>
      </c>
      <c r="P752" t="n">
        <v>0</v>
      </c>
      <c r="Q752" t="n">
        <v>0</v>
      </c>
      <c r="R752" s="2" t="inlineStr"/>
    </row>
    <row r="753" ht="15" customHeight="1">
      <c r="A753" t="inlineStr">
        <is>
          <t>A 55646-2022</t>
        </is>
      </c>
      <c r="B753" s="1" t="n">
        <v>44888.46783564815</v>
      </c>
      <c r="C753" s="1" t="n">
        <v>46103</v>
      </c>
      <c r="D753" t="inlineStr">
        <is>
          <t>KRONOBERGS LÄN</t>
        </is>
      </c>
      <c r="E753" t="inlineStr">
        <is>
          <t>TINGSRYD</t>
        </is>
      </c>
      <c r="G753" t="n">
        <v>0.7</v>
      </c>
      <c r="H753" t="n">
        <v>0</v>
      </c>
      <c r="I753" t="n">
        <v>0</v>
      </c>
      <c r="J753" t="n">
        <v>0</v>
      </c>
      <c r="K753" t="n">
        <v>0</v>
      </c>
      <c r="L753" t="n">
        <v>0</v>
      </c>
      <c r="M753" t="n">
        <v>0</v>
      </c>
      <c r="N753" t="n">
        <v>0</v>
      </c>
      <c r="O753" t="n">
        <v>0</v>
      </c>
      <c r="P753" t="n">
        <v>0</v>
      </c>
      <c r="Q753" t="n">
        <v>0</v>
      </c>
      <c r="R753" s="2" t="inlineStr"/>
    </row>
    <row r="754" ht="15" customHeight="1">
      <c r="A754" t="inlineStr">
        <is>
          <t>A 4200-2022</t>
        </is>
      </c>
      <c r="B754" s="1" t="n">
        <v>44588.60006944444</v>
      </c>
      <c r="C754" s="1" t="n">
        <v>46103</v>
      </c>
      <c r="D754" t="inlineStr">
        <is>
          <t>KRONOBERGS LÄN</t>
        </is>
      </c>
      <c r="E754" t="inlineStr">
        <is>
          <t>LESSEBO</t>
        </is>
      </c>
      <c r="G754" t="n">
        <v>1.2</v>
      </c>
      <c r="H754" t="n">
        <v>0</v>
      </c>
      <c r="I754" t="n">
        <v>0</v>
      </c>
      <c r="J754" t="n">
        <v>0</v>
      </c>
      <c r="K754" t="n">
        <v>0</v>
      </c>
      <c r="L754" t="n">
        <v>0</v>
      </c>
      <c r="M754" t="n">
        <v>0</v>
      </c>
      <c r="N754" t="n">
        <v>0</v>
      </c>
      <c r="O754" t="n">
        <v>0</v>
      </c>
      <c r="P754" t="n">
        <v>0</v>
      </c>
      <c r="Q754" t="n">
        <v>0</v>
      </c>
      <c r="R754" s="2" t="inlineStr"/>
    </row>
    <row r="755" ht="15" customHeight="1">
      <c r="A755" t="inlineStr">
        <is>
          <t>A 8312-2022</t>
        </is>
      </c>
      <c r="B755" s="1" t="n">
        <v>44610</v>
      </c>
      <c r="C755" s="1" t="n">
        <v>46103</v>
      </c>
      <c r="D755" t="inlineStr">
        <is>
          <t>KRONOBERGS LÄN</t>
        </is>
      </c>
      <c r="E755" t="inlineStr">
        <is>
          <t>VÄXJÖ</t>
        </is>
      </c>
      <c r="G755" t="n">
        <v>1.1</v>
      </c>
      <c r="H755" t="n">
        <v>0</v>
      </c>
      <c r="I755" t="n">
        <v>0</v>
      </c>
      <c r="J755" t="n">
        <v>0</v>
      </c>
      <c r="K755" t="n">
        <v>0</v>
      </c>
      <c r="L755" t="n">
        <v>0</v>
      </c>
      <c r="M755" t="n">
        <v>0</v>
      </c>
      <c r="N755" t="n">
        <v>0</v>
      </c>
      <c r="O755" t="n">
        <v>0</v>
      </c>
      <c r="P755" t="n">
        <v>0</v>
      </c>
      <c r="Q755" t="n">
        <v>0</v>
      </c>
      <c r="R755" s="2" t="inlineStr"/>
    </row>
    <row r="756" ht="15" customHeight="1">
      <c r="A756" t="inlineStr">
        <is>
          <t>A 34734-2022</t>
        </is>
      </c>
      <c r="B756" s="1" t="n">
        <v>44795.60174768518</v>
      </c>
      <c r="C756" s="1" t="n">
        <v>46103</v>
      </c>
      <c r="D756" t="inlineStr">
        <is>
          <t>KRONOBERGS LÄN</t>
        </is>
      </c>
      <c r="E756" t="inlineStr">
        <is>
          <t>UPPVIDINGE</t>
        </is>
      </c>
      <c r="G756" t="n">
        <v>1.7</v>
      </c>
      <c r="H756" t="n">
        <v>0</v>
      </c>
      <c r="I756" t="n">
        <v>0</v>
      </c>
      <c r="J756" t="n">
        <v>0</v>
      </c>
      <c r="K756" t="n">
        <v>0</v>
      </c>
      <c r="L756" t="n">
        <v>0</v>
      </c>
      <c r="M756" t="n">
        <v>0</v>
      </c>
      <c r="N756" t="n">
        <v>0</v>
      </c>
      <c r="O756" t="n">
        <v>0</v>
      </c>
      <c r="P756" t="n">
        <v>0</v>
      </c>
      <c r="Q756" t="n">
        <v>0</v>
      </c>
      <c r="R756" s="2" t="inlineStr"/>
    </row>
    <row r="757" ht="15" customHeight="1">
      <c r="A757" t="inlineStr">
        <is>
          <t>A 34735-2022</t>
        </is>
      </c>
      <c r="B757" s="1" t="n">
        <v>44795.60293981482</v>
      </c>
      <c r="C757" s="1" t="n">
        <v>46103</v>
      </c>
      <c r="D757" t="inlineStr">
        <is>
          <t>KRONOBERGS LÄN</t>
        </is>
      </c>
      <c r="E757" t="inlineStr">
        <is>
          <t>UPPVIDINGE</t>
        </is>
      </c>
      <c r="G757" t="n">
        <v>0.6</v>
      </c>
      <c r="H757" t="n">
        <v>0</v>
      </c>
      <c r="I757" t="n">
        <v>0</v>
      </c>
      <c r="J757" t="n">
        <v>0</v>
      </c>
      <c r="K757" t="n">
        <v>0</v>
      </c>
      <c r="L757" t="n">
        <v>0</v>
      </c>
      <c r="M757" t="n">
        <v>0</v>
      </c>
      <c r="N757" t="n">
        <v>0</v>
      </c>
      <c r="O757" t="n">
        <v>0</v>
      </c>
      <c r="P757" t="n">
        <v>0</v>
      </c>
      <c r="Q757" t="n">
        <v>0</v>
      </c>
      <c r="R757" s="2" t="inlineStr"/>
    </row>
    <row r="758" ht="15" customHeight="1">
      <c r="A758" t="inlineStr">
        <is>
          <t>A 22845-2021</t>
        </is>
      </c>
      <c r="B758" s="1" t="n">
        <v>44328.41473379629</v>
      </c>
      <c r="C758" s="1" t="n">
        <v>46103</v>
      </c>
      <c r="D758" t="inlineStr">
        <is>
          <t>KRONOBERGS LÄN</t>
        </is>
      </c>
      <c r="E758" t="inlineStr">
        <is>
          <t>UPPVIDINGE</t>
        </is>
      </c>
      <c r="G758" t="n">
        <v>1.3</v>
      </c>
      <c r="H758" t="n">
        <v>0</v>
      </c>
      <c r="I758" t="n">
        <v>0</v>
      </c>
      <c r="J758" t="n">
        <v>0</v>
      </c>
      <c r="K758" t="n">
        <v>0</v>
      </c>
      <c r="L758" t="n">
        <v>0</v>
      </c>
      <c r="M758" t="n">
        <v>0</v>
      </c>
      <c r="N758" t="n">
        <v>0</v>
      </c>
      <c r="O758" t="n">
        <v>0</v>
      </c>
      <c r="P758" t="n">
        <v>0</v>
      </c>
      <c r="Q758" t="n">
        <v>0</v>
      </c>
      <c r="R758" s="2" t="inlineStr"/>
    </row>
    <row r="759" ht="15" customHeight="1">
      <c r="A759" t="inlineStr">
        <is>
          <t>A 36019-2022</t>
        </is>
      </c>
      <c r="B759" s="1" t="n">
        <v>44802</v>
      </c>
      <c r="C759" s="1" t="n">
        <v>46103</v>
      </c>
      <c r="D759" t="inlineStr">
        <is>
          <t>KRONOBERGS LÄN</t>
        </is>
      </c>
      <c r="E759" t="inlineStr">
        <is>
          <t>ÄLMHULT</t>
        </is>
      </c>
      <c r="G759" t="n">
        <v>0.7</v>
      </c>
      <c r="H759" t="n">
        <v>0</v>
      </c>
      <c r="I759" t="n">
        <v>0</v>
      </c>
      <c r="J759" t="n">
        <v>0</v>
      </c>
      <c r="K759" t="n">
        <v>0</v>
      </c>
      <c r="L759" t="n">
        <v>0</v>
      </c>
      <c r="M759" t="n">
        <v>0</v>
      </c>
      <c r="N759" t="n">
        <v>0</v>
      </c>
      <c r="O759" t="n">
        <v>0</v>
      </c>
      <c r="P759" t="n">
        <v>0</v>
      </c>
      <c r="Q759" t="n">
        <v>0</v>
      </c>
      <c r="R759" s="2" t="inlineStr"/>
    </row>
    <row r="760" ht="15" customHeight="1">
      <c r="A760" t="inlineStr">
        <is>
          <t>A 59529-2021</t>
        </is>
      </c>
      <c r="B760" s="1" t="n">
        <v>44491.5821875</v>
      </c>
      <c r="C760" s="1" t="n">
        <v>46103</v>
      </c>
      <c r="D760" t="inlineStr">
        <is>
          <t>KRONOBERGS LÄN</t>
        </is>
      </c>
      <c r="E760" t="inlineStr">
        <is>
          <t>VÄXJÖ</t>
        </is>
      </c>
      <c r="G760" t="n">
        <v>0.5</v>
      </c>
      <c r="H760" t="n">
        <v>0</v>
      </c>
      <c r="I760" t="n">
        <v>0</v>
      </c>
      <c r="J760" t="n">
        <v>0</v>
      </c>
      <c r="K760" t="n">
        <v>0</v>
      </c>
      <c r="L760" t="n">
        <v>0</v>
      </c>
      <c r="M760" t="n">
        <v>0</v>
      </c>
      <c r="N760" t="n">
        <v>0</v>
      </c>
      <c r="O760" t="n">
        <v>0</v>
      </c>
      <c r="P760" t="n">
        <v>0</v>
      </c>
      <c r="Q760" t="n">
        <v>0</v>
      </c>
      <c r="R760" s="2" t="inlineStr"/>
    </row>
    <row r="761" ht="15" customHeight="1">
      <c r="A761" t="inlineStr">
        <is>
          <t>A 41617-2021</t>
        </is>
      </c>
      <c r="B761" s="1" t="n">
        <v>44425.44458333333</v>
      </c>
      <c r="C761" s="1" t="n">
        <v>46103</v>
      </c>
      <c r="D761" t="inlineStr">
        <is>
          <t>KRONOBERGS LÄN</t>
        </is>
      </c>
      <c r="E761" t="inlineStr">
        <is>
          <t>LESSEBO</t>
        </is>
      </c>
      <c r="F761" t="inlineStr">
        <is>
          <t>Sveaskog</t>
        </is>
      </c>
      <c r="G761" t="n">
        <v>1.3</v>
      </c>
      <c r="H761" t="n">
        <v>0</v>
      </c>
      <c r="I761" t="n">
        <v>0</v>
      </c>
      <c r="J761" t="n">
        <v>0</v>
      </c>
      <c r="K761" t="n">
        <v>0</v>
      </c>
      <c r="L761" t="n">
        <v>0</v>
      </c>
      <c r="M761" t="n">
        <v>0</v>
      </c>
      <c r="N761" t="n">
        <v>0</v>
      </c>
      <c r="O761" t="n">
        <v>0</v>
      </c>
      <c r="P761" t="n">
        <v>0</v>
      </c>
      <c r="Q761" t="n">
        <v>0</v>
      </c>
      <c r="R761" s="2" t="inlineStr"/>
    </row>
    <row r="762" ht="15" customHeight="1">
      <c r="A762" t="inlineStr">
        <is>
          <t>A 3153-2022</t>
        </is>
      </c>
      <c r="B762" s="1" t="n">
        <v>44582</v>
      </c>
      <c r="C762" s="1" t="n">
        <v>46103</v>
      </c>
      <c r="D762" t="inlineStr">
        <is>
          <t>KRONOBERGS LÄN</t>
        </is>
      </c>
      <c r="E762" t="inlineStr">
        <is>
          <t>UPPVIDINGE</t>
        </is>
      </c>
      <c r="G762" t="n">
        <v>1</v>
      </c>
      <c r="H762" t="n">
        <v>0</v>
      </c>
      <c r="I762" t="n">
        <v>0</v>
      </c>
      <c r="J762" t="n">
        <v>0</v>
      </c>
      <c r="K762" t="n">
        <v>0</v>
      </c>
      <c r="L762" t="n">
        <v>0</v>
      </c>
      <c r="M762" t="n">
        <v>0</v>
      </c>
      <c r="N762" t="n">
        <v>0</v>
      </c>
      <c r="O762" t="n">
        <v>0</v>
      </c>
      <c r="P762" t="n">
        <v>0</v>
      </c>
      <c r="Q762" t="n">
        <v>0</v>
      </c>
      <c r="R762" s="2" t="inlineStr"/>
    </row>
    <row r="763" ht="15" customHeight="1">
      <c r="A763" t="inlineStr">
        <is>
          <t>A 38609-2021</t>
        </is>
      </c>
      <c r="B763" s="1" t="n">
        <v>44409</v>
      </c>
      <c r="C763" s="1" t="n">
        <v>46103</v>
      </c>
      <c r="D763" t="inlineStr">
        <is>
          <t>KRONOBERGS LÄN</t>
        </is>
      </c>
      <c r="E763" t="inlineStr">
        <is>
          <t>MARKARYD</t>
        </is>
      </c>
      <c r="G763" t="n">
        <v>0.4</v>
      </c>
      <c r="H763" t="n">
        <v>0</v>
      </c>
      <c r="I763" t="n">
        <v>0</v>
      </c>
      <c r="J763" t="n">
        <v>0</v>
      </c>
      <c r="K763" t="n">
        <v>0</v>
      </c>
      <c r="L763" t="n">
        <v>0</v>
      </c>
      <c r="M763" t="n">
        <v>0</v>
      </c>
      <c r="N763" t="n">
        <v>0</v>
      </c>
      <c r="O763" t="n">
        <v>0</v>
      </c>
      <c r="P763" t="n">
        <v>0</v>
      </c>
      <c r="Q763" t="n">
        <v>0</v>
      </c>
      <c r="R763" s="2" t="inlineStr"/>
    </row>
    <row r="764" ht="15" customHeight="1">
      <c r="A764" t="inlineStr">
        <is>
          <t>A 54873-2021</t>
        </is>
      </c>
      <c r="B764" s="1" t="n">
        <v>44474.34982638889</v>
      </c>
      <c r="C764" s="1" t="n">
        <v>46103</v>
      </c>
      <c r="D764" t="inlineStr">
        <is>
          <t>KRONOBERGS LÄN</t>
        </is>
      </c>
      <c r="E764" t="inlineStr">
        <is>
          <t>ÄLMHULT</t>
        </is>
      </c>
      <c r="G764" t="n">
        <v>2</v>
      </c>
      <c r="H764" t="n">
        <v>0</v>
      </c>
      <c r="I764" t="n">
        <v>0</v>
      </c>
      <c r="J764" t="n">
        <v>0</v>
      </c>
      <c r="K764" t="n">
        <v>0</v>
      </c>
      <c r="L764" t="n">
        <v>0</v>
      </c>
      <c r="M764" t="n">
        <v>0</v>
      </c>
      <c r="N764" t="n">
        <v>0</v>
      </c>
      <c r="O764" t="n">
        <v>0</v>
      </c>
      <c r="P764" t="n">
        <v>0</v>
      </c>
      <c r="Q764" t="n">
        <v>0</v>
      </c>
      <c r="R764" s="2" t="inlineStr"/>
    </row>
    <row r="765" ht="15" customHeight="1">
      <c r="A765" t="inlineStr">
        <is>
          <t>A 23678-2021</t>
        </is>
      </c>
      <c r="B765" s="1" t="n">
        <v>44334.62680555556</v>
      </c>
      <c r="C765" s="1" t="n">
        <v>46103</v>
      </c>
      <c r="D765" t="inlineStr">
        <is>
          <t>KRONOBERGS LÄN</t>
        </is>
      </c>
      <c r="E765" t="inlineStr">
        <is>
          <t>TINGSRYD</t>
        </is>
      </c>
      <c r="G765" t="n">
        <v>4.5</v>
      </c>
      <c r="H765" t="n">
        <v>0</v>
      </c>
      <c r="I765" t="n">
        <v>0</v>
      </c>
      <c r="J765" t="n">
        <v>0</v>
      </c>
      <c r="K765" t="n">
        <v>0</v>
      </c>
      <c r="L765" t="n">
        <v>0</v>
      </c>
      <c r="M765" t="n">
        <v>0</v>
      </c>
      <c r="N765" t="n">
        <v>0</v>
      </c>
      <c r="O765" t="n">
        <v>0</v>
      </c>
      <c r="P765" t="n">
        <v>0</v>
      </c>
      <c r="Q765" t="n">
        <v>0</v>
      </c>
      <c r="R765" s="2" t="inlineStr"/>
    </row>
    <row r="766" ht="15" customHeight="1">
      <c r="A766" t="inlineStr">
        <is>
          <t>A 42995-2021</t>
        </is>
      </c>
      <c r="B766" s="1" t="n">
        <v>44431</v>
      </c>
      <c r="C766" s="1" t="n">
        <v>46103</v>
      </c>
      <c r="D766" t="inlineStr">
        <is>
          <t>KRONOBERGS LÄN</t>
        </is>
      </c>
      <c r="E766" t="inlineStr">
        <is>
          <t>ÄLMHULT</t>
        </is>
      </c>
      <c r="G766" t="n">
        <v>1.8</v>
      </c>
      <c r="H766" t="n">
        <v>0</v>
      </c>
      <c r="I766" t="n">
        <v>0</v>
      </c>
      <c r="J766" t="n">
        <v>0</v>
      </c>
      <c r="K766" t="n">
        <v>0</v>
      </c>
      <c r="L766" t="n">
        <v>0</v>
      </c>
      <c r="M766" t="n">
        <v>0</v>
      </c>
      <c r="N766" t="n">
        <v>0</v>
      </c>
      <c r="O766" t="n">
        <v>0</v>
      </c>
      <c r="P766" t="n">
        <v>0</v>
      </c>
      <c r="Q766" t="n">
        <v>0</v>
      </c>
      <c r="R766" s="2" t="inlineStr"/>
    </row>
    <row r="767" ht="15" customHeight="1">
      <c r="A767" t="inlineStr">
        <is>
          <t>A 63746-2021</t>
        </is>
      </c>
      <c r="B767" s="1" t="n">
        <v>44509.46288194445</v>
      </c>
      <c r="C767" s="1" t="n">
        <v>46103</v>
      </c>
      <c r="D767" t="inlineStr">
        <is>
          <t>KRONOBERGS LÄN</t>
        </is>
      </c>
      <c r="E767" t="inlineStr">
        <is>
          <t>ÄLMHULT</t>
        </is>
      </c>
      <c r="G767" t="n">
        <v>1.9</v>
      </c>
      <c r="H767" t="n">
        <v>0</v>
      </c>
      <c r="I767" t="n">
        <v>0</v>
      </c>
      <c r="J767" t="n">
        <v>0</v>
      </c>
      <c r="K767" t="n">
        <v>0</v>
      </c>
      <c r="L767" t="n">
        <v>0</v>
      </c>
      <c r="M767" t="n">
        <v>0</v>
      </c>
      <c r="N767" t="n">
        <v>0</v>
      </c>
      <c r="O767" t="n">
        <v>0</v>
      </c>
      <c r="P767" t="n">
        <v>0</v>
      </c>
      <c r="Q767" t="n">
        <v>0</v>
      </c>
      <c r="R767" s="2" t="inlineStr"/>
    </row>
    <row r="768" ht="15" customHeight="1">
      <c r="A768" t="inlineStr">
        <is>
          <t>A 26965-2022</t>
        </is>
      </c>
      <c r="B768" s="1" t="n">
        <v>44740.66774305556</v>
      </c>
      <c r="C768" s="1" t="n">
        <v>46103</v>
      </c>
      <c r="D768" t="inlineStr">
        <is>
          <t>KRONOBERGS LÄN</t>
        </is>
      </c>
      <c r="E768" t="inlineStr">
        <is>
          <t>VÄXJÖ</t>
        </is>
      </c>
      <c r="G768" t="n">
        <v>1</v>
      </c>
      <c r="H768" t="n">
        <v>0</v>
      </c>
      <c r="I768" t="n">
        <v>0</v>
      </c>
      <c r="J768" t="n">
        <v>0</v>
      </c>
      <c r="K768" t="n">
        <v>0</v>
      </c>
      <c r="L768" t="n">
        <v>0</v>
      </c>
      <c r="M768" t="n">
        <v>0</v>
      </c>
      <c r="N768" t="n">
        <v>0</v>
      </c>
      <c r="O768" t="n">
        <v>0</v>
      </c>
      <c r="P768" t="n">
        <v>0</v>
      </c>
      <c r="Q768" t="n">
        <v>0</v>
      </c>
      <c r="R768" s="2" t="inlineStr"/>
    </row>
    <row r="769" ht="15" customHeight="1">
      <c r="A769" t="inlineStr">
        <is>
          <t>A 57272-2021</t>
        </is>
      </c>
      <c r="B769" s="1" t="n">
        <v>44483</v>
      </c>
      <c r="C769" s="1" t="n">
        <v>46103</v>
      </c>
      <c r="D769" t="inlineStr">
        <is>
          <t>KRONOBERGS LÄN</t>
        </is>
      </c>
      <c r="E769" t="inlineStr">
        <is>
          <t>VÄXJÖ</t>
        </is>
      </c>
      <c r="G769" t="n">
        <v>1.7</v>
      </c>
      <c r="H769" t="n">
        <v>0</v>
      </c>
      <c r="I769" t="n">
        <v>0</v>
      </c>
      <c r="J769" t="n">
        <v>0</v>
      </c>
      <c r="K769" t="n">
        <v>0</v>
      </c>
      <c r="L769" t="n">
        <v>0</v>
      </c>
      <c r="M769" t="n">
        <v>0</v>
      </c>
      <c r="N769" t="n">
        <v>0</v>
      </c>
      <c r="O769" t="n">
        <v>0</v>
      </c>
      <c r="P769" t="n">
        <v>0</v>
      </c>
      <c r="Q769" t="n">
        <v>0</v>
      </c>
      <c r="R769" s="2" t="inlineStr"/>
    </row>
    <row r="770" ht="15" customHeight="1">
      <c r="A770" t="inlineStr">
        <is>
          <t>A 30388-2022</t>
        </is>
      </c>
      <c r="B770" s="1" t="n">
        <v>44760.74060185185</v>
      </c>
      <c r="C770" s="1" t="n">
        <v>46103</v>
      </c>
      <c r="D770" t="inlineStr">
        <is>
          <t>KRONOBERGS LÄN</t>
        </is>
      </c>
      <c r="E770" t="inlineStr">
        <is>
          <t>LJUNGBY</t>
        </is>
      </c>
      <c r="G770" t="n">
        <v>4.3</v>
      </c>
      <c r="H770" t="n">
        <v>0</v>
      </c>
      <c r="I770" t="n">
        <v>0</v>
      </c>
      <c r="J770" t="n">
        <v>0</v>
      </c>
      <c r="K770" t="n">
        <v>0</v>
      </c>
      <c r="L770" t="n">
        <v>0</v>
      </c>
      <c r="M770" t="n">
        <v>0</v>
      </c>
      <c r="N770" t="n">
        <v>0</v>
      </c>
      <c r="O770" t="n">
        <v>0</v>
      </c>
      <c r="P770" t="n">
        <v>0</v>
      </c>
      <c r="Q770" t="n">
        <v>0</v>
      </c>
      <c r="R770" s="2" t="inlineStr"/>
    </row>
    <row r="771" ht="15" customHeight="1">
      <c r="A771" t="inlineStr">
        <is>
          <t>A 58333-2021</t>
        </is>
      </c>
      <c r="B771" s="1" t="n">
        <v>44488.38900462963</v>
      </c>
      <c r="C771" s="1" t="n">
        <v>46103</v>
      </c>
      <c r="D771" t="inlineStr">
        <is>
          <t>KRONOBERGS LÄN</t>
        </is>
      </c>
      <c r="E771" t="inlineStr">
        <is>
          <t>ALVESTA</t>
        </is>
      </c>
      <c r="G771" t="n">
        <v>0.8</v>
      </c>
      <c r="H771" t="n">
        <v>0</v>
      </c>
      <c r="I771" t="n">
        <v>0</v>
      </c>
      <c r="J771" t="n">
        <v>0</v>
      </c>
      <c r="K771" t="n">
        <v>0</v>
      </c>
      <c r="L771" t="n">
        <v>0</v>
      </c>
      <c r="M771" t="n">
        <v>0</v>
      </c>
      <c r="N771" t="n">
        <v>0</v>
      </c>
      <c r="O771" t="n">
        <v>0</v>
      </c>
      <c r="P771" t="n">
        <v>0</v>
      </c>
      <c r="Q771" t="n">
        <v>0</v>
      </c>
      <c r="R771" s="2" t="inlineStr"/>
    </row>
    <row r="772" ht="15" customHeight="1">
      <c r="A772" t="inlineStr">
        <is>
          <t>A 25402-2022</t>
        </is>
      </c>
      <c r="B772" s="1" t="n">
        <v>44732.43689814815</v>
      </c>
      <c r="C772" s="1" t="n">
        <v>46103</v>
      </c>
      <c r="D772" t="inlineStr">
        <is>
          <t>KRONOBERGS LÄN</t>
        </is>
      </c>
      <c r="E772" t="inlineStr">
        <is>
          <t>LJUNGBY</t>
        </is>
      </c>
      <c r="G772" t="n">
        <v>0.7</v>
      </c>
      <c r="H772" t="n">
        <v>0</v>
      </c>
      <c r="I772" t="n">
        <v>0</v>
      </c>
      <c r="J772" t="n">
        <v>0</v>
      </c>
      <c r="K772" t="n">
        <v>0</v>
      </c>
      <c r="L772" t="n">
        <v>0</v>
      </c>
      <c r="M772" t="n">
        <v>0</v>
      </c>
      <c r="N772" t="n">
        <v>0</v>
      </c>
      <c r="O772" t="n">
        <v>0</v>
      </c>
      <c r="P772" t="n">
        <v>0</v>
      </c>
      <c r="Q772" t="n">
        <v>0</v>
      </c>
      <c r="R772" s="2" t="inlineStr"/>
    </row>
    <row r="773" ht="15" customHeight="1">
      <c r="A773" t="inlineStr">
        <is>
          <t>A 53946-2021</t>
        </is>
      </c>
      <c r="B773" s="1" t="n">
        <v>44469</v>
      </c>
      <c r="C773" s="1" t="n">
        <v>46103</v>
      </c>
      <c r="D773" t="inlineStr">
        <is>
          <t>KRONOBERGS LÄN</t>
        </is>
      </c>
      <c r="E773" t="inlineStr">
        <is>
          <t>LJUNGBY</t>
        </is>
      </c>
      <c r="G773" t="n">
        <v>0.5</v>
      </c>
      <c r="H773" t="n">
        <v>0</v>
      </c>
      <c r="I773" t="n">
        <v>0</v>
      </c>
      <c r="J773" t="n">
        <v>0</v>
      </c>
      <c r="K773" t="n">
        <v>0</v>
      </c>
      <c r="L773" t="n">
        <v>0</v>
      </c>
      <c r="M773" t="n">
        <v>0</v>
      </c>
      <c r="N773" t="n">
        <v>0</v>
      </c>
      <c r="O773" t="n">
        <v>0</v>
      </c>
      <c r="P773" t="n">
        <v>0</v>
      </c>
      <c r="Q773" t="n">
        <v>0</v>
      </c>
      <c r="R773" s="2" t="inlineStr"/>
    </row>
    <row r="774" ht="15" customHeight="1">
      <c r="A774" t="inlineStr">
        <is>
          <t>A 9566-2022</t>
        </is>
      </c>
      <c r="B774" s="1" t="n">
        <v>44617.44428240741</v>
      </c>
      <c r="C774" s="1" t="n">
        <v>46103</v>
      </c>
      <c r="D774" t="inlineStr">
        <is>
          <t>KRONOBERGS LÄN</t>
        </is>
      </c>
      <c r="E774" t="inlineStr">
        <is>
          <t>VÄXJÖ</t>
        </is>
      </c>
      <c r="G774" t="n">
        <v>0.6</v>
      </c>
      <c r="H774" t="n">
        <v>0</v>
      </c>
      <c r="I774" t="n">
        <v>0</v>
      </c>
      <c r="J774" t="n">
        <v>0</v>
      </c>
      <c r="K774" t="n">
        <v>0</v>
      </c>
      <c r="L774" t="n">
        <v>0</v>
      </c>
      <c r="M774" t="n">
        <v>0</v>
      </c>
      <c r="N774" t="n">
        <v>0</v>
      </c>
      <c r="O774" t="n">
        <v>0</v>
      </c>
      <c r="P774" t="n">
        <v>0</v>
      </c>
      <c r="Q774" t="n">
        <v>0</v>
      </c>
      <c r="R774" s="2" t="inlineStr"/>
    </row>
    <row r="775" ht="15" customHeight="1">
      <c r="A775" t="inlineStr">
        <is>
          <t>A 42270-2021</t>
        </is>
      </c>
      <c r="B775" s="1" t="n">
        <v>44427</v>
      </c>
      <c r="C775" s="1" t="n">
        <v>46103</v>
      </c>
      <c r="D775" t="inlineStr">
        <is>
          <t>KRONOBERGS LÄN</t>
        </is>
      </c>
      <c r="E775" t="inlineStr">
        <is>
          <t>ÄLMHULT</t>
        </is>
      </c>
      <c r="G775" t="n">
        <v>1.3</v>
      </c>
      <c r="H775" t="n">
        <v>0</v>
      </c>
      <c r="I775" t="n">
        <v>0</v>
      </c>
      <c r="J775" t="n">
        <v>0</v>
      </c>
      <c r="K775" t="n">
        <v>0</v>
      </c>
      <c r="L775" t="n">
        <v>0</v>
      </c>
      <c r="M775" t="n">
        <v>0</v>
      </c>
      <c r="N775" t="n">
        <v>0</v>
      </c>
      <c r="O775" t="n">
        <v>0</v>
      </c>
      <c r="P775" t="n">
        <v>0</v>
      </c>
      <c r="Q775" t="n">
        <v>0</v>
      </c>
      <c r="R775" s="2" t="inlineStr"/>
    </row>
    <row r="776" ht="15" customHeight="1">
      <c r="A776" t="inlineStr">
        <is>
          <t>A 42273-2021</t>
        </is>
      </c>
      <c r="B776" s="1" t="n">
        <v>44427.31667824074</v>
      </c>
      <c r="C776" s="1" t="n">
        <v>46103</v>
      </c>
      <c r="D776" t="inlineStr">
        <is>
          <t>KRONOBERGS LÄN</t>
        </is>
      </c>
      <c r="E776" t="inlineStr">
        <is>
          <t>ÄLMHULT</t>
        </is>
      </c>
      <c r="G776" t="n">
        <v>1.6</v>
      </c>
      <c r="H776" t="n">
        <v>0</v>
      </c>
      <c r="I776" t="n">
        <v>0</v>
      </c>
      <c r="J776" t="n">
        <v>0</v>
      </c>
      <c r="K776" t="n">
        <v>0</v>
      </c>
      <c r="L776" t="n">
        <v>0</v>
      </c>
      <c r="M776" t="n">
        <v>0</v>
      </c>
      <c r="N776" t="n">
        <v>0</v>
      </c>
      <c r="O776" t="n">
        <v>0</v>
      </c>
      <c r="P776" t="n">
        <v>0</v>
      </c>
      <c r="Q776" t="n">
        <v>0</v>
      </c>
      <c r="R776" s="2" t="inlineStr"/>
    </row>
    <row r="777" ht="15" customHeight="1">
      <c r="A777" t="inlineStr">
        <is>
          <t>A 42182-2021</t>
        </is>
      </c>
      <c r="B777" s="1" t="n">
        <v>44426.68665509259</v>
      </c>
      <c r="C777" s="1" t="n">
        <v>46103</v>
      </c>
      <c r="D777" t="inlineStr">
        <is>
          <t>KRONOBERGS LÄN</t>
        </is>
      </c>
      <c r="E777" t="inlineStr">
        <is>
          <t>VÄXJÖ</t>
        </is>
      </c>
      <c r="G777" t="n">
        <v>0.8</v>
      </c>
      <c r="H777" t="n">
        <v>0</v>
      </c>
      <c r="I777" t="n">
        <v>0</v>
      </c>
      <c r="J777" t="n">
        <v>0</v>
      </c>
      <c r="K777" t="n">
        <v>0</v>
      </c>
      <c r="L777" t="n">
        <v>0</v>
      </c>
      <c r="M777" t="n">
        <v>0</v>
      </c>
      <c r="N777" t="n">
        <v>0</v>
      </c>
      <c r="O777" t="n">
        <v>0</v>
      </c>
      <c r="P777" t="n">
        <v>0</v>
      </c>
      <c r="Q777" t="n">
        <v>0</v>
      </c>
      <c r="R777" s="2" t="inlineStr"/>
    </row>
    <row r="778" ht="15" customHeight="1">
      <c r="A778" t="inlineStr">
        <is>
          <t>A 40180-2022</t>
        </is>
      </c>
      <c r="B778" s="1" t="n">
        <v>44820</v>
      </c>
      <c r="C778" s="1" t="n">
        <v>46103</v>
      </c>
      <c r="D778" t="inlineStr">
        <is>
          <t>KRONOBERGS LÄN</t>
        </is>
      </c>
      <c r="E778" t="inlineStr">
        <is>
          <t>TINGSRYD</t>
        </is>
      </c>
      <c r="G778" t="n">
        <v>0.7</v>
      </c>
      <c r="H778" t="n">
        <v>0</v>
      </c>
      <c r="I778" t="n">
        <v>0</v>
      </c>
      <c r="J778" t="n">
        <v>0</v>
      </c>
      <c r="K778" t="n">
        <v>0</v>
      </c>
      <c r="L778" t="n">
        <v>0</v>
      </c>
      <c r="M778" t="n">
        <v>0</v>
      </c>
      <c r="N778" t="n">
        <v>0</v>
      </c>
      <c r="O778" t="n">
        <v>0</v>
      </c>
      <c r="P778" t="n">
        <v>0</v>
      </c>
      <c r="Q778" t="n">
        <v>0</v>
      </c>
      <c r="R778" s="2" t="inlineStr"/>
    </row>
    <row r="779" ht="15" customHeight="1">
      <c r="A779" t="inlineStr">
        <is>
          <t>A 12447-2022</t>
        </is>
      </c>
      <c r="B779" s="1" t="n">
        <v>44638</v>
      </c>
      <c r="C779" s="1" t="n">
        <v>46103</v>
      </c>
      <c r="D779" t="inlineStr">
        <is>
          <t>KRONOBERGS LÄN</t>
        </is>
      </c>
      <c r="E779" t="inlineStr">
        <is>
          <t>MARKARYD</t>
        </is>
      </c>
      <c r="G779" t="n">
        <v>4.4</v>
      </c>
      <c r="H779" t="n">
        <v>0</v>
      </c>
      <c r="I779" t="n">
        <v>0</v>
      </c>
      <c r="J779" t="n">
        <v>0</v>
      </c>
      <c r="K779" t="n">
        <v>0</v>
      </c>
      <c r="L779" t="n">
        <v>0</v>
      </c>
      <c r="M779" t="n">
        <v>0</v>
      </c>
      <c r="N779" t="n">
        <v>0</v>
      </c>
      <c r="O779" t="n">
        <v>0</v>
      </c>
      <c r="P779" t="n">
        <v>0</v>
      </c>
      <c r="Q779" t="n">
        <v>0</v>
      </c>
      <c r="R779" s="2" t="inlineStr"/>
    </row>
    <row r="780" ht="15" customHeight="1">
      <c r="A780" t="inlineStr">
        <is>
          <t>A 50231-2021</t>
        </is>
      </c>
      <c r="B780" s="1" t="n">
        <v>44457.87717592593</v>
      </c>
      <c r="C780" s="1" t="n">
        <v>46103</v>
      </c>
      <c r="D780" t="inlineStr">
        <is>
          <t>KRONOBERGS LÄN</t>
        </is>
      </c>
      <c r="E780" t="inlineStr">
        <is>
          <t>VÄXJÖ</t>
        </is>
      </c>
      <c r="G780" t="n">
        <v>0.6</v>
      </c>
      <c r="H780" t="n">
        <v>0</v>
      </c>
      <c r="I780" t="n">
        <v>0</v>
      </c>
      <c r="J780" t="n">
        <v>0</v>
      </c>
      <c r="K780" t="n">
        <v>0</v>
      </c>
      <c r="L780" t="n">
        <v>0</v>
      </c>
      <c r="M780" t="n">
        <v>0</v>
      </c>
      <c r="N780" t="n">
        <v>0</v>
      </c>
      <c r="O780" t="n">
        <v>0</v>
      </c>
      <c r="P780" t="n">
        <v>0</v>
      </c>
      <c r="Q780" t="n">
        <v>0</v>
      </c>
      <c r="R780" s="2" t="inlineStr"/>
    </row>
    <row r="781" ht="15" customHeight="1">
      <c r="A781" t="inlineStr">
        <is>
          <t>A 24448-2022</t>
        </is>
      </c>
      <c r="B781" s="1" t="n">
        <v>44726.59372685185</v>
      </c>
      <c r="C781" s="1" t="n">
        <v>46103</v>
      </c>
      <c r="D781" t="inlineStr">
        <is>
          <t>KRONOBERGS LÄN</t>
        </is>
      </c>
      <c r="E781" t="inlineStr">
        <is>
          <t>VÄXJÖ</t>
        </is>
      </c>
      <c r="G781" t="n">
        <v>0.7</v>
      </c>
      <c r="H781" t="n">
        <v>0</v>
      </c>
      <c r="I781" t="n">
        <v>0</v>
      </c>
      <c r="J781" t="n">
        <v>0</v>
      </c>
      <c r="K781" t="n">
        <v>0</v>
      </c>
      <c r="L781" t="n">
        <v>0</v>
      </c>
      <c r="M781" t="n">
        <v>0</v>
      </c>
      <c r="N781" t="n">
        <v>0</v>
      </c>
      <c r="O781" t="n">
        <v>0</v>
      </c>
      <c r="P781" t="n">
        <v>0</v>
      </c>
      <c r="Q781" t="n">
        <v>0</v>
      </c>
      <c r="R781" s="2" t="inlineStr"/>
    </row>
    <row r="782" ht="15" customHeight="1">
      <c r="A782" t="inlineStr">
        <is>
          <t>A 53282-2021</t>
        </is>
      </c>
      <c r="B782" s="1" t="n">
        <v>44468.50265046296</v>
      </c>
      <c r="C782" s="1" t="n">
        <v>46103</v>
      </c>
      <c r="D782" t="inlineStr">
        <is>
          <t>KRONOBERGS LÄN</t>
        </is>
      </c>
      <c r="E782" t="inlineStr">
        <is>
          <t>VÄXJÖ</t>
        </is>
      </c>
      <c r="G782" t="n">
        <v>0.6</v>
      </c>
      <c r="H782" t="n">
        <v>0</v>
      </c>
      <c r="I782" t="n">
        <v>0</v>
      </c>
      <c r="J782" t="n">
        <v>0</v>
      </c>
      <c r="K782" t="n">
        <v>0</v>
      </c>
      <c r="L782" t="n">
        <v>0</v>
      </c>
      <c r="M782" t="n">
        <v>0</v>
      </c>
      <c r="N782" t="n">
        <v>0</v>
      </c>
      <c r="O782" t="n">
        <v>0</v>
      </c>
      <c r="P782" t="n">
        <v>0</v>
      </c>
      <c r="Q782" t="n">
        <v>0</v>
      </c>
      <c r="R782" s="2" t="inlineStr"/>
    </row>
    <row r="783" ht="15" customHeight="1">
      <c r="A783" t="inlineStr">
        <is>
          <t>A 53948-2021</t>
        </is>
      </c>
      <c r="B783" s="1" t="n">
        <v>44469</v>
      </c>
      <c r="C783" s="1" t="n">
        <v>46103</v>
      </c>
      <c r="D783" t="inlineStr">
        <is>
          <t>KRONOBERGS LÄN</t>
        </is>
      </c>
      <c r="E783" t="inlineStr">
        <is>
          <t>LJUNGBY</t>
        </is>
      </c>
      <c r="G783" t="n">
        <v>3.4</v>
      </c>
      <c r="H783" t="n">
        <v>0</v>
      </c>
      <c r="I783" t="n">
        <v>0</v>
      </c>
      <c r="J783" t="n">
        <v>0</v>
      </c>
      <c r="K783" t="n">
        <v>0</v>
      </c>
      <c r="L783" t="n">
        <v>0</v>
      </c>
      <c r="M783" t="n">
        <v>0</v>
      </c>
      <c r="N783" t="n">
        <v>0</v>
      </c>
      <c r="O783" t="n">
        <v>0</v>
      </c>
      <c r="P783" t="n">
        <v>0</v>
      </c>
      <c r="Q783" t="n">
        <v>0</v>
      </c>
      <c r="R783" s="2" t="inlineStr"/>
    </row>
    <row r="784" ht="15" customHeight="1">
      <c r="A784" t="inlineStr">
        <is>
          <t>A 48561-2022</t>
        </is>
      </c>
      <c r="B784" s="1" t="n">
        <v>44859.32788194445</v>
      </c>
      <c r="C784" s="1" t="n">
        <v>46103</v>
      </c>
      <c r="D784" t="inlineStr">
        <is>
          <t>KRONOBERGS LÄN</t>
        </is>
      </c>
      <c r="E784" t="inlineStr">
        <is>
          <t>ALVESTA</t>
        </is>
      </c>
      <c r="G784" t="n">
        <v>0.5</v>
      </c>
      <c r="H784" t="n">
        <v>0</v>
      </c>
      <c r="I784" t="n">
        <v>0</v>
      </c>
      <c r="J784" t="n">
        <v>0</v>
      </c>
      <c r="K784" t="n">
        <v>0</v>
      </c>
      <c r="L784" t="n">
        <v>0</v>
      </c>
      <c r="M784" t="n">
        <v>0</v>
      </c>
      <c r="N784" t="n">
        <v>0</v>
      </c>
      <c r="O784" t="n">
        <v>0</v>
      </c>
      <c r="P784" t="n">
        <v>0</v>
      </c>
      <c r="Q784" t="n">
        <v>0</v>
      </c>
      <c r="R784" s="2" t="inlineStr"/>
    </row>
    <row r="785" ht="15" customHeight="1">
      <c r="A785" t="inlineStr">
        <is>
          <t>A 26709-2022</t>
        </is>
      </c>
      <c r="B785" s="1" t="n">
        <v>44739</v>
      </c>
      <c r="C785" s="1" t="n">
        <v>46103</v>
      </c>
      <c r="D785" t="inlineStr">
        <is>
          <t>KRONOBERGS LÄN</t>
        </is>
      </c>
      <c r="E785" t="inlineStr">
        <is>
          <t>ÄLMHULT</t>
        </is>
      </c>
      <c r="G785" t="n">
        <v>0.8</v>
      </c>
      <c r="H785" t="n">
        <v>0</v>
      </c>
      <c r="I785" t="n">
        <v>0</v>
      </c>
      <c r="J785" t="n">
        <v>0</v>
      </c>
      <c r="K785" t="n">
        <v>0</v>
      </c>
      <c r="L785" t="n">
        <v>0</v>
      </c>
      <c r="M785" t="n">
        <v>0</v>
      </c>
      <c r="N785" t="n">
        <v>0</v>
      </c>
      <c r="O785" t="n">
        <v>0</v>
      </c>
      <c r="P785" t="n">
        <v>0</v>
      </c>
      <c r="Q785" t="n">
        <v>0</v>
      </c>
      <c r="R785" s="2" t="inlineStr"/>
    </row>
    <row r="786" ht="15" customHeight="1">
      <c r="A786" t="inlineStr">
        <is>
          <t>A 51990-2021</t>
        </is>
      </c>
      <c r="B786" s="1" t="n">
        <v>44460</v>
      </c>
      <c r="C786" s="1" t="n">
        <v>46103</v>
      </c>
      <c r="D786" t="inlineStr">
        <is>
          <t>KRONOBERGS LÄN</t>
        </is>
      </c>
      <c r="E786" t="inlineStr">
        <is>
          <t>MARKARYD</t>
        </is>
      </c>
      <c r="G786" t="n">
        <v>1.6</v>
      </c>
      <c r="H786" t="n">
        <v>0</v>
      </c>
      <c r="I786" t="n">
        <v>0</v>
      </c>
      <c r="J786" t="n">
        <v>0</v>
      </c>
      <c r="K786" t="n">
        <v>0</v>
      </c>
      <c r="L786" t="n">
        <v>0</v>
      </c>
      <c r="M786" t="n">
        <v>0</v>
      </c>
      <c r="N786" t="n">
        <v>0</v>
      </c>
      <c r="O786" t="n">
        <v>0</v>
      </c>
      <c r="P786" t="n">
        <v>0</v>
      </c>
      <c r="Q786" t="n">
        <v>0</v>
      </c>
      <c r="R786" s="2" t="inlineStr"/>
    </row>
    <row r="787" ht="15" customHeight="1">
      <c r="A787" t="inlineStr">
        <is>
          <t>A 52024-2021</t>
        </is>
      </c>
      <c r="B787" s="1" t="n">
        <v>44463.34797453704</v>
      </c>
      <c r="C787" s="1" t="n">
        <v>46103</v>
      </c>
      <c r="D787" t="inlineStr">
        <is>
          <t>KRONOBERGS LÄN</t>
        </is>
      </c>
      <c r="E787" t="inlineStr">
        <is>
          <t>TINGSRYD</t>
        </is>
      </c>
      <c r="G787" t="n">
        <v>2.8</v>
      </c>
      <c r="H787" t="n">
        <v>0</v>
      </c>
      <c r="I787" t="n">
        <v>0</v>
      </c>
      <c r="J787" t="n">
        <v>0</v>
      </c>
      <c r="K787" t="n">
        <v>0</v>
      </c>
      <c r="L787" t="n">
        <v>0</v>
      </c>
      <c r="M787" t="n">
        <v>0</v>
      </c>
      <c r="N787" t="n">
        <v>0</v>
      </c>
      <c r="O787" t="n">
        <v>0</v>
      </c>
      <c r="P787" t="n">
        <v>0</v>
      </c>
      <c r="Q787" t="n">
        <v>0</v>
      </c>
      <c r="R787" s="2" t="inlineStr"/>
    </row>
    <row r="788" ht="15" customHeight="1">
      <c r="A788" t="inlineStr">
        <is>
          <t>A 73248-2021</t>
        </is>
      </c>
      <c r="B788" s="1" t="n">
        <v>44550</v>
      </c>
      <c r="C788" s="1" t="n">
        <v>46103</v>
      </c>
      <c r="D788" t="inlineStr">
        <is>
          <t>KRONOBERGS LÄN</t>
        </is>
      </c>
      <c r="E788" t="inlineStr">
        <is>
          <t>LJUNGBY</t>
        </is>
      </c>
      <c r="G788" t="n">
        <v>1.2</v>
      </c>
      <c r="H788" t="n">
        <v>0</v>
      </c>
      <c r="I788" t="n">
        <v>0</v>
      </c>
      <c r="J788" t="n">
        <v>0</v>
      </c>
      <c r="K788" t="n">
        <v>0</v>
      </c>
      <c r="L788" t="n">
        <v>0</v>
      </c>
      <c r="M788" t="n">
        <v>0</v>
      </c>
      <c r="N788" t="n">
        <v>0</v>
      </c>
      <c r="O788" t="n">
        <v>0</v>
      </c>
      <c r="P788" t="n">
        <v>0</v>
      </c>
      <c r="Q788" t="n">
        <v>0</v>
      </c>
      <c r="R788" s="2" t="inlineStr"/>
    </row>
    <row r="789" ht="15" customHeight="1">
      <c r="A789" t="inlineStr">
        <is>
          <t>A 52297-2021</t>
        </is>
      </c>
      <c r="B789" s="1" t="n">
        <v>44463.69890046296</v>
      </c>
      <c r="C789" s="1" t="n">
        <v>46103</v>
      </c>
      <c r="D789" t="inlineStr">
        <is>
          <t>KRONOBERGS LÄN</t>
        </is>
      </c>
      <c r="E789" t="inlineStr">
        <is>
          <t>ÄLMHULT</t>
        </is>
      </c>
      <c r="G789" t="n">
        <v>0.3</v>
      </c>
      <c r="H789" t="n">
        <v>0</v>
      </c>
      <c r="I789" t="n">
        <v>0</v>
      </c>
      <c r="J789" t="n">
        <v>0</v>
      </c>
      <c r="K789" t="n">
        <v>0</v>
      </c>
      <c r="L789" t="n">
        <v>0</v>
      </c>
      <c r="M789" t="n">
        <v>0</v>
      </c>
      <c r="N789" t="n">
        <v>0</v>
      </c>
      <c r="O789" t="n">
        <v>0</v>
      </c>
      <c r="P789" t="n">
        <v>0</v>
      </c>
      <c r="Q789" t="n">
        <v>0</v>
      </c>
      <c r="R789" s="2" t="inlineStr"/>
    </row>
    <row r="790" ht="15" customHeight="1">
      <c r="A790" t="inlineStr">
        <is>
          <t>A 18632-2021</t>
        </is>
      </c>
      <c r="B790" s="1" t="n">
        <v>44306</v>
      </c>
      <c r="C790" s="1" t="n">
        <v>46103</v>
      </c>
      <c r="D790" t="inlineStr">
        <is>
          <t>KRONOBERGS LÄN</t>
        </is>
      </c>
      <c r="E790" t="inlineStr">
        <is>
          <t>ALVESTA</t>
        </is>
      </c>
      <c r="G790" t="n">
        <v>2.9</v>
      </c>
      <c r="H790" t="n">
        <v>0</v>
      </c>
      <c r="I790" t="n">
        <v>0</v>
      </c>
      <c r="J790" t="n">
        <v>0</v>
      </c>
      <c r="K790" t="n">
        <v>0</v>
      </c>
      <c r="L790" t="n">
        <v>0</v>
      </c>
      <c r="M790" t="n">
        <v>0</v>
      </c>
      <c r="N790" t="n">
        <v>0</v>
      </c>
      <c r="O790" t="n">
        <v>0</v>
      </c>
      <c r="P790" t="n">
        <v>0</v>
      </c>
      <c r="Q790" t="n">
        <v>0</v>
      </c>
      <c r="R790" s="2" t="inlineStr"/>
    </row>
    <row r="791" ht="15" customHeight="1">
      <c r="A791" t="inlineStr">
        <is>
          <t>A 18639-2021</t>
        </is>
      </c>
      <c r="B791" s="1" t="n">
        <v>44306</v>
      </c>
      <c r="C791" s="1" t="n">
        <v>46103</v>
      </c>
      <c r="D791" t="inlineStr">
        <is>
          <t>KRONOBERGS LÄN</t>
        </is>
      </c>
      <c r="E791" t="inlineStr">
        <is>
          <t>ALVESTA</t>
        </is>
      </c>
      <c r="G791" t="n">
        <v>1.6</v>
      </c>
      <c r="H791" t="n">
        <v>0</v>
      </c>
      <c r="I791" t="n">
        <v>0</v>
      </c>
      <c r="J791" t="n">
        <v>0</v>
      </c>
      <c r="K791" t="n">
        <v>0</v>
      </c>
      <c r="L791" t="n">
        <v>0</v>
      </c>
      <c r="M791" t="n">
        <v>0</v>
      </c>
      <c r="N791" t="n">
        <v>0</v>
      </c>
      <c r="O791" t="n">
        <v>0</v>
      </c>
      <c r="P791" t="n">
        <v>0</v>
      </c>
      <c r="Q791" t="n">
        <v>0</v>
      </c>
      <c r="R791" s="2" t="inlineStr"/>
    </row>
    <row r="792" ht="15" customHeight="1">
      <c r="A792" t="inlineStr">
        <is>
          <t>A 73366-2021</t>
        </is>
      </c>
      <c r="B792" s="1" t="n">
        <v>44551</v>
      </c>
      <c r="C792" s="1" t="n">
        <v>46103</v>
      </c>
      <c r="D792" t="inlineStr">
        <is>
          <t>KRONOBERGS LÄN</t>
        </is>
      </c>
      <c r="E792" t="inlineStr">
        <is>
          <t>ÄLMHULT</t>
        </is>
      </c>
      <c r="G792" t="n">
        <v>1</v>
      </c>
      <c r="H792" t="n">
        <v>0</v>
      </c>
      <c r="I792" t="n">
        <v>0</v>
      </c>
      <c r="J792" t="n">
        <v>0</v>
      </c>
      <c r="K792" t="n">
        <v>0</v>
      </c>
      <c r="L792" t="n">
        <v>0</v>
      </c>
      <c r="M792" t="n">
        <v>0</v>
      </c>
      <c r="N792" t="n">
        <v>0</v>
      </c>
      <c r="O792" t="n">
        <v>0</v>
      </c>
      <c r="P792" t="n">
        <v>0</v>
      </c>
      <c r="Q792" t="n">
        <v>0</v>
      </c>
      <c r="R792" s="2" t="inlineStr"/>
    </row>
    <row r="793" ht="15" customHeight="1">
      <c r="A793" t="inlineStr">
        <is>
          <t>A 25812-2022</t>
        </is>
      </c>
      <c r="B793" s="1" t="n">
        <v>44733.53642361111</v>
      </c>
      <c r="C793" s="1" t="n">
        <v>46103</v>
      </c>
      <c r="D793" t="inlineStr">
        <is>
          <t>KRONOBERGS LÄN</t>
        </is>
      </c>
      <c r="E793" t="inlineStr">
        <is>
          <t>ÄLMHULT</t>
        </is>
      </c>
      <c r="G793" t="n">
        <v>4.6</v>
      </c>
      <c r="H793" t="n">
        <v>0</v>
      </c>
      <c r="I793" t="n">
        <v>0</v>
      </c>
      <c r="J793" t="n">
        <v>0</v>
      </c>
      <c r="K793" t="n">
        <v>0</v>
      </c>
      <c r="L793" t="n">
        <v>0</v>
      </c>
      <c r="M793" t="n">
        <v>0</v>
      </c>
      <c r="N793" t="n">
        <v>0</v>
      </c>
      <c r="O793" t="n">
        <v>0</v>
      </c>
      <c r="P793" t="n">
        <v>0</v>
      </c>
      <c r="Q793" t="n">
        <v>0</v>
      </c>
      <c r="R793" s="2" t="inlineStr"/>
    </row>
    <row r="794" ht="15" customHeight="1">
      <c r="A794" t="inlineStr">
        <is>
          <t>A 73428-2021</t>
        </is>
      </c>
      <c r="B794" s="1" t="n">
        <v>44551</v>
      </c>
      <c r="C794" s="1" t="n">
        <v>46103</v>
      </c>
      <c r="D794" t="inlineStr">
        <is>
          <t>KRONOBERGS LÄN</t>
        </is>
      </c>
      <c r="E794" t="inlineStr">
        <is>
          <t>VÄXJÖ</t>
        </is>
      </c>
      <c r="G794" t="n">
        <v>1</v>
      </c>
      <c r="H794" t="n">
        <v>0</v>
      </c>
      <c r="I794" t="n">
        <v>0</v>
      </c>
      <c r="J794" t="n">
        <v>0</v>
      </c>
      <c r="K794" t="n">
        <v>0</v>
      </c>
      <c r="L794" t="n">
        <v>0</v>
      </c>
      <c r="M794" t="n">
        <v>0</v>
      </c>
      <c r="N794" t="n">
        <v>0</v>
      </c>
      <c r="O794" t="n">
        <v>0</v>
      </c>
      <c r="P794" t="n">
        <v>0</v>
      </c>
      <c r="Q794" t="n">
        <v>0</v>
      </c>
      <c r="R794" s="2" t="inlineStr"/>
    </row>
    <row r="795" ht="15" customHeight="1">
      <c r="A795" t="inlineStr">
        <is>
          <t>A 32376-2021</t>
        </is>
      </c>
      <c r="B795" s="1" t="n">
        <v>44371.61570601852</v>
      </c>
      <c r="C795" s="1" t="n">
        <v>46103</v>
      </c>
      <c r="D795" t="inlineStr">
        <is>
          <t>KRONOBERGS LÄN</t>
        </is>
      </c>
      <c r="E795" t="inlineStr">
        <is>
          <t>TINGSRYD</t>
        </is>
      </c>
      <c r="G795" t="n">
        <v>1.5</v>
      </c>
      <c r="H795" t="n">
        <v>0</v>
      </c>
      <c r="I795" t="n">
        <v>0</v>
      </c>
      <c r="J795" t="n">
        <v>0</v>
      </c>
      <c r="K795" t="n">
        <v>0</v>
      </c>
      <c r="L795" t="n">
        <v>0</v>
      </c>
      <c r="M795" t="n">
        <v>0</v>
      </c>
      <c r="N795" t="n">
        <v>0</v>
      </c>
      <c r="O795" t="n">
        <v>0</v>
      </c>
      <c r="P795" t="n">
        <v>0</v>
      </c>
      <c r="Q795" t="n">
        <v>0</v>
      </c>
      <c r="R795" s="2" t="inlineStr"/>
    </row>
    <row r="796" ht="15" customHeight="1">
      <c r="A796" t="inlineStr">
        <is>
          <t>A 30117-2022</t>
        </is>
      </c>
      <c r="B796" s="1" t="n">
        <v>44757</v>
      </c>
      <c r="C796" s="1" t="n">
        <v>46103</v>
      </c>
      <c r="D796" t="inlineStr">
        <is>
          <t>KRONOBERGS LÄN</t>
        </is>
      </c>
      <c r="E796" t="inlineStr">
        <is>
          <t>UPPVIDINGE</t>
        </is>
      </c>
      <c r="F796" t="inlineStr">
        <is>
          <t>Sveaskog</t>
        </is>
      </c>
      <c r="G796" t="n">
        <v>2.8</v>
      </c>
      <c r="H796" t="n">
        <v>0</v>
      </c>
      <c r="I796" t="n">
        <v>0</v>
      </c>
      <c r="J796" t="n">
        <v>0</v>
      </c>
      <c r="K796" t="n">
        <v>0</v>
      </c>
      <c r="L796" t="n">
        <v>0</v>
      </c>
      <c r="M796" t="n">
        <v>0</v>
      </c>
      <c r="N796" t="n">
        <v>0</v>
      </c>
      <c r="O796" t="n">
        <v>0</v>
      </c>
      <c r="P796" t="n">
        <v>0</v>
      </c>
      <c r="Q796" t="n">
        <v>0</v>
      </c>
      <c r="R796" s="2" t="inlineStr"/>
    </row>
    <row r="797" ht="15" customHeight="1">
      <c r="A797" t="inlineStr">
        <is>
          <t>A 70400-2021</t>
        </is>
      </c>
      <c r="B797" s="1" t="n">
        <v>44536</v>
      </c>
      <c r="C797" s="1" t="n">
        <v>46103</v>
      </c>
      <c r="D797" t="inlineStr">
        <is>
          <t>KRONOBERGS LÄN</t>
        </is>
      </c>
      <c r="E797" t="inlineStr">
        <is>
          <t>LJUNGBY</t>
        </is>
      </c>
      <c r="G797" t="n">
        <v>2.2</v>
      </c>
      <c r="H797" t="n">
        <v>0</v>
      </c>
      <c r="I797" t="n">
        <v>0</v>
      </c>
      <c r="J797" t="n">
        <v>0</v>
      </c>
      <c r="K797" t="n">
        <v>0</v>
      </c>
      <c r="L797" t="n">
        <v>0</v>
      </c>
      <c r="M797" t="n">
        <v>0</v>
      </c>
      <c r="N797" t="n">
        <v>0</v>
      </c>
      <c r="O797" t="n">
        <v>0</v>
      </c>
      <c r="P797" t="n">
        <v>0</v>
      </c>
      <c r="Q797" t="n">
        <v>0</v>
      </c>
      <c r="R797" s="2" t="inlineStr"/>
    </row>
    <row r="798" ht="15" customHeight="1">
      <c r="A798" t="inlineStr">
        <is>
          <t>A 37649-2022</t>
        </is>
      </c>
      <c r="B798" s="1" t="n">
        <v>44810.40475694444</v>
      </c>
      <c r="C798" s="1" t="n">
        <v>46103</v>
      </c>
      <c r="D798" t="inlineStr">
        <is>
          <t>KRONOBERGS LÄN</t>
        </is>
      </c>
      <c r="E798" t="inlineStr">
        <is>
          <t>LJUNGBY</t>
        </is>
      </c>
      <c r="G798" t="n">
        <v>0.3</v>
      </c>
      <c r="H798" t="n">
        <v>0</v>
      </c>
      <c r="I798" t="n">
        <v>0</v>
      </c>
      <c r="J798" t="n">
        <v>0</v>
      </c>
      <c r="K798" t="n">
        <v>0</v>
      </c>
      <c r="L798" t="n">
        <v>0</v>
      </c>
      <c r="M798" t="n">
        <v>0</v>
      </c>
      <c r="N798" t="n">
        <v>0</v>
      </c>
      <c r="O798" t="n">
        <v>0</v>
      </c>
      <c r="P798" t="n">
        <v>0</v>
      </c>
      <c r="Q798" t="n">
        <v>0</v>
      </c>
      <c r="R798" s="2" t="inlineStr"/>
    </row>
    <row r="799" ht="15" customHeight="1">
      <c r="A799" t="inlineStr">
        <is>
          <t>A 37627-2022</t>
        </is>
      </c>
      <c r="B799" s="1" t="n">
        <v>44810.35575231481</v>
      </c>
      <c r="C799" s="1" t="n">
        <v>46103</v>
      </c>
      <c r="D799" t="inlineStr">
        <is>
          <t>KRONOBERGS LÄN</t>
        </is>
      </c>
      <c r="E799" t="inlineStr">
        <is>
          <t>LJUNGBY</t>
        </is>
      </c>
      <c r="G799" t="n">
        <v>2</v>
      </c>
      <c r="H799" t="n">
        <v>0</v>
      </c>
      <c r="I799" t="n">
        <v>0</v>
      </c>
      <c r="J799" t="n">
        <v>0</v>
      </c>
      <c r="K799" t="n">
        <v>0</v>
      </c>
      <c r="L799" t="n">
        <v>0</v>
      </c>
      <c r="M799" t="n">
        <v>0</v>
      </c>
      <c r="N799" t="n">
        <v>0</v>
      </c>
      <c r="O799" t="n">
        <v>0</v>
      </c>
      <c r="P799" t="n">
        <v>0</v>
      </c>
      <c r="Q799" t="n">
        <v>0</v>
      </c>
      <c r="R799" s="2" t="inlineStr"/>
    </row>
    <row r="800" ht="15" customHeight="1">
      <c r="A800" t="inlineStr">
        <is>
          <t>A 15551-2021</t>
        </is>
      </c>
      <c r="B800" s="1" t="n">
        <v>44285.5828125</v>
      </c>
      <c r="C800" s="1" t="n">
        <v>46103</v>
      </c>
      <c r="D800" t="inlineStr">
        <is>
          <t>KRONOBERGS LÄN</t>
        </is>
      </c>
      <c r="E800" t="inlineStr">
        <is>
          <t>VÄXJÖ</t>
        </is>
      </c>
      <c r="G800" t="n">
        <v>0.5</v>
      </c>
      <c r="H800" t="n">
        <v>0</v>
      </c>
      <c r="I800" t="n">
        <v>0</v>
      </c>
      <c r="J800" t="n">
        <v>0</v>
      </c>
      <c r="K800" t="n">
        <v>0</v>
      </c>
      <c r="L800" t="n">
        <v>0</v>
      </c>
      <c r="M800" t="n">
        <v>0</v>
      </c>
      <c r="N800" t="n">
        <v>0</v>
      </c>
      <c r="O800" t="n">
        <v>0</v>
      </c>
      <c r="P800" t="n">
        <v>0</v>
      </c>
      <c r="Q800" t="n">
        <v>0</v>
      </c>
      <c r="R800" s="2" t="inlineStr"/>
    </row>
    <row r="801" ht="15" customHeight="1">
      <c r="A801" t="inlineStr">
        <is>
          <t>A 15566-2021</t>
        </is>
      </c>
      <c r="B801" s="1" t="n">
        <v>44285.60979166667</v>
      </c>
      <c r="C801" s="1" t="n">
        <v>46103</v>
      </c>
      <c r="D801" t="inlineStr">
        <is>
          <t>KRONOBERGS LÄN</t>
        </is>
      </c>
      <c r="E801" t="inlineStr">
        <is>
          <t>TINGSRYD</t>
        </is>
      </c>
      <c r="G801" t="n">
        <v>2.1</v>
      </c>
      <c r="H801" t="n">
        <v>0</v>
      </c>
      <c r="I801" t="n">
        <v>0</v>
      </c>
      <c r="J801" t="n">
        <v>0</v>
      </c>
      <c r="K801" t="n">
        <v>0</v>
      </c>
      <c r="L801" t="n">
        <v>0</v>
      </c>
      <c r="M801" t="n">
        <v>0</v>
      </c>
      <c r="N801" t="n">
        <v>0</v>
      </c>
      <c r="O801" t="n">
        <v>0</v>
      </c>
      <c r="P801" t="n">
        <v>0</v>
      </c>
      <c r="Q801" t="n">
        <v>0</v>
      </c>
      <c r="R801" s="2" t="inlineStr"/>
    </row>
    <row r="802" ht="15" customHeight="1">
      <c r="A802" t="inlineStr">
        <is>
          <t>A 4073-2022</t>
        </is>
      </c>
      <c r="B802" s="1" t="n">
        <v>44588</v>
      </c>
      <c r="C802" s="1" t="n">
        <v>46103</v>
      </c>
      <c r="D802" t="inlineStr">
        <is>
          <t>KRONOBERGS LÄN</t>
        </is>
      </c>
      <c r="E802" t="inlineStr">
        <is>
          <t>LJUNGBY</t>
        </is>
      </c>
      <c r="G802" t="n">
        <v>0.5</v>
      </c>
      <c r="H802" t="n">
        <v>0</v>
      </c>
      <c r="I802" t="n">
        <v>0</v>
      </c>
      <c r="J802" t="n">
        <v>0</v>
      </c>
      <c r="K802" t="n">
        <v>0</v>
      </c>
      <c r="L802" t="n">
        <v>0</v>
      </c>
      <c r="M802" t="n">
        <v>0</v>
      </c>
      <c r="N802" t="n">
        <v>0</v>
      </c>
      <c r="O802" t="n">
        <v>0</v>
      </c>
      <c r="P802" t="n">
        <v>0</v>
      </c>
      <c r="Q802" t="n">
        <v>0</v>
      </c>
      <c r="R802" s="2" t="inlineStr"/>
    </row>
    <row r="803" ht="15" customHeight="1">
      <c r="A803" t="inlineStr">
        <is>
          <t>A 36066-2022</t>
        </is>
      </c>
      <c r="B803" s="1" t="n">
        <v>44802.91337962963</v>
      </c>
      <c r="C803" s="1" t="n">
        <v>46103</v>
      </c>
      <c r="D803" t="inlineStr">
        <is>
          <t>KRONOBERGS LÄN</t>
        </is>
      </c>
      <c r="E803" t="inlineStr">
        <is>
          <t>MARKARYD</t>
        </is>
      </c>
      <c r="G803" t="n">
        <v>8.4</v>
      </c>
      <c r="H803" t="n">
        <v>0</v>
      </c>
      <c r="I803" t="n">
        <v>0</v>
      </c>
      <c r="J803" t="n">
        <v>0</v>
      </c>
      <c r="K803" t="n">
        <v>0</v>
      </c>
      <c r="L803" t="n">
        <v>0</v>
      </c>
      <c r="M803" t="n">
        <v>0</v>
      </c>
      <c r="N803" t="n">
        <v>0</v>
      </c>
      <c r="O803" t="n">
        <v>0</v>
      </c>
      <c r="P803" t="n">
        <v>0</v>
      </c>
      <c r="Q803" t="n">
        <v>0</v>
      </c>
      <c r="R803" s="2" t="inlineStr"/>
    </row>
    <row r="804" ht="15" customHeight="1">
      <c r="A804" t="inlineStr">
        <is>
          <t>A 36068-2022</t>
        </is>
      </c>
      <c r="B804" s="1" t="n">
        <v>44802</v>
      </c>
      <c r="C804" s="1" t="n">
        <v>46103</v>
      </c>
      <c r="D804" t="inlineStr">
        <is>
          <t>KRONOBERGS LÄN</t>
        </is>
      </c>
      <c r="E804" t="inlineStr">
        <is>
          <t>MARKARYD</t>
        </is>
      </c>
      <c r="G804" t="n">
        <v>4.6</v>
      </c>
      <c r="H804" t="n">
        <v>0</v>
      </c>
      <c r="I804" t="n">
        <v>0</v>
      </c>
      <c r="J804" t="n">
        <v>0</v>
      </c>
      <c r="K804" t="n">
        <v>0</v>
      </c>
      <c r="L804" t="n">
        <v>0</v>
      </c>
      <c r="M804" t="n">
        <v>0</v>
      </c>
      <c r="N804" t="n">
        <v>0</v>
      </c>
      <c r="O804" t="n">
        <v>0</v>
      </c>
      <c r="P804" t="n">
        <v>0</v>
      </c>
      <c r="Q804" t="n">
        <v>0</v>
      </c>
      <c r="R804" s="2" t="inlineStr"/>
    </row>
    <row r="805" ht="15" customHeight="1">
      <c r="A805" t="inlineStr">
        <is>
          <t>A 15631-2021</t>
        </is>
      </c>
      <c r="B805" s="1" t="n">
        <v>44285.87041666666</v>
      </c>
      <c r="C805" s="1" t="n">
        <v>46103</v>
      </c>
      <c r="D805" t="inlineStr">
        <is>
          <t>KRONOBERGS LÄN</t>
        </is>
      </c>
      <c r="E805" t="inlineStr">
        <is>
          <t>UPPVIDINGE</t>
        </is>
      </c>
      <c r="G805" t="n">
        <v>1.3</v>
      </c>
      <c r="H805" t="n">
        <v>0</v>
      </c>
      <c r="I805" t="n">
        <v>0</v>
      </c>
      <c r="J805" t="n">
        <v>0</v>
      </c>
      <c r="K805" t="n">
        <v>0</v>
      </c>
      <c r="L805" t="n">
        <v>0</v>
      </c>
      <c r="M805" t="n">
        <v>0</v>
      </c>
      <c r="N805" t="n">
        <v>0</v>
      </c>
      <c r="O805" t="n">
        <v>0</v>
      </c>
      <c r="P805" t="n">
        <v>0</v>
      </c>
      <c r="Q805" t="n">
        <v>0</v>
      </c>
      <c r="R805" s="2" t="inlineStr"/>
    </row>
    <row r="806" ht="15" customHeight="1">
      <c r="A806" t="inlineStr">
        <is>
          <t>A 37112-2021</t>
        </is>
      </c>
      <c r="B806" s="1" t="n">
        <v>44393</v>
      </c>
      <c r="C806" s="1" t="n">
        <v>46103</v>
      </c>
      <c r="D806" t="inlineStr">
        <is>
          <t>KRONOBERGS LÄN</t>
        </is>
      </c>
      <c r="E806" t="inlineStr">
        <is>
          <t>VÄXJÖ</t>
        </is>
      </c>
      <c r="G806" t="n">
        <v>0.8</v>
      </c>
      <c r="H806" t="n">
        <v>0</v>
      </c>
      <c r="I806" t="n">
        <v>0</v>
      </c>
      <c r="J806" t="n">
        <v>0</v>
      </c>
      <c r="K806" t="n">
        <v>0</v>
      </c>
      <c r="L806" t="n">
        <v>0</v>
      </c>
      <c r="M806" t="n">
        <v>0</v>
      </c>
      <c r="N806" t="n">
        <v>0</v>
      </c>
      <c r="O806" t="n">
        <v>0</v>
      </c>
      <c r="P806" t="n">
        <v>0</v>
      </c>
      <c r="Q806" t="n">
        <v>0</v>
      </c>
      <c r="R806" s="2" t="inlineStr"/>
    </row>
    <row r="807" ht="15" customHeight="1">
      <c r="A807" t="inlineStr">
        <is>
          <t>A 6132-2022</t>
        </is>
      </c>
      <c r="B807" s="1" t="n">
        <v>44599</v>
      </c>
      <c r="C807" s="1" t="n">
        <v>46103</v>
      </c>
      <c r="D807" t="inlineStr">
        <is>
          <t>KRONOBERGS LÄN</t>
        </is>
      </c>
      <c r="E807" t="inlineStr">
        <is>
          <t>VÄXJÖ</t>
        </is>
      </c>
      <c r="G807" t="n">
        <v>1.4</v>
      </c>
      <c r="H807" t="n">
        <v>0</v>
      </c>
      <c r="I807" t="n">
        <v>0</v>
      </c>
      <c r="J807" t="n">
        <v>0</v>
      </c>
      <c r="K807" t="n">
        <v>0</v>
      </c>
      <c r="L807" t="n">
        <v>0</v>
      </c>
      <c r="M807" t="n">
        <v>0</v>
      </c>
      <c r="N807" t="n">
        <v>0</v>
      </c>
      <c r="O807" t="n">
        <v>0</v>
      </c>
      <c r="P807" t="n">
        <v>0</v>
      </c>
      <c r="Q807" t="n">
        <v>0</v>
      </c>
      <c r="R807" s="2" t="inlineStr"/>
    </row>
    <row r="808" ht="15" customHeight="1">
      <c r="A808" t="inlineStr">
        <is>
          <t>A 14140-2021</t>
        </is>
      </c>
      <c r="B808" s="1" t="n">
        <v>44278</v>
      </c>
      <c r="C808" s="1" t="n">
        <v>46103</v>
      </c>
      <c r="D808" t="inlineStr">
        <is>
          <t>KRONOBERGS LÄN</t>
        </is>
      </c>
      <c r="E808" t="inlineStr">
        <is>
          <t>ÄLMHULT</t>
        </is>
      </c>
      <c r="G808" t="n">
        <v>1.5</v>
      </c>
      <c r="H808" t="n">
        <v>0</v>
      </c>
      <c r="I808" t="n">
        <v>0</v>
      </c>
      <c r="J808" t="n">
        <v>0</v>
      </c>
      <c r="K808" t="n">
        <v>0</v>
      </c>
      <c r="L808" t="n">
        <v>0</v>
      </c>
      <c r="M808" t="n">
        <v>0</v>
      </c>
      <c r="N808" t="n">
        <v>0</v>
      </c>
      <c r="O808" t="n">
        <v>0</v>
      </c>
      <c r="P808" t="n">
        <v>0</v>
      </c>
      <c r="Q808" t="n">
        <v>0</v>
      </c>
      <c r="R808" s="2" t="inlineStr"/>
    </row>
    <row r="809" ht="15" customHeight="1">
      <c r="A809" t="inlineStr">
        <is>
          <t>A 43000-2022</t>
        </is>
      </c>
      <c r="B809" s="1" t="n">
        <v>44833</v>
      </c>
      <c r="C809" s="1" t="n">
        <v>46103</v>
      </c>
      <c r="D809" t="inlineStr">
        <is>
          <t>KRONOBERGS LÄN</t>
        </is>
      </c>
      <c r="E809" t="inlineStr">
        <is>
          <t>ALVESTA</t>
        </is>
      </c>
      <c r="G809" t="n">
        <v>0.5</v>
      </c>
      <c r="H809" t="n">
        <v>0</v>
      </c>
      <c r="I809" t="n">
        <v>0</v>
      </c>
      <c r="J809" t="n">
        <v>0</v>
      </c>
      <c r="K809" t="n">
        <v>0</v>
      </c>
      <c r="L809" t="n">
        <v>0</v>
      </c>
      <c r="M809" t="n">
        <v>0</v>
      </c>
      <c r="N809" t="n">
        <v>0</v>
      </c>
      <c r="O809" t="n">
        <v>0</v>
      </c>
      <c r="P809" t="n">
        <v>0</v>
      </c>
      <c r="Q809" t="n">
        <v>0</v>
      </c>
      <c r="R809" s="2" t="inlineStr"/>
    </row>
    <row r="810" ht="15" customHeight="1">
      <c r="A810" t="inlineStr">
        <is>
          <t>A 30609-2021</t>
        </is>
      </c>
      <c r="B810" s="1" t="n">
        <v>44365.29659722222</v>
      </c>
      <c r="C810" s="1" t="n">
        <v>46103</v>
      </c>
      <c r="D810" t="inlineStr">
        <is>
          <t>KRONOBERGS LÄN</t>
        </is>
      </c>
      <c r="E810" t="inlineStr">
        <is>
          <t>MARKARYD</t>
        </is>
      </c>
      <c r="G810" t="n">
        <v>0.5</v>
      </c>
      <c r="H810" t="n">
        <v>0</v>
      </c>
      <c r="I810" t="n">
        <v>0</v>
      </c>
      <c r="J810" t="n">
        <v>0</v>
      </c>
      <c r="K810" t="n">
        <v>0</v>
      </c>
      <c r="L810" t="n">
        <v>0</v>
      </c>
      <c r="M810" t="n">
        <v>0</v>
      </c>
      <c r="N810" t="n">
        <v>0</v>
      </c>
      <c r="O810" t="n">
        <v>0</v>
      </c>
      <c r="P810" t="n">
        <v>0</v>
      </c>
      <c r="Q810" t="n">
        <v>0</v>
      </c>
      <c r="R810" s="2" t="inlineStr"/>
    </row>
    <row r="811" ht="15" customHeight="1">
      <c r="A811" t="inlineStr">
        <is>
          <t>A 45664-2022</t>
        </is>
      </c>
      <c r="B811" s="1" t="n">
        <v>44845</v>
      </c>
      <c r="C811" s="1" t="n">
        <v>46103</v>
      </c>
      <c r="D811" t="inlineStr">
        <is>
          <t>KRONOBERGS LÄN</t>
        </is>
      </c>
      <c r="E811" t="inlineStr">
        <is>
          <t>LJUNGBY</t>
        </is>
      </c>
      <c r="G811" t="n">
        <v>0.5</v>
      </c>
      <c r="H811" t="n">
        <v>0</v>
      </c>
      <c r="I811" t="n">
        <v>0</v>
      </c>
      <c r="J811" t="n">
        <v>0</v>
      </c>
      <c r="K811" t="n">
        <v>0</v>
      </c>
      <c r="L811" t="n">
        <v>0</v>
      </c>
      <c r="M811" t="n">
        <v>0</v>
      </c>
      <c r="N811" t="n">
        <v>0</v>
      </c>
      <c r="O811" t="n">
        <v>0</v>
      </c>
      <c r="P811" t="n">
        <v>0</v>
      </c>
      <c r="Q811" t="n">
        <v>0</v>
      </c>
      <c r="R811" s="2" t="inlineStr"/>
    </row>
    <row r="812" ht="15" customHeight="1">
      <c r="A812" t="inlineStr">
        <is>
          <t>A 36064-2022</t>
        </is>
      </c>
      <c r="B812" s="1" t="n">
        <v>44802</v>
      </c>
      <c r="C812" s="1" t="n">
        <v>46103</v>
      </c>
      <c r="D812" t="inlineStr">
        <is>
          <t>KRONOBERGS LÄN</t>
        </is>
      </c>
      <c r="E812" t="inlineStr">
        <is>
          <t>MARKARYD</t>
        </is>
      </c>
      <c r="G812" t="n">
        <v>2.2</v>
      </c>
      <c r="H812" t="n">
        <v>0</v>
      </c>
      <c r="I812" t="n">
        <v>0</v>
      </c>
      <c r="J812" t="n">
        <v>0</v>
      </c>
      <c r="K812" t="n">
        <v>0</v>
      </c>
      <c r="L812" t="n">
        <v>0</v>
      </c>
      <c r="M812" t="n">
        <v>0</v>
      </c>
      <c r="N812" t="n">
        <v>0</v>
      </c>
      <c r="O812" t="n">
        <v>0</v>
      </c>
      <c r="P812" t="n">
        <v>0</v>
      </c>
      <c r="Q812" t="n">
        <v>0</v>
      </c>
      <c r="R812" s="2" t="inlineStr"/>
    </row>
    <row r="813" ht="15" customHeight="1">
      <c r="A813" t="inlineStr">
        <is>
          <t>A 31090-2022</t>
        </is>
      </c>
      <c r="B813" s="1" t="n">
        <v>44769.61976851852</v>
      </c>
      <c r="C813" s="1" t="n">
        <v>46103</v>
      </c>
      <c r="D813" t="inlineStr">
        <is>
          <t>KRONOBERGS LÄN</t>
        </is>
      </c>
      <c r="E813" t="inlineStr">
        <is>
          <t>VÄXJÖ</t>
        </is>
      </c>
      <c r="F813" t="inlineStr">
        <is>
          <t>Sveaskog</t>
        </is>
      </c>
      <c r="G813" t="n">
        <v>4.5</v>
      </c>
      <c r="H813" t="n">
        <v>0</v>
      </c>
      <c r="I813" t="n">
        <v>0</v>
      </c>
      <c r="J813" t="n">
        <v>0</v>
      </c>
      <c r="K813" t="n">
        <v>0</v>
      </c>
      <c r="L813" t="n">
        <v>0</v>
      </c>
      <c r="M813" t="n">
        <v>0</v>
      </c>
      <c r="N813" t="n">
        <v>0</v>
      </c>
      <c r="O813" t="n">
        <v>0</v>
      </c>
      <c r="P813" t="n">
        <v>0</v>
      </c>
      <c r="Q813" t="n">
        <v>0</v>
      </c>
      <c r="R813" s="2" t="inlineStr"/>
    </row>
    <row r="814" ht="15" customHeight="1">
      <c r="A814" t="inlineStr">
        <is>
          <t>A 31091-2022</t>
        </is>
      </c>
      <c r="B814" s="1" t="n">
        <v>44769.62064814815</v>
      </c>
      <c r="C814" s="1" t="n">
        <v>46103</v>
      </c>
      <c r="D814" t="inlineStr">
        <is>
          <t>KRONOBERGS LÄN</t>
        </is>
      </c>
      <c r="E814" t="inlineStr">
        <is>
          <t>VÄXJÖ</t>
        </is>
      </c>
      <c r="F814" t="inlineStr">
        <is>
          <t>Sveaskog</t>
        </is>
      </c>
      <c r="G814" t="n">
        <v>3.1</v>
      </c>
      <c r="H814" t="n">
        <v>0</v>
      </c>
      <c r="I814" t="n">
        <v>0</v>
      </c>
      <c r="J814" t="n">
        <v>0</v>
      </c>
      <c r="K814" t="n">
        <v>0</v>
      </c>
      <c r="L814" t="n">
        <v>0</v>
      </c>
      <c r="M814" t="n">
        <v>0</v>
      </c>
      <c r="N814" t="n">
        <v>0</v>
      </c>
      <c r="O814" t="n">
        <v>0</v>
      </c>
      <c r="P814" t="n">
        <v>0</v>
      </c>
      <c r="Q814" t="n">
        <v>0</v>
      </c>
      <c r="R814" s="2" t="inlineStr"/>
    </row>
    <row r="815" ht="15" customHeight="1">
      <c r="A815" t="inlineStr">
        <is>
          <t>A 49593-2022</t>
        </is>
      </c>
      <c r="B815" s="1" t="n">
        <v>44862.38081018518</v>
      </c>
      <c r="C815" s="1" t="n">
        <v>46103</v>
      </c>
      <c r="D815" t="inlineStr">
        <is>
          <t>KRONOBERGS LÄN</t>
        </is>
      </c>
      <c r="E815" t="inlineStr">
        <is>
          <t>LJUNGBY</t>
        </is>
      </c>
      <c r="G815" t="n">
        <v>0.6</v>
      </c>
      <c r="H815" t="n">
        <v>0</v>
      </c>
      <c r="I815" t="n">
        <v>0</v>
      </c>
      <c r="J815" t="n">
        <v>0</v>
      </c>
      <c r="K815" t="n">
        <v>0</v>
      </c>
      <c r="L815" t="n">
        <v>0</v>
      </c>
      <c r="M815" t="n">
        <v>0</v>
      </c>
      <c r="N815" t="n">
        <v>0</v>
      </c>
      <c r="O815" t="n">
        <v>0</v>
      </c>
      <c r="P815" t="n">
        <v>0</v>
      </c>
      <c r="Q815" t="n">
        <v>0</v>
      </c>
      <c r="R815" s="2" t="inlineStr"/>
    </row>
    <row r="816" ht="15" customHeight="1">
      <c r="A816" t="inlineStr">
        <is>
          <t>A 25202-2021</t>
        </is>
      </c>
      <c r="B816" s="1" t="n">
        <v>44342.36506944444</v>
      </c>
      <c r="C816" s="1" t="n">
        <v>46103</v>
      </c>
      <c r="D816" t="inlineStr">
        <is>
          <t>KRONOBERGS LÄN</t>
        </is>
      </c>
      <c r="E816" t="inlineStr">
        <is>
          <t>ÄLMHULT</t>
        </is>
      </c>
      <c r="G816" t="n">
        <v>2.3</v>
      </c>
      <c r="H816" t="n">
        <v>0</v>
      </c>
      <c r="I816" t="n">
        <v>0</v>
      </c>
      <c r="J816" t="n">
        <v>0</v>
      </c>
      <c r="K816" t="n">
        <v>0</v>
      </c>
      <c r="L816" t="n">
        <v>0</v>
      </c>
      <c r="M816" t="n">
        <v>0</v>
      </c>
      <c r="N816" t="n">
        <v>0</v>
      </c>
      <c r="O816" t="n">
        <v>0</v>
      </c>
      <c r="P816" t="n">
        <v>0</v>
      </c>
      <c r="Q816" t="n">
        <v>0</v>
      </c>
      <c r="R816" s="2" t="inlineStr"/>
    </row>
    <row r="817" ht="15" customHeight="1">
      <c r="A817" t="inlineStr">
        <is>
          <t>A 20430-2021</t>
        </is>
      </c>
      <c r="B817" s="1" t="n">
        <v>44315</v>
      </c>
      <c r="C817" s="1" t="n">
        <v>46103</v>
      </c>
      <c r="D817" t="inlineStr">
        <is>
          <t>KRONOBERGS LÄN</t>
        </is>
      </c>
      <c r="E817" t="inlineStr">
        <is>
          <t>ÄLMHULT</t>
        </is>
      </c>
      <c r="G817" t="n">
        <v>3.9</v>
      </c>
      <c r="H817" t="n">
        <v>0</v>
      </c>
      <c r="I817" t="n">
        <v>0</v>
      </c>
      <c r="J817" t="n">
        <v>0</v>
      </c>
      <c r="K817" t="n">
        <v>0</v>
      </c>
      <c r="L817" t="n">
        <v>0</v>
      </c>
      <c r="M817" t="n">
        <v>0</v>
      </c>
      <c r="N817" t="n">
        <v>0</v>
      </c>
      <c r="O817" t="n">
        <v>0</v>
      </c>
      <c r="P817" t="n">
        <v>0</v>
      </c>
      <c r="Q817" t="n">
        <v>0</v>
      </c>
      <c r="R817" s="2" t="inlineStr"/>
    </row>
    <row r="818" ht="15" customHeight="1">
      <c r="A818" t="inlineStr">
        <is>
          <t>A 9970-2022</t>
        </is>
      </c>
      <c r="B818" s="1" t="n">
        <v>44621.38295138889</v>
      </c>
      <c r="C818" s="1" t="n">
        <v>46103</v>
      </c>
      <c r="D818" t="inlineStr">
        <is>
          <t>KRONOBERGS LÄN</t>
        </is>
      </c>
      <c r="E818" t="inlineStr">
        <is>
          <t>ÄLMHULT</t>
        </is>
      </c>
      <c r="G818" t="n">
        <v>0.3</v>
      </c>
      <c r="H818" t="n">
        <v>0</v>
      </c>
      <c r="I818" t="n">
        <v>0</v>
      </c>
      <c r="J818" t="n">
        <v>0</v>
      </c>
      <c r="K818" t="n">
        <v>0</v>
      </c>
      <c r="L818" t="n">
        <v>0</v>
      </c>
      <c r="M818" t="n">
        <v>0</v>
      </c>
      <c r="N818" t="n">
        <v>0</v>
      </c>
      <c r="O818" t="n">
        <v>0</v>
      </c>
      <c r="P818" t="n">
        <v>0</v>
      </c>
      <c r="Q818" t="n">
        <v>0</v>
      </c>
      <c r="R818" s="2" t="inlineStr"/>
    </row>
    <row r="819" ht="15" customHeight="1">
      <c r="A819" t="inlineStr">
        <is>
          <t>A 48273-2022</t>
        </is>
      </c>
      <c r="B819" s="1" t="n">
        <v>44858.49122685185</v>
      </c>
      <c r="C819" s="1" t="n">
        <v>46103</v>
      </c>
      <c r="D819" t="inlineStr">
        <is>
          <t>KRONOBERGS LÄN</t>
        </is>
      </c>
      <c r="E819" t="inlineStr">
        <is>
          <t>UPPVIDINGE</t>
        </is>
      </c>
      <c r="G819" t="n">
        <v>0.6</v>
      </c>
      <c r="H819" t="n">
        <v>0</v>
      </c>
      <c r="I819" t="n">
        <v>0</v>
      </c>
      <c r="J819" t="n">
        <v>0</v>
      </c>
      <c r="K819" t="n">
        <v>0</v>
      </c>
      <c r="L819" t="n">
        <v>0</v>
      </c>
      <c r="M819" t="n">
        <v>0</v>
      </c>
      <c r="N819" t="n">
        <v>0</v>
      </c>
      <c r="O819" t="n">
        <v>0</v>
      </c>
      <c r="P819" t="n">
        <v>0</v>
      </c>
      <c r="Q819" t="n">
        <v>0</v>
      </c>
      <c r="R819" s="2" t="inlineStr"/>
    </row>
    <row r="820" ht="15" customHeight="1">
      <c r="A820" t="inlineStr">
        <is>
          <t>A 40916-2021</t>
        </is>
      </c>
      <c r="B820" s="1" t="n">
        <v>44421</v>
      </c>
      <c r="C820" s="1" t="n">
        <v>46103</v>
      </c>
      <c r="D820" t="inlineStr">
        <is>
          <t>KRONOBERGS LÄN</t>
        </is>
      </c>
      <c r="E820" t="inlineStr">
        <is>
          <t>LJUNGBY</t>
        </is>
      </c>
      <c r="G820" t="n">
        <v>0.9</v>
      </c>
      <c r="H820" t="n">
        <v>0</v>
      </c>
      <c r="I820" t="n">
        <v>0</v>
      </c>
      <c r="J820" t="n">
        <v>0</v>
      </c>
      <c r="K820" t="n">
        <v>0</v>
      </c>
      <c r="L820" t="n">
        <v>0</v>
      </c>
      <c r="M820" t="n">
        <v>0</v>
      </c>
      <c r="N820" t="n">
        <v>0</v>
      </c>
      <c r="O820" t="n">
        <v>0</v>
      </c>
      <c r="P820" t="n">
        <v>0</v>
      </c>
      <c r="Q820" t="n">
        <v>0</v>
      </c>
      <c r="R820" s="2" t="inlineStr"/>
    </row>
    <row r="821" ht="15" customHeight="1">
      <c r="A821" t="inlineStr">
        <is>
          <t>A 47807-2021</t>
        </is>
      </c>
      <c r="B821" s="1" t="n">
        <v>44448.61657407408</v>
      </c>
      <c r="C821" s="1" t="n">
        <v>46103</v>
      </c>
      <c r="D821" t="inlineStr">
        <is>
          <t>KRONOBERGS LÄN</t>
        </is>
      </c>
      <c r="E821" t="inlineStr">
        <is>
          <t>TINGSRYD</t>
        </is>
      </c>
      <c r="G821" t="n">
        <v>0.7</v>
      </c>
      <c r="H821" t="n">
        <v>0</v>
      </c>
      <c r="I821" t="n">
        <v>0</v>
      </c>
      <c r="J821" t="n">
        <v>0</v>
      </c>
      <c r="K821" t="n">
        <v>0</v>
      </c>
      <c r="L821" t="n">
        <v>0</v>
      </c>
      <c r="M821" t="n">
        <v>0</v>
      </c>
      <c r="N821" t="n">
        <v>0</v>
      </c>
      <c r="O821" t="n">
        <v>0</v>
      </c>
      <c r="P821" t="n">
        <v>0</v>
      </c>
      <c r="Q821" t="n">
        <v>0</v>
      </c>
      <c r="R821" s="2" t="inlineStr"/>
    </row>
    <row r="822" ht="15" customHeight="1">
      <c r="A822" t="inlineStr">
        <is>
          <t>A 6622-2022</t>
        </is>
      </c>
      <c r="B822" s="1" t="n">
        <v>44601.75174768519</v>
      </c>
      <c r="C822" s="1" t="n">
        <v>46103</v>
      </c>
      <c r="D822" t="inlineStr">
        <is>
          <t>KRONOBERGS LÄN</t>
        </is>
      </c>
      <c r="E822" t="inlineStr">
        <is>
          <t>UPPVIDINGE</t>
        </is>
      </c>
      <c r="G822" t="n">
        <v>0.4</v>
      </c>
      <c r="H822" t="n">
        <v>0</v>
      </c>
      <c r="I822" t="n">
        <v>0</v>
      </c>
      <c r="J822" t="n">
        <v>0</v>
      </c>
      <c r="K822" t="n">
        <v>0</v>
      </c>
      <c r="L822" t="n">
        <v>0</v>
      </c>
      <c r="M822" t="n">
        <v>0</v>
      </c>
      <c r="N822" t="n">
        <v>0</v>
      </c>
      <c r="O822" t="n">
        <v>0</v>
      </c>
      <c r="P822" t="n">
        <v>0</v>
      </c>
      <c r="Q822" t="n">
        <v>0</v>
      </c>
      <c r="R822" s="2" t="inlineStr"/>
    </row>
    <row r="823" ht="15" customHeight="1">
      <c r="A823" t="inlineStr">
        <is>
          <t>A 47728-2022</t>
        </is>
      </c>
      <c r="B823" s="1" t="n">
        <v>44854.6284837963</v>
      </c>
      <c r="C823" s="1" t="n">
        <v>46103</v>
      </c>
      <c r="D823" t="inlineStr">
        <is>
          <t>KRONOBERGS LÄN</t>
        </is>
      </c>
      <c r="E823" t="inlineStr">
        <is>
          <t>ÄLMHULT</t>
        </is>
      </c>
      <c r="G823" t="n">
        <v>1.2</v>
      </c>
      <c r="H823" t="n">
        <v>0</v>
      </c>
      <c r="I823" t="n">
        <v>0</v>
      </c>
      <c r="J823" t="n">
        <v>0</v>
      </c>
      <c r="K823" t="n">
        <v>0</v>
      </c>
      <c r="L823" t="n">
        <v>0</v>
      </c>
      <c r="M823" t="n">
        <v>0</v>
      </c>
      <c r="N823" t="n">
        <v>0</v>
      </c>
      <c r="O823" t="n">
        <v>0</v>
      </c>
      <c r="P823" t="n">
        <v>0</v>
      </c>
      <c r="Q823" t="n">
        <v>0</v>
      </c>
      <c r="R823" s="2" t="inlineStr"/>
    </row>
    <row r="824" ht="15" customHeight="1">
      <c r="A824" t="inlineStr">
        <is>
          <t>A 48763-2022</t>
        </is>
      </c>
      <c r="B824" s="1" t="n">
        <v>44859.58693287037</v>
      </c>
      <c r="C824" s="1" t="n">
        <v>46103</v>
      </c>
      <c r="D824" t="inlineStr">
        <is>
          <t>KRONOBERGS LÄN</t>
        </is>
      </c>
      <c r="E824" t="inlineStr">
        <is>
          <t>ALVESTA</t>
        </is>
      </c>
      <c r="G824" t="n">
        <v>0.4</v>
      </c>
      <c r="H824" t="n">
        <v>0</v>
      </c>
      <c r="I824" t="n">
        <v>0</v>
      </c>
      <c r="J824" t="n">
        <v>0</v>
      </c>
      <c r="K824" t="n">
        <v>0</v>
      </c>
      <c r="L824" t="n">
        <v>0</v>
      </c>
      <c r="M824" t="n">
        <v>0</v>
      </c>
      <c r="N824" t="n">
        <v>0</v>
      </c>
      <c r="O824" t="n">
        <v>0</v>
      </c>
      <c r="P824" t="n">
        <v>0</v>
      </c>
      <c r="Q824" t="n">
        <v>0</v>
      </c>
      <c r="R824" s="2" t="inlineStr"/>
    </row>
    <row r="825" ht="15" customHeight="1">
      <c r="A825" t="inlineStr">
        <is>
          <t>A 3133-2022</t>
        </is>
      </c>
      <c r="B825" s="1" t="n">
        <v>44582</v>
      </c>
      <c r="C825" s="1" t="n">
        <v>46103</v>
      </c>
      <c r="D825" t="inlineStr">
        <is>
          <t>KRONOBERGS LÄN</t>
        </is>
      </c>
      <c r="E825" t="inlineStr">
        <is>
          <t>MARKARYD</t>
        </is>
      </c>
      <c r="G825" t="n">
        <v>1.2</v>
      </c>
      <c r="H825" t="n">
        <v>0</v>
      </c>
      <c r="I825" t="n">
        <v>0</v>
      </c>
      <c r="J825" t="n">
        <v>0</v>
      </c>
      <c r="K825" t="n">
        <v>0</v>
      </c>
      <c r="L825" t="n">
        <v>0</v>
      </c>
      <c r="M825" t="n">
        <v>0</v>
      </c>
      <c r="N825" t="n">
        <v>0</v>
      </c>
      <c r="O825" t="n">
        <v>0</v>
      </c>
      <c r="P825" t="n">
        <v>0</v>
      </c>
      <c r="Q825" t="n">
        <v>0</v>
      </c>
      <c r="R825" s="2" t="inlineStr"/>
    </row>
    <row r="826" ht="15" customHeight="1">
      <c r="A826" t="inlineStr">
        <is>
          <t>A 52201-2021</t>
        </is>
      </c>
      <c r="B826" s="1" t="n">
        <v>44463</v>
      </c>
      <c r="C826" s="1" t="n">
        <v>46103</v>
      </c>
      <c r="D826" t="inlineStr">
        <is>
          <t>KRONOBERGS LÄN</t>
        </is>
      </c>
      <c r="E826" t="inlineStr">
        <is>
          <t>VÄXJÖ</t>
        </is>
      </c>
      <c r="G826" t="n">
        <v>1.1</v>
      </c>
      <c r="H826" t="n">
        <v>0</v>
      </c>
      <c r="I826" t="n">
        <v>0</v>
      </c>
      <c r="J826" t="n">
        <v>0</v>
      </c>
      <c r="K826" t="n">
        <v>0</v>
      </c>
      <c r="L826" t="n">
        <v>0</v>
      </c>
      <c r="M826" t="n">
        <v>0</v>
      </c>
      <c r="N826" t="n">
        <v>0</v>
      </c>
      <c r="O826" t="n">
        <v>0</v>
      </c>
      <c r="P826" t="n">
        <v>0</v>
      </c>
      <c r="Q826" t="n">
        <v>0</v>
      </c>
      <c r="R826" s="2" t="inlineStr"/>
    </row>
    <row r="827" ht="15" customHeight="1">
      <c r="A827" t="inlineStr">
        <is>
          <t>A 59408-2021</t>
        </is>
      </c>
      <c r="B827" s="1" t="n">
        <v>44491</v>
      </c>
      <c r="C827" s="1" t="n">
        <v>46103</v>
      </c>
      <c r="D827" t="inlineStr">
        <is>
          <t>KRONOBERGS LÄN</t>
        </is>
      </c>
      <c r="E827" t="inlineStr">
        <is>
          <t>LESSEBO</t>
        </is>
      </c>
      <c r="G827" t="n">
        <v>1.8</v>
      </c>
      <c r="H827" t="n">
        <v>0</v>
      </c>
      <c r="I827" t="n">
        <v>0</v>
      </c>
      <c r="J827" t="n">
        <v>0</v>
      </c>
      <c r="K827" t="n">
        <v>0</v>
      </c>
      <c r="L827" t="n">
        <v>0</v>
      </c>
      <c r="M827" t="n">
        <v>0</v>
      </c>
      <c r="N827" t="n">
        <v>0</v>
      </c>
      <c r="O827" t="n">
        <v>0</v>
      </c>
      <c r="P827" t="n">
        <v>0</v>
      </c>
      <c r="Q827" t="n">
        <v>0</v>
      </c>
      <c r="R827" s="2" t="inlineStr"/>
    </row>
    <row r="828" ht="15" customHeight="1">
      <c r="A828" t="inlineStr">
        <is>
          <t>A 45095-2022</t>
        </is>
      </c>
      <c r="B828" s="1" t="n">
        <v>44842.46762731481</v>
      </c>
      <c r="C828" s="1" t="n">
        <v>46103</v>
      </c>
      <c r="D828" t="inlineStr">
        <is>
          <t>KRONOBERGS LÄN</t>
        </is>
      </c>
      <c r="E828" t="inlineStr">
        <is>
          <t>LESSEBO</t>
        </is>
      </c>
      <c r="F828" t="inlineStr">
        <is>
          <t>Sveaskog</t>
        </is>
      </c>
      <c r="G828" t="n">
        <v>1.5</v>
      </c>
      <c r="H828" t="n">
        <v>0</v>
      </c>
      <c r="I828" t="n">
        <v>0</v>
      </c>
      <c r="J828" t="n">
        <v>0</v>
      </c>
      <c r="K828" t="n">
        <v>0</v>
      </c>
      <c r="L828" t="n">
        <v>0</v>
      </c>
      <c r="M828" t="n">
        <v>0</v>
      </c>
      <c r="N828" t="n">
        <v>0</v>
      </c>
      <c r="O828" t="n">
        <v>0</v>
      </c>
      <c r="P828" t="n">
        <v>0</v>
      </c>
      <c r="Q828" t="n">
        <v>0</v>
      </c>
      <c r="R828" s="2" t="inlineStr"/>
    </row>
    <row r="829" ht="15" customHeight="1">
      <c r="A829" t="inlineStr">
        <is>
          <t>A 18233-2021</t>
        </is>
      </c>
      <c r="B829" s="1" t="n">
        <v>44303.48112268518</v>
      </c>
      <c r="C829" s="1" t="n">
        <v>46103</v>
      </c>
      <c r="D829" t="inlineStr">
        <is>
          <t>KRONOBERGS LÄN</t>
        </is>
      </c>
      <c r="E829" t="inlineStr">
        <is>
          <t>VÄXJÖ</t>
        </is>
      </c>
      <c r="G829" t="n">
        <v>1.1</v>
      </c>
      <c r="H829" t="n">
        <v>0</v>
      </c>
      <c r="I829" t="n">
        <v>0</v>
      </c>
      <c r="J829" t="n">
        <v>0</v>
      </c>
      <c r="K829" t="n">
        <v>0</v>
      </c>
      <c r="L829" t="n">
        <v>0</v>
      </c>
      <c r="M829" t="n">
        <v>0</v>
      </c>
      <c r="N829" t="n">
        <v>0</v>
      </c>
      <c r="O829" t="n">
        <v>0</v>
      </c>
      <c r="P829" t="n">
        <v>0</v>
      </c>
      <c r="Q829" t="n">
        <v>0</v>
      </c>
      <c r="R829" s="2" t="inlineStr"/>
    </row>
    <row r="830" ht="15" customHeight="1">
      <c r="A830" t="inlineStr">
        <is>
          <t>A 31012-2021</t>
        </is>
      </c>
      <c r="B830" s="1" t="n">
        <v>44367.09428240741</v>
      </c>
      <c r="C830" s="1" t="n">
        <v>46103</v>
      </c>
      <c r="D830" t="inlineStr">
        <is>
          <t>KRONOBERGS LÄN</t>
        </is>
      </c>
      <c r="E830" t="inlineStr">
        <is>
          <t>VÄXJÖ</t>
        </is>
      </c>
      <c r="F830" t="inlineStr">
        <is>
          <t>Övriga Aktiebolag</t>
        </is>
      </c>
      <c r="G830" t="n">
        <v>0.5</v>
      </c>
      <c r="H830" t="n">
        <v>0</v>
      </c>
      <c r="I830" t="n">
        <v>0</v>
      </c>
      <c r="J830" t="n">
        <v>0</v>
      </c>
      <c r="K830" t="n">
        <v>0</v>
      </c>
      <c r="L830" t="n">
        <v>0</v>
      </c>
      <c r="M830" t="n">
        <v>0</v>
      </c>
      <c r="N830" t="n">
        <v>0</v>
      </c>
      <c r="O830" t="n">
        <v>0</v>
      </c>
      <c r="P830" t="n">
        <v>0</v>
      </c>
      <c r="Q830" t="n">
        <v>0</v>
      </c>
      <c r="R830" s="2" t="inlineStr"/>
    </row>
    <row r="831" ht="15" customHeight="1">
      <c r="A831" t="inlineStr">
        <is>
          <t>A 54917-2021</t>
        </is>
      </c>
      <c r="B831" s="1" t="n">
        <v>44474</v>
      </c>
      <c r="C831" s="1" t="n">
        <v>46103</v>
      </c>
      <c r="D831" t="inlineStr">
        <is>
          <t>KRONOBERGS LÄN</t>
        </is>
      </c>
      <c r="E831" t="inlineStr">
        <is>
          <t>TINGSRYD</t>
        </is>
      </c>
      <c r="G831" t="n">
        <v>0.5</v>
      </c>
      <c r="H831" t="n">
        <v>0</v>
      </c>
      <c r="I831" t="n">
        <v>0</v>
      </c>
      <c r="J831" t="n">
        <v>0</v>
      </c>
      <c r="K831" t="n">
        <v>0</v>
      </c>
      <c r="L831" t="n">
        <v>0</v>
      </c>
      <c r="M831" t="n">
        <v>0</v>
      </c>
      <c r="N831" t="n">
        <v>0</v>
      </c>
      <c r="O831" t="n">
        <v>0</v>
      </c>
      <c r="P831" t="n">
        <v>0</v>
      </c>
      <c r="Q831" t="n">
        <v>0</v>
      </c>
      <c r="R831" s="2" t="inlineStr"/>
    </row>
    <row r="832" ht="15" customHeight="1">
      <c r="A832" t="inlineStr">
        <is>
          <t>A 43933-2021</t>
        </is>
      </c>
      <c r="B832" s="1" t="n">
        <v>44434.40337962963</v>
      </c>
      <c r="C832" s="1" t="n">
        <v>46103</v>
      </c>
      <c r="D832" t="inlineStr">
        <is>
          <t>KRONOBERGS LÄN</t>
        </is>
      </c>
      <c r="E832" t="inlineStr">
        <is>
          <t>ALVESTA</t>
        </is>
      </c>
      <c r="G832" t="n">
        <v>0.8</v>
      </c>
      <c r="H832" t="n">
        <v>0</v>
      </c>
      <c r="I832" t="n">
        <v>0</v>
      </c>
      <c r="J832" t="n">
        <v>0</v>
      </c>
      <c r="K832" t="n">
        <v>0</v>
      </c>
      <c r="L832" t="n">
        <v>0</v>
      </c>
      <c r="M832" t="n">
        <v>0</v>
      </c>
      <c r="N832" t="n">
        <v>0</v>
      </c>
      <c r="O832" t="n">
        <v>0</v>
      </c>
      <c r="P832" t="n">
        <v>0</v>
      </c>
      <c r="Q832" t="n">
        <v>0</v>
      </c>
      <c r="R832" s="2" t="inlineStr"/>
    </row>
    <row r="833" ht="15" customHeight="1">
      <c r="A833" t="inlineStr">
        <is>
          <t>A 13426-2022</t>
        </is>
      </c>
      <c r="B833" s="1" t="n">
        <v>44645</v>
      </c>
      <c r="C833" s="1" t="n">
        <v>46103</v>
      </c>
      <c r="D833" t="inlineStr">
        <is>
          <t>KRONOBERGS LÄN</t>
        </is>
      </c>
      <c r="E833" t="inlineStr">
        <is>
          <t>VÄXJÖ</t>
        </is>
      </c>
      <c r="G833" t="n">
        <v>0.9</v>
      </c>
      <c r="H833" t="n">
        <v>0</v>
      </c>
      <c r="I833" t="n">
        <v>0</v>
      </c>
      <c r="J833" t="n">
        <v>0</v>
      </c>
      <c r="K833" t="n">
        <v>0</v>
      </c>
      <c r="L833" t="n">
        <v>0</v>
      </c>
      <c r="M833" t="n">
        <v>0</v>
      </c>
      <c r="N833" t="n">
        <v>0</v>
      </c>
      <c r="O833" t="n">
        <v>0</v>
      </c>
      <c r="P833" t="n">
        <v>0</v>
      </c>
      <c r="Q833" t="n">
        <v>0</v>
      </c>
      <c r="R833" s="2" t="inlineStr"/>
    </row>
    <row r="834" ht="15" customHeight="1">
      <c r="A834" t="inlineStr">
        <is>
          <t>A 26695-2022</t>
        </is>
      </c>
      <c r="B834" s="1" t="n">
        <v>44739.71146990741</v>
      </c>
      <c r="C834" s="1" t="n">
        <v>46103</v>
      </c>
      <c r="D834" t="inlineStr">
        <is>
          <t>KRONOBERGS LÄN</t>
        </is>
      </c>
      <c r="E834" t="inlineStr">
        <is>
          <t>ALVESTA</t>
        </is>
      </c>
      <c r="G834" t="n">
        <v>0.4</v>
      </c>
      <c r="H834" t="n">
        <v>0</v>
      </c>
      <c r="I834" t="n">
        <v>0</v>
      </c>
      <c r="J834" t="n">
        <v>0</v>
      </c>
      <c r="K834" t="n">
        <v>0</v>
      </c>
      <c r="L834" t="n">
        <v>0</v>
      </c>
      <c r="M834" t="n">
        <v>0</v>
      </c>
      <c r="N834" t="n">
        <v>0</v>
      </c>
      <c r="O834" t="n">
        <v>0</v>
      </c>
      <c r="P834" t="n">
        <v>0</v>
      </c>
      <c r="Q834" t="n">
        <v>0</v>
      </c>
      <c r="R834" s="2" t="inlineStr"/>
    </row>
    <row r="835" ht="15" customHeight="1">
      <c r="A835" t="inlineStr">
        <is>
          <t>A 59719-2021</t>
        </is>
      </c>
      <c r="B835" s="1" t="n">
        <v>44494</v>
      </c>
      <c r="C835" s="1" t="n">
        <v>46103</v>
      </c>
      <c r="D835" t="inlineStr">
        <is>
          <t>KRONOBERGS LÄN</t>
        </is>
      </c>
      <c r="E835" t="inlineStr">
        <is>
          <t>TINGSRYD</t>
        </is>
      </c>
      <c r="G835" t="n">
        <v>1.1</v>
      </c>
      <c r="H835" t="n">
        <v>0</v>
      </c>
      <c r="I835" t="n">
        <v>0</v>
      </c>
      <c r="J835" t="n">
        <v>0</v>
      </c>
      <c r="K835" t="n">
        <v>0</v>
      </c>
      <c r="L835" t="n">
        <v>0</v>
      </c>
      <c r="M835" t="n">
        <v>0</v>
      </c>
      <c r="N835" t="n">
        <v>0</v>
      </c>
      <c r="O835" t="n">
        <v>0</v>
      </c>
      <c r="P835" t="n">
        <v>0</v>
      </c>
      <c r="Q835" t="n">
        <v>0</v>
      </c>
      <c r="R835" s="2" t="inlineStr"/>
    </row>
    <row r="836" ht="15" customHeight="1">
      <c r="A836" t="inlineStr">
        <is>
          <t>A 29958-2021</t>
        </is>
      </c>
      <c r="B836" s="1" t="n">
        <v>44363</v>
      </c>
      <c r="C836" s="1" t="n">
        <v>46103</v>
      </c>
      <c r="D836" t="inlineStr">
        <is>
          <t>KRONOBERGS LÄN</t>
        </is>
      </c>
      <c r="E836" t="inlineStr">
        <is>
          <t>LJUNGBY</t>
        </is>
      </c>
      <c r="G836" t="n">
        <v>2.8</v>
      </c>
      <c r="H836" t="n">
        <v>0</v>
      </c>
      <c r="I836" t="n">
        <v>0</v>
      </c>
      <c r="J836" t="n">
        <v>0</v>
      </c>
      <c r="K836" t="n">
        <v>0</v>
      </c>
      <c r="L836" t="n">
        <v>0</v>
      </c>
      <c r="M836" t="n">
        <v>0</v>
      </c>
      <c r="N836" t="n">
        <v>0</v>
      </c>
      <c r="O836" t="n">
        <v>0</v>
      </c>
      <c r="P836" t="n">
        <v>0</v>
      </c>
      <c r="Q836" t="n">
        <v>0</v>
      </c>
      <c r="R836" s="2" t="inlineStr"/>
    </row>
    <row r="837" ht="15" customHeight="1">
      <c r="A837" t="inlineStr">
        <is>
          <t>A 32222-2022</t>
        </is>
      </c>
      <c r="B837" s="1" t="n">
        <v>44781.45118055555</v>
      </c>
      <c r="C837" s="1" t="n">
        <v>46103</v>
      </c>
      <c r="D837" t="inlineStr">
        <is>
          <t>KRONOBERGS LÄN</t>
        </is>
      </c>
      <c r="E837" t="inlineStr">
        <is>
          <t>VÄXJÖ</t>
        </is>
      </c>
      <c r="G837" t="n">
        <v>2</v>
      </c>
      <c r="H837" t="n">
        <v>0</v>
      </c>
      <c r="I837" t="n">
        <v>0</v>
      </c>
      <c r="J837" t="n">
        <v>0</v>
      </c>
      <c r="K837" t="n">
        <v>0</v>
      </c>
      <c r="L837" t="n">
        <v>0</v>
      </c>
      <c r="M837" t="n">
        <v>0</v>
      </c>
      <c r="N837" t="n">
        <v>0</v>
      </c>
      <c r="O837" t="n">
        <v>0</v>
      </c>
      <c r="P837" t="n">
        <v>0</v>
      </c>
      <c r="Q837" t="n">
        <v>0</v>
      </c>
      <c r="R837" s="2" t="inlineStr"/>
    </row>
    <row r="838" ht="15" customHeight="1">
      <c r="A838" t="inlineStr">
        <is>
          <t>A 21867-2022</t>
        </is>
      </c>
      <c r="B838" s="1" t="n">
        <v>44711.38366898148</v>
      </c>
      <c r="C838" s="1" t="n">
        <v>46103</v>
      </c>
      <c r="D838" t="inlineStr">
        <is>
          <t>KRONOBERGS LÄN</t>
        </is>
      </c>
      <c r="E838" t="inlineStr">
        <is>
          <t>UPPVIDINGE</t>
        </is>
      </c>
      <c r="G838" t="n">
        <v>1.3</v>
      </c>
      <c r="H838" t="n">
        <v>0</v>
      </c>
      <c r="I838" t="n">
        <v>0</v>
      </c>
      <c r="J838" t="n">
        <v>0</v>
      </c>
      <c r="K838" t="n">
        <v>0</v>
      </c>
      <c r="L838" t="n">
        <v>0</v>
      </c>
      <c r="M838" t="n">
        <v>0</v>
      </c>
      <c r="N838" t="n">
        <v>0</v>
      </c>
      <c r="O838" t="n">
        <v>0</v>
      </c>
      <c r="P838" t="n">
        <v>0</v>
      </c>
      <c r="Q838" t="n">
        <v>0</v>
      </c>
      <c r="R838" s="2" t="inlineStr"/>
    </row>
    <row r="839" ht="15" customHeight="1">
      <c r="A839" t="inlineStr">
        <is>
          <t>A 47747-2022</t>
        </is>
      </c>
      <c r="B839" s="1" t="n">
        <v>44854</v>
      </c>
      <c r="C839" s="1" t="n">
        <v>46103</v>
      </c>
      <c r="D839" t="inlineStr">
        <is>
          <t>KRONOBERGS LÄN</t>
        </is>
      </c>
      <c r="E839" t="inlineStr">
        <is>
          <t>ÄLMHULT</t>
        </is>
      </c>
      <c r="G839" t="n">
        <v>0.8</v>
      </c>
      <c r="H839" t="n">
        <v>0</v>
      </c>
      <c r="I839" t="n">
        <v>0</v>
      </c>
      <c r="J839" t="n">
        <v>0</v>
      </c>
      <c r="K839" t="n">
        <v>0</v>
      </c>
      <c r="L839" t="n">
        <v>0</v>
      </c>
      <c r="M839" t="n">
        <v>0</v>
      </c>
      <c r="N839" t="n">
        <v>0</v>
      </c>
      <c r="O839" t="n">
        <v>0</v>
      </c>
      <c r="P839" t="n">
        <v>0</v>
      </c>
      <c r="Q839" t="n">
        <v>0</v>
      </c>
      <c r="R839" s="2" t="inlineStr"/>
    </row>
    <row r="840" ht="15" customHeight="1">
      <c r="A840" t="inlineStr">
        <is>
          <t>A 30763-2022</t>
        </is>
      </c>
      <c r="B840" s="1" t="n">
        <v>44764</v>
      </c>
      <c r="C840" s="1" t="n">
        <v>46103</v>
      </c>
      <c r="D840" t="inlineStr">
        <is>
          <t>KRONOBERGS LÄN</t>
        </is>
      </c>
      <c r="E840" t="inlineStr">
        <is>
          <t>LJUNGBY</t>
        </is>
      </c>
      <c r="G840" t="n">
        <v>1.5</v>
      </c>
      <c r="H840" t="n">
        <v>0</v>
      </c>
      <c r="I840" t="n">
        <v>0</v>
      </c>
      <c r="J840" t="n">
        <v>0</v>
      </c>
      <c r="K840" t="n">
        <v>0</v>
      </c>
      <c r="L840" t="n">
        <v>0</v>
      </c>
      <c r="M840" t="n">
        <v>0</v>
      </c>
      <c r="N840" t="n">
        <v>0</v>
      </c>
      <c r="O840" t="n">
        <v>0</v>
      </c>
      <c r="P840" t="n">
        <v>0</v>
      </c>
      <c r="Q840" t="n">
        <v>0</v>
      </c>
      <c r="R840" s="2" t="inlineStr"/>
    </row>
    <row r="841" ht="15" customHeight="1">
      <c r="A841" t="inlineStr">
        <is>
          <t>A 63820-2021</t>
        </is>
      </c>
      <c r="B841" s="1" t="n">
        <v>44509.57108796296</v>
      </c>
      <c r="C841" s="1" t="n">
        <v>46103</v>
      </c>
      <c r="D841" t="inlineStr">
        <is>
          <t>KRONOBERGS LÄN</t>
        </is>
      </c>
      <c r="E841" t="inlineStr">
        <is>
          <t>TINGSRYD</t>
        </is>
      </c>
      <c r="G841" t="n">
        <v>0.8</v>
      </c>
      <c r="H841" t="n">
        <v>0</v>
      </c>
      <c r="I841" t="n">
        <v>0</v>
      </c>
      <c r="J841" t="n">
        <v>0</v>
      </c>
      <c r="K841" t="n">
        <v>0</v>
      </c>
      <c r="L841" t="n">
        <v>0</v>
      </c>
      <c r="M841" t="n">
        <v>0</v>
      </c>
      <c r="N841" t="n">
        <v>0</v>
      </c>
      <c r="O841" t="n">
        <v>0</v>
      </c>
      <c r="P841" t="n">
        <v>0</v>
      </c>
      <c r="Q841" t="n">
        <v>0</v>
      </c>
      <c r="R841" s="2" t="inlineStr"/>
    </row>
    <row r="842" ht="15" customHeight="1">
      <c r="A842" t="inlineStr">
        <is>
          <t>A 17727-2022</t>
        </is>
      </c>
      <c r="B842" s="1" t="n">
        <v>44680.80325231481</v>
      </c>
      <c r="C842" s="1" t="n">
        <v>46103</v>
      </c>
      <c r="D842" t="inlineStr">
        <is>
          <t>KRONOBERGS LÄN</t>
        </is>
      </c>
      <c r="E842" t="inlineStr">
        <is>
          <t>ÄLMHULT</t>
        </is>
      </c>
      <c r="G842" t="n">
        <v>1</v>
      </c>
      <c r="H842" t="n">
        <v>0</v>
      </c>
      <c r="I842" t="n">
        <v>0</v>
      </c>
      <c r="J842" t="n">
        <v>0</v>
      </c>
      <c r="K842" t="n">
        <v>0</v>
      </c>
      <c r="L842" t="n">
        <v>0</v>
      </c>
      <c r="M842" t="n">
        <v>0</v>
      </c>
      <c r="N842" t="n">
        <v>0</v>
      </c>
      <c r="O842" t="n">
        <v>0</v>
      </c>
      <c r="P842" t="n">
        <v>0</v>
      </c>
      <c r="Q842" t="n">
        <v>0</v>
      </c>
      <c r="R842" s="2" t="inlineStr"/>
    </row>
    <row r="843" ht="15" customHeight="1">
      <c r="A843" t="inlineStr">
        <is>
          <t>A 65372-2021</t>
        </is>
      </c>
      <c r="B843" s="1" t="n">
        <v>44515.6831712963</v>
      </c>
      <c r="C843" s="1" t="n">
        <v>46103</v>
      </c>
      <c r="D843" t="inlineStr">
        <is>
          <t>KRONOBERGS LÄN</t>
        </is>
      </c>
      <c r="E843" t="inlineStr">
        <is>
          <t>ALVESTA</t>
        </is>
      </c>
      <c r="G843" t="n">
        <v>0.8</v>
      </c>
      <c r="H843" t="n">
        <v>0</v>
      </c>
      <c r="I843" t="n">
        <v>0</v>
      </c>
      <c r="J843" t="n">
        <v>0</v>
      </c>
      <c r="K843" t="n">
        <v>0</v>
      </c>
      <c r="L843" t="n">
        <v>0</v>
      </c>
      <c r="M843" t="n">
        <v>0</v>
      </c>
      <c r="N843" t="n">
        <v>0</v>
      </c>
      <c r="O843" t="n">
        <v>0</v>
      </c>
      <c r="P843" t="n">
        <v>0</v>
      </c>
      <c r="Q843" t="n">
        <v>0</v>
      </c>
      <c r="R843" s="2" t="inlineStr"/>
    </row>
    <row r="844" ht="15" customHeight="1">
      <c r="A844" t="inlineStr">
        <is>
          <t>A 26376-2022</t>
        </is>
      </c>
      <c r="B844" s="1" t="n">
        <v>44735.66392361111</v>
      </c>
      <c r="C844" s="1" t="n">
        <v>46103</v>
      </c>
      <c r="D844" t="inlineStr">
        <is>
          <t>KRONOBERGS LÄN</t>
        </is>
      </c>
      <c r="E844" t="inlineStr">
        <is>
          <t>ALVESTA</t>
        </is>
      </c>
      <c r="G844" t="n">
        <v>0.6</v>
      </c>
      <c r="H844" t="n">
        <v>0</v>
      </c>
      <c r="I844" t="n">
        <v>0</v>
      </c>
      <c r="J844" t="n">
        <v>0</v>
      </c>
      <c r="K844" t="n">
        <v>0</v>
      </c>
      <c r="L844" t="n">
        <v>0</v>
      </c>
      <c r="M844" t="n">
        <v>0</v>
      </c>
      <c r="N844" t="n">
        <v>0</v>
      </c>
      <c r="O844" t="n">
        <v>0</v>
      </c>
      <c r="P844" t="n">
        <v>0</v>
      </c>
      <c r="Q844" t="n">
        <v>0</v>
      </c>
      <c r="R844" s="2" t="inlineStr"/>
    </row>
    <row r="845" ht="15" customHeight="1">
      <c r="A845" t="inlineStr">
        <is>
          <t>A 66829-2021</t>
        </is>
      </c>
      <c r="B845" s="1" t="n">
        <v>44522.40835648148</v>
      </c>
      <c r="C845" s="1" t="n">
        <v>46103</v>
      </c>
      <c r="D845" t="inlineStr">
        <is>
          <t>KRONOBERGS LÄN</t>
        </is>
      </c>
      <c r="E845" t="inlineStr">
        <is>
          <t>TINGSRYD</t>
        </is>
      </c>
      <c r="G845" t="n">
        <v>1.8</v>
      </c>
      <c r="H845" t="n">
        <v>0</v>
      </c>
      <c r="I845" t="n">
        <v>0</v>
      </c>
      <c r="J845" t="n">
        <v>0</v>
      </c>
      <c r="K845" t="n">
        <v>0</v>
      </c>
      <c r="L845" t="n">
        <v>0</v>
      </c>
      <c r="M845" t="n">
        <v>0</v>
      </c>
      <c r="N845" t="n">
        <v>0</v>
      </c>
      <c r="O845" t="n">
        <v>0</v>
      </c>
      <c r="P845" t="n">
        <v>0</v>
      </c>
      <c r="Q845" t="n">
        <v>0</v>
      </c>
      <c r="R845" s="2" t="inlineStr"/>
    </row>
    <row r="846" ht="15" customHeight="1">
      <c r="A846" t="inlineStr">
        <is>
          <t>A 67506-2021</t>
        </is>
      </c>
      <c r="B846" s="1" t="n">
        <v>44524</v>
      </c>
      <c r="C846" s="1" t="n">
        <v>46103</v>
      </c>
      <c r="D846" t="inlineStr">
        <is>
          <t>KRONOBERGS LÄN</t>
        </is>
      </c>
      <c r="E846" t="inlineStr">
        <is>
          <t>ÄLMHULT</t>
        </is>
      </c>
      <c r="G846" t="n">
        <v>0.5</v>
      </c>
      <c r="H846" t="n">
        <v>0</v>
      </c>
      <c r="I846" t="n">
        <v>0</v>
      </c>
      <c r="J846" t="n">
        <v>0</v>
      </c>
      <c r="K846" t="n">
        <v>0</v>
      </c>
      <c r="L846" t="n">
        <v>0</v>
      </c>
      <c r="M846" t="n">
        <v>0</v>
      </c>
      <c r="N846" t="n">
        <v>0</v>
      </c>
      <c r="O846" t="n">
        <v>0</v>
      </c>
      <c r="P846" t="n">
        <v>0</v>
      </c>
      <c r="Q846" t="n">
        <v>0</v>
      </c>
      <c r="R846" s="2" t="inlineStr"/>
    </row>
    <row r="847" ht="15" customHeight="1">
      <c r="A847" t="inlineStr">
        <is>
          <t>A 21014-2022</t>
        </is>
      </c>
      <c r="B847" s="1" t="n">
        <v>44704.36118055556</v>
      </c>
      <c r="C847" s="1" t="n">
        <v>46103</v>
      </c>
      <c r="D847" t="inlineStr">
        <is>
          <t>KRONOBERGS LÄN</t>
        </is>
      </c>
      <c r="E847" t="inlineStr">
        <is>
          <t>VÄXJÖ</t>
        </is>
      </c>
      <c r="G847" t="n">
        <v>0.4</v>
      </c>
      <c r="H847" t="n">
        <v>0</v>
      </c>
      <c r="I847" t="n">
        <v>0</v>
      </c>
      <c r="J847" t="n">
        <v>0</v>
      </c>
      <c r="K847" t="n">
        <v>0</v>
      </c>
      <c r="L847" t="n">
        <v>0</v>
      </c>
      <c r="M847" t="n">
        <v>0</v>
      </c>
      <c r="N847" t="n">
        <v>0</v>
      </c>
      <c r="O847" t="n">
        <v>0</v>
      </c>
      <c r="P847" t="n">
        <v>0</v>
      </c>
      <c r="Q847" t="n">
        <v>0</v>
      </c>
      <c r="R847" s="2" t="inlineStr"/>
    </row>
    <row r="848" ht="15" customHeight="1">
      <c r="A848" t="inlineStr">
        <is>
          <t>A 59667-2021</t>
        </is>
      </c>
      <c r="B848" s="1" t="n">
        <v>44494</v>
      </c>
      <c r="C848" s="1" t="n">
        <v>46103</v>
      </c>
      <c r="D848" t="inlineStr">
        <is>
          <t>KRONOBERGS LÄN</t>
        </is>
      </c>
      <c r="E848" t="inlineStr">
        <is>
          <t>VÄXJÖ</t>
        </is>
      </c>
      <c r="G848" t="n">
        <v>5.4</v>
      </c>
      <c r="H848" t="n">
        <v>0</v>
      </c>
      <c r="I848" t="n">
        <v>0</v>
      </c>
      <c r="J848" t="n">
        <v>0</v>
      </c>
      <c r="K848" t="n">
        <v>0</v>
      </c>
      <c r="L848" t="n">
        <v>0</v>
      </c>
      <c r="M848" t="n">
        <v>0</v>
      </c>
      <c r="N848" t="n">
        <v>0</v>
      </c>
      <c r="O848" t="n">
        <v>0</v>
      </c>
      <c r="P848" t="n">
        <v>0</v>
      </c>
      <c r="Q848" t="n">
        <v>0</v>
      </c>
      <c r="R848" s="2" t="inlineStr"/>
    </row>
    <row r="849" ht="15" customHeight="1">
      <c r="A849" t="inlineStr">
        <is>
          <t>A 66862-2021</t>
        </is>
      </c>
      <c r="B849" s="1" t="n">
        <v>44522.45008101852</v>
      </c>
      <c r="C849" s="1" t="n">
        <v>46103</v>
      </c>
      <c r="D849" t="inlineStr">
        <is>
          <t>KRONOBERGS LÄN</t>
        </is>
      </c>
      <c r="E849" t="inlineStr">
        <is>
          <t>VÄXJÖ</t>
        </is>
      </c>
      <c r="G849" t="n">
        <v>1.4</v>
      </c>
      <c r="H849" t="n">
        <v>0</v>
      </c>
      <c r="I849" t="n">
        <v>0</v>
      </c>
      <c r="J849" t="n">
        <v>0</v>
      </c>
      <c r="K849" t="n">
        <v>0</v>
      </c>
      <c r="L849" t="n">
        <v>0</v>
      </c>
      <c r="M849" t="n">
        <v>0</v>
      </c>
      <c r="N849" t="n">
        <v>0</v>
      </c>
      <c r="O849" t="n">
        <v>0</v>
      </c>
      <c r="P849" t="n">
        <v>0</v>
      </c>
      <c r="Q849" t="n">
        <v>0</v>
      </c>
      <c r="R849" s="2" t="inlineStr"/>
    </row>
    <row r="850" ht="15" customHeight="1">
      <c r="A850" t="inlineStr">
        <is>
          <t>A 66863-2021</t>
        </is>
      </c>
      <c r="B850" s="1" t="n">
        <v>44522</v>
      </c>
      <c r="C850" s="1" t="n">
        <v>46103</v>
      </c>
      <c r="D850" t="inlineStr">
        <is>
          <t>KRONOBERGS LÄN</t>
        </is>
      </c>
      <c r="E850" t="inlineStr">
        <is>
          <t>VÄXJÖ</t>
        </is>
      </c>
      <c r="G850" t="n">
        <v>2.9</v>
      </c>
      <c r="H850" t="n">
        <v>0</v>
      </c>
      <c r="I850" t="n">
        <v>0</v>
      </c>
      <c r="J850" t="n">
        <v>0</v>
      </c>
      <c r="K850" t="n">
        <v>0</v>
      </c>
      <c r="L850" t="n">
        <v>0</v>
      </c>
      <c r="M850" t="n">
        <v>0</v>
      </c>
      <c r="N850" t="n">
        <v>0</v>
      </c>
      <c r="O850" t="n">
        <v>0</v>
      </c>
      <c r="P850" t="n">
        <v>0</v>
      </c>
      <c r="Q850" t="n">
        <v>0</v>
      </c>
      <c r="R850" s="2" t="inlineStr"/>
    </row>
    <row r="851" ht="15" customHeight="1">
      <c r="A851" t="inlineStr">
        <is>
          <t>A 66981-2021</t>
        </is>
      </c>
      <c r="B851" s="1" t="n">
        <v>44522.60883101852</v>
      </c>
      <c r="C851" s="1" t="n">
        <v>46103</v>
      </c>
      <c r="D851" t="inlineStr">
        <is>
          <t>KRONOBERGS LÄN</t>
        </is>
      </c>
      <c r="E851" t="inlineStr">
        <is>
          <t>UPPVIDINGE</t>
        </is>
      </c>
      <c r="G851" t="n">
        <v>0.6</v>
      </c>
      <c r="H851" t="n">
        <v>0</v>
      </c>
      <c r="I851" t="n">
        <v>0</v>
      </c>
      <c r="J851" t="n">
        <v>0</v>
      </c>
      <c r="K851" t="n">
        <v>0</v>
      </c>
      <c r="L851" t="n">
        <v>0</v>
      </c>
      <c r="M851" t="n">
        <v>0</v>
      </c>
      <c r="N851" t="n">
        <v>0</v>
      </c>
      <c r="O851" t="n">
        <v>0</v>
      </c>
      <c r="P851" t="n">
        <v>0</v>
      </c>
      <c r="Q851" t="n">
        <v>0</v>
      </c>
      <c r="R851" s="2" t="inlineStr"/>
    </row>
    <row r="852" ht="15" customHeight="1">
      <c r="A852" t="inlineStr">
        <is>
          <t>A 26470-2022</t>
        </is>
      </c>
      <c r="B852" s="1" t="n">
        <v>44739.3564699074</v>
      </c>
      <c r="C852" s="1" t="n">
        <v>46103</v>
      </c>
      <c r="D852" t="inlineStr">
        <is>
          <t>KRONOBERGS LÄN</t>
        </is>
      </c>
      <c r="E852" t="inlineStr">
        <is>
          <t>LJUNGBY</t>
        </is>
      </c>
      <c r="G852" t="n">
        <v>1.6</v>
      </c>
      <c r="H852" t="n">
        <v>0</v>
      </c>
      <c r="I852" t="n">
        <v>0</v>
      </c>
      <c r="J852" t="n">
        <v>0</v>
      </c>
      <c r="K852" t="n">
        <v>0</v>
      </c>
      <c r="L852" t="n">
        <v>0</v>
      </c>
      <c r="M852" t="n">
        <v>0</v>
      </c>
      <c r="N852" t="n">
        <v>0</v>
      </c>
      <c r="O852" t="n">
        <v>0</v>
      </c>
      <c r="P852" t="n">
        <v>0</v>
      </c>
      <c r="Q852" t="n">
        <v>0</v>
      </c>
      <c r="R852" s="2" t="inlineStr"/>
    </row>
    <row r="853" ht="15" customHeight="1">
      <c r="A853" t="inlineStr">
        <is>
          <t>A 69951-2021</t>
        </is>
      </c>
      <c r="B853" s="1" t="n">
        <v>44533.36805555555</v>
      </c>
      <c r="C853" s="1" t="n">
        <v>46103</v>
      </c>
      <c r="D853" t="inlineStr">
        <is>
          <t>KRONOBERGS LÄN</t>
        </is>
      </c>
      <c r="E853" t="inlineStr">
        <is>
          <t>TINGSRYD</t>
        </is>
      </c>
      <c r="G853" t="n">
        <v>1.7</v>
      </c>
      <c r="H853" t="n">
        <v>0</v>
      </c>
      <c r="I853" t="n">
        <v>0</v>
      </c>
      <c r="J853" t="n">
        <v>0</v>
      </c>
      <c r="K853" t="n">
        <v>0</v>
      </c>
      <c r="L853" t="n">
        <v>0</v>
      </c>
      <c r="M853" t="n">
        <v>0</v>
      </c>
      <c r="N853" t="n">
        <v>0</v>
      </c>
      <c r="O853" t="n">
        <v>0</v>
      </c>
      <c r="P853" t="n">
        <v>0</v>
      </c>
      <c r="Q853" t="n">
        <v>0</v>
      </c>
      <c r="R853" s="2" t="inlineStr"/>
    </row>
    <row r="854" ht="15" customHeight="1">
      <c r="A854" t="inlineStr">
        <is>
          <t>A 23830-2022</t>
        </is>
      </c>
      <c r="B854" s="1" t="n">
        <v>44722.49434027778</v>
      </c>
      <c r="C854" s="1" t="n">
        <v>46103</v>
      </c>
      <c r="D854" t="inlineStr">
        <is>
          <t>KRONOBERGS LÄN</t>
        </is>
      </c>
      <c r="E854" t="inlineStr">
        <is>
          <t>TINGSRYD</t>
        </is>
      </c>
      <c r="G854" t="n">
        <v>6.8</v>
      </c>
      <c r="H854" t="n">
        <v>0</v>
      </c>
      <c r="I854" t="n">
        <v>0</v>
      </c>
      <c r="J854" t="n">
        <v>0</v>
      </c>
      <c r="K854" t="n">
        <v>0</v>
      </c>
      <c r="L854" t="n">
        <v>0</v>
      </c>
      <c r="M854" t="n">
        <v>0</v>
      </c>
      <c r="N854" t="n">
        <v>0</v>
      </c>
      <c r="O854" t="n">
        <v>0</v>
      </c>
      <c r="P854" t="n">
        <v>0</v>
      </c>
      <c r="Q854" t="n">
        <v>0</v>
      </c>
      <c r="R854" s="2" t="inlineStr"/>
    </row>
    <row r="855" ht="15" customHeight="1">
      <c r="A855" t="inlineStr">
        <is>
          <t>A 53028-2021</t>
        </is>
      </c>
      <c r="B855" s="1" t="n">
        <v>44467</v>
      </c>
      <c r="C855" s="1" t="n">
        <v>46103</v>
      </c>
      <c r="D855" t="inlineStr">
        <is>
          <t>KRONOBERGS LÄN</t>
        </is>
      </c>
      <c r="E855" t="inlineStr">
        <is>
          <t>ALVESTA</t>
        </is>
      </c>
      <c r="G855" t="n">
        <v>2.5</v>
      </c>
      <c r="H855" t="n">
        <v>0</v>
      </c>
      <c r="I855" t="n">
        <v>0</v>
      </c>
      <c r="J855" t="n">
        <v>0</v>
      </c>
      <c r="K855" t="n">
        <v>0</v>
      </c>
      <c r="L855" t="n">
        <v>0</v>
      </c>
      <c r="M855" t="n">
        <v>0</v>
      </c>
      <c r="N855" t="n">
        <v>0</v>
      </c>
      <c r="O855" t="n">
        <v>0</v>
      </c>
      <c r="P855" t="n">
        <v>0</v>
      </c>
      <c r="Q855" t="n">
        <v>0</v>
      </c>
      <c r="R855" s="2" t="inlineStr"/>
    </row>
    <row r="856" ht="15" customHeight="1">
      <c r="A856" t="inlineStr">
        <is>
          <t>A 31736-2021</t>
        </is>
      </c>
      <c r="B856" s="1" t="n">
        <v>44369.93123842592</v>
      </c>
      <c r="C856" s="1" t="n">
        <v>46103</v>
      </c>
      <c r="D856" t="inlineStr">
        <is>
          <t>KRONOBERGS LÄN</t>
        </is>
      </c>
      <c r="E856" t="inlineStr">
        <is>
          <t>LJUNGBY</t>
        </is>
      </c>
      <c r="G856" t="n">
        <v>0.4</v>
      </c>
      <c r="H856" t="n">
        <v>0</v>
      </c>
      <c r="I856" t="n">
        <v>0</v>
      </c>
      <c r="J856" t="n">
        <v>0</v>
      </c>
      <c r="K856" t="n">
        <v>0</v>
      </c>
      <c r="L856" t="n">
        <v>0</v>
      </c>
      <c r="M856" t="n">
        <v>0</v>
      </c>
      <c r="N856" t="n">
        <v>0</v>
      </c>
      <c r="O856" t="n">
        <v>0</v>
      </c>
      <c r="P856" t="n">
        <v>0</v>
      </c>
      <c r="Q856" t="n">
        <v>0</v>
      </c>
      <c r="R856" s="2" t="inlineStr"/>
    </row>
    <row r="857" ht="15" customHeight="1">
      <c r="A857" t="inlineStr">
        <is>
          <t>A 39755-2021</t>
        </is>
      </c>
      <c r="B857" s="1" t="n">
        <v>44417</v>
      </c>
      <c r="C857" s="1" t="n">
        <v>46103</v>
      </c>
      <c r="D857" t="inlineStr">
        <is>
          <t>KRONOBERGS LÄN</t>
        </is>
      </c>
      <c r="E857" t="inlineStr">
        <is>
          <t>TINGSRYD</t>
        </is>
      </c>
      <c r="G857" t="n">
        <v>0.4</v>
      </c>
      <c r="H857" t="n">
        <v>0</v>
      </c>
      <c r="I857" t="n">
        <v>0</v>
      </c>
      <c r="J857" t="n">
        <v>0</v>
      </c>
      <c r="K857" t="n">
        <v>0</v>
      </c>
      <c r="L857" t="n">
        <v>0</v>
      </c>
      <c r="M857" t="n">
        <v>0</v>
      </c>
      <c r="N857" t="n">
        <v>0</v>
      </c>
      <c r="O857" t="n">
        <v>0</v>
      </c>
      <c r="P857" t="n">
        <v>0</v>
      </c>
      <c r="Q857" t="n">
        <v>0</v>
      </c>
      <c r="R857" s="2" t="inlineStr"/>
    </row>
    <row r="858" ht="15" customHeight="1">
      <c r="A858" t="inlineStr">
        <is>
          <t>A 46078-2021</t>
        </is>
      </c>
      <c r="B858" s="1" t="n">
        <v>44441</v>
      </c>
      <c r="C858" s="1" t="n">
        <v>46103</v>
      </c>
      <c r="D858" t="inlineStr">
        <is>
          <t>KRONOBERGS LÄN</t>
        </is>
      </c>
      <c r="E858" t="inlineStr">
        <is>
          <t>TINGSRYD</t>
        </is>
      </c>
      <c r="G858" t="n">
        <v>0.9</v>
      </c>
      <c r="H858" t="n">
        <v>0</v>
      </c>
      <c r="I858" t="n">
        <v>0</v>
      </c>
      <c r="J858" t="n">
        <v>0</v>
      </c>
      <c r="K858" t="n">
        <v>0</v>
      </c>
      <c r="L858" t="n">
        <v>0</v>
      </c>
      <c r="M858" t="n">
        <v>0</v>
      </c>
      <c r="N858" t="n">
        <v>0</v>
      </c>
      <c r="O858" t="n">
        <v>0</v>
      </c>
      <c r="P858" t="n">
        <v>0</v>
      </c>
      <c r="Q858" t="n">
        <v>0</v>
      </c>
      <c r="R858" s="2" t="inlineStr"/>
    </row>
    <row r="859" ht="15" customHeight="1">
      <c r="A859" t="inlineStr">
        <is>
          <t>A 69842-2021</t>
        </is>
      </c>
      <c r="B859" s="1" t="n">
        <v>44532.6606712963</v>
      </c>
      <c r="C859" s="1" t="n">
        <v>46103</v>
      </c>
      <c r="D859" t="inlineStr">
        <is>
          <t>KRONOBERGS LÄN</t>
        </is>
      </c>
      <c r="E859" t="inlineStr">
        <is>
          <t>VÄXJÖ</t>
        </is>
      </c>
      <c r="G859" t="n">
        <v>1.2</v>
      </c>
      <c r="H859" t="n">
        <v>0</v>
      </c>
      <c r="I859" t="n">
        <v>0</v>
      </c>
      <c r="J859" t="n">
        <v>0</v>
      </c>
      <c r="K859" t="n">
        <v>0</v>
      </c>
      <c r="L859" t="n">
        <v>0</v>
      </c>
      <c r="M859" t="n">
        <v>0</v>
      </c>
      <c r="N859" t="n">
        <v>0</v>
      </c>
      <c r="O859" t="n">
        <v>0</v>
      </c>
      <c r="P859" t="n">
        <v>0</v>
      </c>
      <c r="Q859" t="n">
        <v>0</v>
      </c>
      <c r="R859" s="2" t="inlineStr"/>
    </row>
    <row r="860" ht="15" customHeight="1">
      <c r="A860" t="inlineStr">
        <is>
          <t>A 69844-2021</t>
        </is>
      </c>
      <c r="B860" s="1" t="n">
        <v>44532.66989583334</v>
      </c>
      <c r="C860" s="1" t="n">
        <v>46103</v>
      </c>
      <c r="D860" t="inlineStr">
        <is>
          <t>KRONOBERGS LÄN</t>
        </is>
      </c>
      <c r="E860" t="inlineStr">
        <is>
          <t>VÄXJÖ</t>
        </is>
      </c>
      <c r="G860" t="n">
        <v>3.9</v>
      </c>
      <c r="H860" t="n">
        <v>0</v>
      </c>
      <c r="I860" t="n">
        <v>0</v>
      </c>
      <c r="J860" t="n">
        <v>0</v>
      </c>
      <c r="K860" t="n">
        <v>0</v>
      </c>
      <c r="L860" t="n">
        <v>0</v>
      </c>
      <c r="M860" t="n">
        <v>0</v>
      </c>
      <c r="N860" t="n">
        <v>0</v>
      </c>
      <c r="O860" t="n">
        <v>0</v>
      </c>
      <c r="P860" t="n">
        <v>0</v>
      </c>
      <c r="Q860" t="n">
        <v>0</v>
      </c>
      <c r="R860" s="2" t="inlineStr"/>
    </row>
    <row r="861" ht="15" customHeight="1">
      <c r="A861" t="inlineStr">
        <is>
          <t>A 34282-2022</t>
        </is>
      </c>
      <c r="B861" s="1" t="n">
        <v>44788</v>
      </c>
      <c r="C861" s="1" t="n">
        <v>46103</v>
      </c>
      <c r="D861" t="inlineStr">
        <is>
          <t>KRONOBERGS LÄN</t>
        </is>
      </c>
      <c r="E861" t="inlineStr">
        <is>
          <t>MARKARYD</t>
        </is>
      </c>
      <c r="G861" t="n">
        <v>0.8</v>
      </c>
      <c r="H861" t="n">
        <v>0</v>
      </c>
      <c r="I861" t="n">
        <v>0</v>
      </c>
      <c r="J861" t="n">
        <v>0</v>
      </c>
      <c r="K861" t="n">
        <v>0</v>
      </c>
      <c r="L861" t="n">
        <v>0</v>
      </c>
      <c r="M861" t="n">
        <v>0</v>
      </c>
      <c r="N861" t="n">
        <v>0</v>
      </c>
      <c r="O861" t="n">
        <v>0</v>
      </c>
      <c r="P861" t="n">
        <v>0</v>
      </c>
      <c r="Q861" t="n">
        <v>0</v>
      </c>
      <c r="R861" s="2" t="inlineStr"/>
    </row>
    <row r="862" ht="15" customHeight="1">
      <c r="A862" t="inlineStr">
        <is>
          <t>A 34303-2022</t>
        </is>
      </c>
      <c r="B862" s="1" t="n">
        <v>44788</v>
      </c>
      <c r="C862" s="1" t="n">
        <v>46103</v>
      </c>
      <c r="D862" t="inlineStr">
        <is>
          <t>KRONOBERGS LÄN</t>
        </is>
      </c>
      <c r="E862" t="inlineStr">
        <is>
          <t>MARKARYD</t>
        </is>
      </c>
      <c r="G862" t="n">
        <v>1.1</v>
      </c>
      <c r="H862" t="n">
        <v>0</v>
      </c>
      <c r="I862" t="n">
        <v>0</v>
      </c>
      <c r="J862" t="n">
        <v>0</v>
      </c>
      <c r="K862" t="n">
        <v>0</v>
      </c>
      <c r="L862" t="n">
        <v>0</v>
      </c>
      <c r="M862" t="n">
        <v>0</v>
      </c>
      <c r="N862" t="n">
        <v>0</v>
      </c>
      <c r="O862" t="n">
        <v>0</v>
      </c>
      <c r="P862" t="n">
        <v>0</v>
      </c>
      <c r="Q862" t="n">
        <v>0</v>
      </c>
      <c r="R862" s="2" t="inlineStr"/>
    </row>
    <row r="863" ht="15" customHeight="1">
      <c r="A863" t="inlineStr">
        <is>
          <t>A 40300-2021</t>
        </is>
      </c>
      <c r="B863" s="1" t="n">
        <v>44419</v>
      </c>
      <c r="C863" s="1" t="n">
        <v>46103</v>
      </c>
      <c r="D863" t="inlineStr">
        <is>
          <t>KRONOBERGS LÄN</t>
        </is>
      </c>
      <c r="E863" t="inlineStr">
        <is>
          <t>ALVESTA</t>
        </is>
      </c>
      <c r="G863" t="n">
        <v>5.4</v>
      </c>
      <c r="H863" t="n">
        <v>0</v>
      </c>
      <c r="I863" t="n">
        <v>0</v>
      </c>
      <c r="J863" t="n">
        <v>0</v>
      </c>
      <c r="K863" t="n">
        <v>0</v>
      </c>
      <c r="L863" t="n">
        <v>0</v>
      </c>
      <c r="M863" t="n">
        <v>0</v>
      </c>
      <c r="N863" t="n">
        <v>0</v>
      </c>
      <c r="O863" t="n">
        <v>0</v>
      </c>
      <c r="P863" t="n">
        <v>0</v>
      </c>
      <c r="Q863" t="n">
        <v>0</v>
      </c>
      <c r="R863" s="2" t="inlineStr"/>
    </row>
    <row r="864" ht="15" customHeight="1">
      <c r="A864" t="inlineStr">
        <is>
          <t>A 50715-2021</t>
        </is>
      </c>
      <c r="B864" s="1" t="n">
        <v>44460.3700462963</v>
      </c>
      <c r="C864" s="1" t="n">
        <v>46103</v>
      </c>
      <c r="D864" t="inlineStr">
        <is>
          <t>KRONOBERGS LÄN</t>
        </is>
      </c>
      <c r="E864" t="inlineStr">
        <is>
          <t>ÄLMHULT</t>
        </is>
      </c>
      <c r="G864" t="n">
        <v>1.3</v>
      </c>
      <c r="H864" t="n">
        <v>0</v>
      </c>
      <c r="I864" t="n">
        <v>0</v>
      </c>
      <c r="J864" t="n">
        <v>0</v>
      </c>
      <c r="K864" t="n">
        <v>0</v>
      </c>
      <c r="L864" t="n">
        <v>0</v>
      </c>
      <c r="M864" t="n">
        <v>0</v>
      </c>
      <c r="N864" t="n">
        <v>0</v>
      </c>
      <c r="O864" t="n">
        <v>0</v>
      </c>
      <c r="P864" t="n">
        <v>0</v>
      </c>
      <c r="Q864" t="n">
        <v>0</v>
      </c>
      <c r="R864" s="2" t="inlineStr"/>
    </row>
    <row r="865" ht="15" customHeight="1">
      <c r="A865" t="inlineStr">
        <is>
          <t>A 28646-2021</t>
        </is>
      </c>
      <c r="B865" s="1" t="n">
        <v>44357.34568287037</v>
      </c>
      <c r="C865" s="1" t="n">
        <v>46103</v>
      </c>
      <c r="D865" t="inlineStr">
        <is>
          <t>KRONOBERGS LÄN</t>
        </is>
      </c>
      <c r="E865" t="inlineStr">
        <is>
          <t>LJUNGBY</t>
        </is>
      </c>
      <c r="G865" t="n">
        <v>0.8</v>
      </c>
      <c r="H865" t="n">
        <v>0</v>
      </c>
      <c r="I865" t="n">
        <v>0</v>
      </c>
      <c r="J865" t="n">
        <v>0</v>
      </c>
      <c r="K865" t="n">
        <v>0</v>
      </c>
      <c r="L865" t="n">
        <v>0</v>
      </c>
      <c r="M865" t="n">
        <v>0</v>
      </c>
      <c r="N865" t="n">
        <v>0</v>
      </c>
      <c r="O865" t="n">
        <v>0</v>
      </c>
      <c r="P865" t="n">
        <v>0</v>
      </c>
      <c r="Q865" t="n">
        <v>0</v>
      </c>
      <c r="R865" s="2" t="inlineStr"/>
    </row>
    <row r="866" ht="15" customHeight="1">
      <c r="A866" t="inlineStr">
        <is>
          <t>A 24058-2021</t>
        </is>
      </c>
      <c r="B866" s="1" t="n">
        <v>44336.39239583333</v>
      </c>
      <c r="C866" s="1" t="n">
        <v>46103</v>
      </c>
      <c r="D866" t="inlineStr">
        <is>
          <t>KRONOBERGS LÄN</t>
        </is>
      </c>
      <c r="E866" t="inlineStr">
        <is>
          <t>UPPVIDINGE</t>
        </is>
      </c>
      <c r="G866" t="n">
        <v>0.9</v>
      </c>
      <c r="H866" t="n">
        <v>0</v>
      </c>
      <c r="I866" t="n">
        <v>0</v>
      </c>
      <c r="J866" t="n">
        <v>0</v>
      </c>
      <c r="K866" t="n">
        <v>0</v>
      </c>
      <c r="L866" t="n">
        <v>0</v>
      </c>
      <c r="M866" t="n">
        <v>0</v>
      </c>
      <c r="N866" t="n">
        <v>0</v>
      </c>
      <c r="O866" t="n">
        <v>0</v>
      </c>
      <c r="P866" t="n">
        <v>0</v>
      </c>
      <c r="Q866" t="n">
        <v>0</v>
      </c>
      <c r="R866" s="2" t="inlineStr"/>
    </row>
    <row r="867" ht="15" customHeight="1">
      <c r="A867" t="inlineStr">
        <is>
          <t>A 32347-2021</t>
        </is>
      </c>
      <c r="B867" s="1" t="n">
        <v>44371</v>
      </c>
      <c r="C867" s="1" t="n">
        <v>46103</v>
      </c>
      <c r="D867" t="inlineStr">
        <is>
          <t>KRONOBERGS LÄN</t>
        </is>
      </c>
      <c r="E867" t="inlineStr">
        <is>
          <t>LJUNGBY</t>
        </is>
      </c>
      <c r="G867" t="n">
        <v>3.1</v>
      </c>
      <c r="H867" t="n">
        <v>0</v>
      </c>
      <c r="I867" t="n">
        <v>0</v>
      </c>
      <c r="J867" t="n">
        <v>0</v>
      </c>
      <c r="K867" t="n">
        <v>0</v>
      </c>
      <c r="L867" t="n">
        <v>0</v>
      </c>
      <c r="M867" t="n">
        <v>0</v>
      </c>
      <c r="N867" t="n">
        <v>0</v>
      </c>
      <c r="O867" t="n">
        <v>0</v>
      </c>
      <c r="P867" t="n">
        <v>0</v>
      </c>
      <c r="Q867" t="n">
        <v>0</v>
      </c>
      <c r="R867" s="2" t="inlineStr"/>
    </row>
    <row r="868" ht="15" customHeight="1">
      <c r="A868" t="inlineStr">
        <is>
          <t>A 33910-2021</t>
        </is>
      </c>
      <c r="B868" s="1" t="n">
        <v>44378</v>
      </c>
      <c r="C868" s="1" t="n">
        <v>46103</v>
      </c>
      <c r="D868" t="inlineStr">
        <is>
          <t>KRONOBERGS LÄN</t>
        </is>
      </c>
      <c r="E868" t="inlineStr">
        <is>
          <t>MARKARYD</t>
        </is>
      </c>
      <c r="G868" t="n">
        <v>1.4</v>
      </c>
      <c r="H868" t="n">
        <v>0</v>
      </c>
      <c r="I868" t="n">
        <v>0</v>
      </c>
      <c r="J868" t="n">
        <v>0</v>
      </c>
      <c r="K868" t="n">
        <v>0</v>
      </c>
      <c r="L868" t="n">
        <v>0</v>
      </c>
      <c r="M868" t="n">
        <v>0</v>
      </c>
      <c r="N868" t="n">
        <v>0</v>
      </c>
      <c r="O868" t="n">
        <v>0</v>
      </c>
      <c r="P868" t="n">
        <v>0</v>
      </c>
      <c r="Q868" t="n">
        <v>0</v>
      </c>
      <c r="R868" s="2" t="inlineStr"/>
    </row>
    <row r="869" ht="15" customHeight="1">
      <c r="A869" t="inlineStr">
        <is>
          <t>A 40720-2021</t>
        </is>
      </c>
      <c r="B869" s="1" t="n">
        <v>44420.65103009259</v>
      </c>
      <c r="C869" s="1" t="n">
        <v>46103</v>
      </c>
      <c r="D869" t="inlineStr">
        <is>
          <t>KRONOBERGS LÄN</t>
        </is>
      </c>
      <c r="E869" t="inlineStr">
        <is>
          <t>LJUNGBY</t>
        </is>
      </c>
      <c r="G869" t="n">
        <v>1.9</v>
      </c>
      <c r="H869" t="n">
        <v>0</v>
      </c>
      <c r="I869" t="n">
        <v>0</v>
      </c>
      <c r="J869" t="n">
        <v>0</v>
      </c>
      <c r="K869" t="n">
        <v>0</v>
      </c>
      <c r="L869" t="n">
        <v>0</v>
      </c>
      <c r="M869" t="n">
        <v>0</v>
      </c>
      <c r="N869" t="n">
        <v>0</v>
      </c>
      <c r="O869" t="n">
        <v>0</v>
      </c>
      <c r="P869" t="n">
        <v>0</v>
      </c>
      <c r="Q869" t="n">
        <v>0</v>
      </c>
      <c r="R869" s="2" t="inlineStr"/>
    </row>
    <row r="870" ht="15" customHeight="1">
      <c r="A870" t="inlineStr">
        <is>
          <t>A 27541-2022</t>
        </is>
      </c>
      <c r="B870" s="1" t="n">
        <v>44742.71378472223</v>
      </c>
      <c r="C870" s="1" t="n">
        <v>46103</v>
      </c>
      <c r="D870" t="inlineStr">
        <is>
          <t>KRONOBERGS LÄN</t>
        </is>
      </c>
      <c r="E870" t="inlineStr">
        <is>
          <t>LJUNGBY</t>
        </is>
      </c>
      <c r="G870" t="n">
        <v>0.8</v>
      </c>
      <c r="H870" t="n">
        <v>0</v>
      </c>
      <c r="I870" t="n">
        <v>0</v>
      </c>
      <c r="J870" t="n">
        <v>0</v>
      </c>
      <c r="K870" t="n">
        <v>0</v>
      </c>
      <c r="L870" t="n">
        <v>0</v>
      </c>
      <c r="M870" t="n">
        <v>0</v>
      </c>
      <c r="N870" t="n">
        <v>0</v>
      </c>
      <c r="O870" t="n">
        <v>0</v>
      </c>
      <c r="P870" t="n">
        <v>0</v>
      </c>
      <c r="Q870" t="n">
        <v>0</v>
      </c>
      <c r="R870" s="2" t="inlineStr"/>
    </row>
    <row r="871" ht="15" customHeight="1">
      <c r="A871" t="inlineStr">
        <is>
          <t>A 41619-2021</t>
        </is>
      </c>
      <c r="B871" s="1" t="n">
        <v>44425.44590277778</v>
      </c>
      <c r="C871" s="1" t="n">
        <v>46103</v>
      </c>
      <c r="D871" t="inlineStr">
        <is>
          <t>KRONOBERGS LÄN</t>
        </is>
      </c>
      <c r="E871" t="inlineStr">
        <is>
          <t>LESSEBO</t>
        </is>
      </c>
      <c r="F871" t="inlineStr">
        <is>
          <t>Sveaskog</t>
        </is>
      </c>
      <c r="G871" t="n">
        <v>3.6</v>
      </c>
      <c r="H871" t="n">
        <v>0</v>
      </c>
      <c r="I871" t="n">
        <v>0</v>
      </c>
      <c r="J871" t="n">
        <v>0</v>
      </c>
      <c r="K871" t="n">
        <v>0</v>
      </c>
      <c r="L871" t="n">
        <v>0</v>
      </c>
      <c r="M871" t="n">
        <v>0</v>
      </c>
      <c r="N871" t="n">
        <v>0</v>
      </c>
      <c r="O871" t="n">
        <v>0</v>
      </c>
      <c r="P871" t="n">
        <v>0</v>
      </c>
      <c r="Q871" t="n">
        <v>0</v>
      </c>
      <c r="R871" s="2" t="inlineStr"/>
    </row>
    <row r="872" ht="15" customHeight="1">
      <c r="A872" t="inlineStr">
        <is>
          <t>A 51063-2021</t>
        </is>
      </c>
      <c r="B872" s="1" t="n">
        <v>44461.34828703704</v>
      </c>
      <c r="C872" s="1" t="n">
        <v>46103</v>
      </c>
      <c r="D872" t="inlineStr">
        <is>
          <t>KRONOBERGS LÄN</t>
        </is>
      </c>
      <c r="E872" t="inlineStr">
        <is>
          <t>ALVESTA</t>
        </is>
      </c>
      <c r="G872" t="n">
        <v>1.1</v>
      </c>
      <c r="H872" t="n">
        <v>0</v>
      </c>
      <c r="I872" t="n">
        <v>0</v>
      </c>
      <c r="J872" t="n">
        <v>0</v>
      </c>
      <c r="K872" t="n">
        <v>0</v>
      </c>
      <c r="L872" t="n">
        <v>0</v>
      </c>
      <c r="M872" t="n">
        <v>0</v>
      </c>
      <c r="N872" t="n">
        <v>0</v>
      </c>
      <c r="O872" t="n">
        <v>0</v>
      </c>
      <c r="P872" t="n">
        <v>0</v>
      </c>
      <c r="Q872" t="n">
        <v>0</v>
      </c>
      <c r="R872" s="2" t="inlineStr"/>
    </row>
    <row r="873" ht="15" customHeight="1">
      <c r="A873" t="inlineStr">
        <is>
          <t>A 43549-2022</t>
        </is>
      </c>
      <c r="B873" s="1" t="n">
        <v>44837.43361111111</v>
      </c>
      <c r="C873" s="1" t="n">
        <v>46103</v>
      </c>
      <c r="D873" t="inlineStr">
        <is>
          <t>KRONOBERGS LÄN</t>
        </is>
      </c>
      <c r="E873" t="inlineStr">
        <is>
          <t>UPPVIDINGE</t>
        </is>
      </c>
      <c r="G873" t="n">
        <v>0.7</v>
      </c>
      <c r="H873" t="n">
        <v>0</v>
      </c>
      <c r="I873" t="n">
        <v>0</v>
      </c>
      <c r="J873" t="n">
        <v>0</v>
      </c>
      <c r="K873" t="n">
        <v>0</v>
      </c>
      <c r="L873" t="n">
        <v>0</v>
      </c>
      <c r="M873" t="n">
        <v>0</v>
      </c>
      <c r="N873" t="n">
        <v>0</v>
      </c>
      <c r="O873" t="n">
        <v>0</v>
      </c>
      <c r="P873" t="n">
        <v>0</v>
      </c>
      <c r="Q873" t="n">
        <v>0</v>
      </c>
      <c r="R873" s="2" t="inlineStr"/>
    </row>
    <row r="874" ht="15" customHeight="1">
      <c r="A874" t="inlineStr">
        <is>
          <t>A 68513-2021</t>
        </is>
      </c>
      <c r="B874" s="1" t="n">
        <v>44529.46652777777</v>
      </c>
      <c r="C874" s="1" t="n">
        <v>46103</v>
      </c>
      <c r="D874" t="inlineStr">
        <is>
          <t>KRONOBERGS LÄN</t>
        </is>
      </c>
      <c r="E874" t="inlineStr">
        <is>
          <t>LESSEBO</t>
        </is>
      </c>
      <c r="G874" t="n">
        <v>1.3</v>
      </c>
      <c r="H874" t="n">
        <v>0</v>
      </c>
      <c r="I874" t="n">
        <v>0</v>
      </c>
      <c r="J874" t="n">
        <v>0</v>
      </c>
      <c r="K874" t="n">
        <v>0</v>
      </c>
      <c r="L874" t="n">
        <v>0</v>
      </c>
      <c r="M874" t="n">
        <v>0</v>
      </c>
      <c r="N874" t="n">
        <v>0</v>
      </c>
      <c r="O874" t="n">
        <v>0</v>
      </c>
      <c r="P874" t="n">
        <v>0</v>
      </c>
      <c r="Q874" t="n">
        <v>0</v>
      </c>
      <c r="R874" s="2" t="inlineStr"/>
    </row>
    <row r="875" ht="15" customHeight="1">
      <c r="A875" t="inlineStr">
        <is>
          <t>A 56106-2021</t>
        </is>
      </c>
      <c r="B875" s="1" t="n">
        <v>44477</v>
      </c>
      <c r="C875" s="1" t="n">
        <v>46103</v>
      </c>
      <c r="D875" t="inlineStr">
        <is>
          <t>KRONOBERGS LÄN</t>
        </is>
      </c>
      <c r="E875" t="inlineStr">
        <is>
          <t>ÄLMHULT</t>
        </is>
      </c>
      <c r="G875" t="n">
        <v>0.5</v>
      </c>
      <c r="H875" t="n">
        <v>0</v>
      </c>
      <c r="I875" t="n">
        <v>0</v>
      </c>
      <c r="J875" t="n">
        <v>0</v>
      </c>
      <c r="K875" t="n">
        <v>0</v>
      </c>
      <c r="L875" t="n">
        <v>0</v>
      </c>
      <c r="M875" t="n">
        <v>0</v>
      </c>
      <c r="N875" t="n">
        <v>0</v>
      </c>
      <c r="O875" t="n">
        <v>0</v>
      </c>
      <c r="P875" t="n">
        <v>0</v>
      </c>
      <c r="Q875" t="n">
        <v>0</v>
      </c>
      <c r="R875" s="2" t="inlineStr"/>
    </row>
    <row r="876" ht="15" customHeight="1">
      <c r="A876" t="inlineStr">
        <is>
          <t>A 61339-2021</t>
        </is>
      </c>
      <c r="B876" s="1" t="n">
        <v>44498</v>
      </c>
      <c r="C876" s="1" t="n">
        <v>46103</v>
      </c>
      <c r="D876" t="inlineStr">
        <is>
          <t>KRONOBERGS LÄN</t>
        </is>
      </c>
      <c r="E876" t="inlineStr">
        <is>
          <t>VÄXJÖ</t>
        </is>
      </c>
      <c r="G876" t="n">
        <v>0.7</v>
      </c>
      <c r="H876" t="n">
        <v>0</v>
      </c>
      <c r="I876" t="n">
        <v>0</v>
      </c>
      <c r="J876" t="n">
        <v>0</v>
      </c>
      <c r="K876" t="n">
        <v>0</v>
      </c>
      <c r="L876" t="n">
        <v>0</v>
      </c>
      <c r="M876" t="n">
        <v>0</v>
      </c>
      <c r="N876" t="n">
        <v>0</v>
      </c>
      <c r="O876" t="n">
        <v>0</v>
      </c>
      <c r="P876" t="n">
        <v>0</v>
      </c>
      <c r="Q876" t="n">
        <v>0</v>
      </c>
      <c r="R876" s="2" t="inlineStr"/>
    </row>
    <row r="877" ht="15" customHeight="1">
      <c r="A877" t="inlineStr">
        <is>
          <t>A 45054-2021</t>
        </is>
      </c>
      <c r="B877" s="1" t="n">
        <v>44439</v>
      </c>
      <c r="C877" s="1" t="n">
        <v>46103</v>
      </c>
      <c r="D877" t="inlineStr">
        <is>
          <t>KRONOBERGS LÄN</t>
        </is>
      </c>
      <c r="E877" t="inlineStr">
        <is>
          <t>VÄXJÖ</t>
        </is>
      </c>
      <c r="G877" t="n">
        <v>0.7</v>
      </c>
      <c r="H877" t="n">
        <v>0</v>
      </c>
      <c r="I877" t="n">
        <v>0</v>
      </c>
      <c r="J877" t="n">
        <v>0</v>
      </c>
      <c r="K877" t="n">
        <v>0</v>
      </c>
      <c r="L877" t="n">
        <v>0</v>
      </c>
      <c r="M877" t="n">
        <v>0</v>
      </c>
      <c r="N877" t="n">
        <v>0</v>
      </c>
      <c r="O877" t="n">
        <v>0</v>
      </c>
      <c r="P877" t="n">
        <v>0</v>
      </c>
      <c r="Q877" t="n">
        <v>0</v>
      </c>
      <c r="R877" s="2" t="inlineStr"/>
    </row>
    <row r="878" ht="15" customHeight="1">
      <c r="A878" t="inlineStr">
        <is>
          <t>A 50026-2022</t>
        </is>
      </c>
      <c r="B878" s="1" t="n">
        <v>44865</v>
      </c>
      <c r="C878" s="1" t="n">
        <v>46103</v>
      </c>
      <c r="D878" t="inlineStr">
        <is>
          <t>KRONOBERGS LÄN</t>
        </is>
      </c>
      <c r="E878" t="inlineStr">
        <is>
          <t>ÄLMHULT</t>
        </is>
      </c>
      <c r="G878" t="n">
        <v>0.5</v>
      </c>
      <c r="H878" t="n">
        <v>0</v>
      </c>
      <c r="I878" t="n">
        <v>0</v>
      </c>
      <c r="J878" t="n">
        <v>0</v>
      </c>
      <c r="K878" t="n">
        <v>0</v>
      </c>
      <c r="L878" t="n">
        <v>0</v>
      </c>
      <c r="M878" t="n">
        <v>0</v>
      </c>
      <c r="N878" t="n">
        <v>0</v>
      </c>
      <c r="O878" t="n">
        <v>0</v>
      </c>
      <c r="P878" t="n">
        <v>0</v>
      </c>
      <c r="Q878" t="n">
        <v>0</v>
      </c>
      <c r="R878" s="2" t="inlineStr"/>
    </row>
    <row r="879" ht="15" customHeight="1">
      <c r="A879" t="inlineStr">
        <is>
          <t>A 47691-2022</t>
        </is>
      </c>
      <c r="B879" s="1" t="n">
        <v>44854.54513888889</v>
      </c>
      <c r="C879" s="1" t="n">
        <v>46103</v>
      </c>
      <c r="D879" t="inlineStr">
        <is>
          <t>KRONOBERGS LÄN</t>
        </is>
      </c>
      <c r="E879" t="inlineStr">
        <is>
          <t>ALVESTA</t>
        </is>
      </c>
      <c r="G879" t="n">
        <v>0.5</v>
      </c>
      <c r="H879" t="n">
        <v>0</v>
      </c>
      <c r="I879" t="n">
        <v>0</v>
      </c>
      <c r="J879" t="n">
        <v>0</v>
      </c>
      <c r="K879" t="n">
        <v>0</v>
      </c>
      <c r="L879" t="n">
        <v>0</v>
      </c>
      <c r="M879" t="n">
        <v>0</v>
      </c>
      <c r="N879" t="n">
        <v>0</v>
      </c>
      <c r="O879" t="n">
        <v>0</v>
      </c>
      <c r="P879" t="n">
        <v>0</v>
      </c>
      <c r="Q879" t="n">
        <v>0</v>
      </c>
      <c r="R879" s="2" t="inlineStr"/>
    </row>
    <row r="880" ht="15" customHeight="1">
      <c r="A880" t="inlineStr">
        <is>
          <t>A 53317-2021</t>
        </is>
      </c>
      <c r="B880" s="1" t="n">
        <v>44468</v>
      </c>
      <c r="C880" s="1" t="n">
        <v>46103</v>
      </c>
      <c r="D880" t="inlineStr">
        <is>
          <t>KRONOBERGS LÄN</t>
        </is>
      </c>
      <c r="E880" t="inlineStr">
        <is>
          <t>TINGSRYD</t>
        </is>
      </c>
      <c r="G880" t="n">
        <v>1.7</v>
      </c>
      <c r="H880" t="n">
        <v>0</v>
      </c>
      <c r="I880" t="n">
        <v>0</v>
      </c>
      <c r="J880" t="n">
        <v>0</v>
      </c>
      <c r="K880" t="n">
        <v>0</v>
      </c>
      <c r="L880" t="n">
        <v>0</v>
      </c>
      <c r="M880" t="n">
        <v>0</v>
      </c>
      <c r="N880" t="n">
        <v>0</v>
      </c>
      <c r="O880" t="n">
        <v>0</v>
      </c>
      <c r="P880" t="n">
        <v>0</v>
      </c>
      <c r="Q880" t="n">
        <v>0</v>
      </c>
      <c r="R880" s="2" t="inlineStr"/>
    </row>
    <row r="881" ht="15" customHeight="1">
      <c r="A881" t="inlineStr">
        <is>
          <t>A 24856-2022</t>
        </is>
      </c>
      <c r="B881" s="1" t="n">
        <v>44728.48572916666</v>
      </c>
      <c r="C881" s="1" t="n">
        <v>46103</v>
      </c>
      <c r="D881" t="inlineStr">
        <is>
          <t>KRONOBERGS LÄN</t>
        </is>
      </c>
      <c r="E881" t="inlineStr">
        <is>
          <t>ALVESTA</t>
        </is>
      </c>
      <c r="G881" t="n">
        <v>0.6</v>
      </c>
      <c r="H881" t="n">
        <v>0</v>
      </c>
      <c r="I881" t="n">
        <v>0</v>
      </c>
      <c r="J881" t="n">
        <v>0</v>
      </c>
      <c r="K881" t="n">
        <v>0</v>
      </c>
      <c r="L881" t="n">
        <v>0</v>
      </c>
      <c r="M881" t="n">
        <v>0</v>
      </c>
      <c r="N881" t="n">
        <v>0</v>
      </c>
      <c r="O881" t="n">
        <v>0</v>
      </c>
      <c r="P881" t="n">
        <v>0</v>
      </c>
      <c r="Q881" t="n">
        <v>0</v>
      </c>
      <c r="R881" s="2" t="inlineStr"/>
    </row>
    <row r="882" ht="15" customHeight="1">
      <c r="A882" t="inlineStr">
        <is>
          <t>A 18966-2022</t>
        </is>
      </c>
      <c r="B882" s="1" t="n">
        <v>44690.86459490741</v>
      </c>
      <c r="C882" s="1" t="n">
        <v>46103</v>
      </c>
      <c r="D882" t="inlineStr">
        <is>
          <t>KRONOBERGS LÄN</t>
        </is>
      </c>
      <c r="E882" t="inlineStr">
        <is>
          <t>ÄLMHULT</t>
        </is>
      </c>
      <c r="G882" t="n">
        <v>0.9</v>
      </c>
      <c r="H882" t="n">
        <v>0</v>
      </c>
      <c r="I882" t="n">
        <v>0</v>
      </c>
      <c r="J882" t="n">
        <v>0</v>
      </c>
      <c r="K882" t="n">
        <v>0</v>
      </c>
      <c r="L882" t="n">
        <v>0</v>
      </c>
      <c r="M882" t="n">
        <v>0</v>
      </c>
      <c r="N882" t="n">
        <v>0</v>
      </c>
      <c r="O882" t="n">
        <v>0</v>
      </c>
      <c r="P882" t="n">
        <v>0</v>
      </c>
      <c r="Q882" t="n">
        <v>0</v>
      </c>
      <c r="R882" s="2" t="inlineStr"/>
    </row>
    <row r="883" ht="15" customHeight="1">
      <c r="A883" t="inlineStr">
        <is>
          <t>A 18968-2022</t>
        </is>
      </c>
      <c r="B883" s="1" t="n">
        <v>44690.86802083333</v>
      </c>
      <c r="C883" s="1" t="n">
        <v>46103</v>
      </c>
      <c r="D883" t="inlineStr">
        <is>
          <t>KRONOBERGS LÄN</t>
        </is>
      </c>
      <c r="E883" t="inlineStr">
        <is>
          <t>ÄLMHULT</t>
        </is>
      </c>
      <c r="G883" t="n">
        <v>1.4</v>
      </c>
      <c r="H883" t="n">
        <v>0</v>
      </c>
      <c r="I883" t="n">
        <v>0</v>
      </c>
      <c r="J883" t="n">
        <v>0</v>
      </c>
      <c r="K883" t="n">
        <v>0</v>
      </c>
      <c r="L883" t="n">
        <v>0</v>
      </c>
      <c r="M883" t="n">
        <v>0</v>
      </c>
      <c r="N883" t="n">
        <v>0</v>
      </c>
      <c r="O883" t="n">
        <v>0</v>
      </c>
      <c r="P883" t="n">
        <v>0</v>
      </c>
      <c r="Q883" t="n">
        <v>0</v>
      </c>
      <c r="R883" s="2" t="inlineStr"/>
    </row>
    <row r="884" ht="15" customHeight="1">
      <c r="A884" t="inlineStr">
        <is>
          <t>A 49724-2022</t>
        </is>
      </c>
      <c r="B884" s="1" t="n">
        <v>44859</v>
      </c>
      <c r="C884" s="1" t="n">
        <v>46103</v>
      </c>
      <c r="D884" t="inlineStr">
        <is>
          <t>KRONOBERGS LÄN</t>
        </is>
      </c>
      <c r="E884" t="inlineStr">
        <is>
          <t>UPPVIDINGE</t>
        </is>
      </c>
      <c r="G884" t="n">
        <v>3</v>
      </c>
      <c r="H884" t="n">
        <v>0</v>
      </c>
      <c r="I884" t="n">
        <v>0</v>
      </c>
      <c r="J884" t="n">
        <v>0</v>
      </c>
      <c r="K884" t="n">
        <v>0</v>
      </c>
      <c r="L884" t="n">
        <v>0</v>
      </c>
      <c r="M884" t="n">
        <v>0</v>
      </c>
      <c r="N884" t="n">
        <v>0</v>
      </c>
      <c r="O884" t="n">
        <v>0</v>
      </c>
      <c r="P884" t="n">
        <v>0</v>
      </c>
      <c r="Q884" t="n">
        <v>0</v>
      </c>
      <c r="R884" s="2" t="inlineStr"/>
    </row>
    <row r="885" ht="15" customHeight="1">
      <c r="A885" t="inlineStr">
        <is>
          <t>A 48116-2021</t>
        </is>
      </c>
      <c r="B885" s="1" t="n">
        <v>44449.46109953704</v>
      </c>
      <c r="C885" s="1" t="n">
        <v>46103</v>
      </c>
      <c r="D885" t="inlineStr">
        <is>
          <t>KRONOBERGS LÄN</t>
        </is>
      </c>
      <c r="E885" t="inlineStr">
        <is>
          <t>LESSEBO</t>
        </is>
      </c>
      <c r="G885" t="n">
        <v>1.4</v>
      </c>
      <c r="H885" t="n">
        <v>0</v>
      </c>
      <c r="I885" t="n">
        <v>0</v>
      </c>
      <c r="J885" t="n">
        <v>0</v>
      </c>
      <c r="K885" t="n">
        <v>0</v>
      </c>
      <c r="L885" t="n">
        <v>0</v>
      </c>
      <c r="M885" t="n">
        <v>0</v>
      </c>
      <c r="N885" t="n">
        <v>0</v>
      </c>
      <c r="O885" t="n">
        <v>0</v>
      </c>
      <c r="P885" t="n">
        <v>0</v>
      </c>
      <c r="Q885" t="n">
        <v>0</v>
      </c>
      <c r="R885" s="2" t="inlineStr"/>
    </row>
    <row r="886" ht="15" customHeight="1">
      <c r="A886" t="inlineStr">
        <is>
          <t>A 18404-2022</t>
        </is>
      </c>
      <c r="B886" s="1" t="n">
        <v>44685</v>
      </c>
      <c r="C886" s="1" t="n">
        <v>46103</v>
      </c>
      <c r="D886" t="inlineStr">
        <is>
          <t>KRONOBERGS LÄN</t>
        </is>
      </c>
      <c r="E886" t="inlineStr">
        <is>
          <t>TINGSRYD</t>
        </is>
      </c>
      <c r="G886" t="n">
        <v>4.5</v>
      </c>
      <c r="H886" t="n">
        <v>0</v>
      </c>
      <c r="I886" t="n">
        <v>0</v>
      </c>
      <c r="J886" t="n">
        <v>0</v>
      </c>
      <c r="K886" t="n">
        <v>0</v>
      </c>
      <c r="L886" t="n">
        <v>0</v>
      </c>
      <c r="M886" t="n">
        <v>0</v>
      </c>
      <c r="N886" t="n">
        <v>0</v>
      </c>
      <c r="O886" t="n">
        <v>0</v>
      </c>
      <c r="P886" t="n">
        <v>0</v>
      </c>
      <c r="Q886" t="n">
        <v>0</v>
      </c>
      <c r="R886" s="2" t="inlineStr"/>
    </row>
    <row r="887" ht="15" customHeight="1">
      <c r="A887" t="inlineStr">
        <is>
          <t>A 49037-2022</t>
        </is>
      </c>
      <c r="B887" s="1" t="n">
        <v>44860.45040509259</v>
      </c>
      <c r="C887" s="1" t="n">
        <v>46103</v>
      </c>
      <c r="D887" t="inlineStr">
        <is>
          <t>KRONOBERGS LÄN</t>
        </is>
      </c>
      <c r="E887" t="inlineStr">
        <is>
          <t>VÄXJÖ</t>
        </is>
      </c>
      <c r="G887" t="n">
        <v>0.9</v>
      </c>
      <c r="H887" t="n">
        <v>0</v>
      </c>
      <c r="I887" t="n">
        <v>0</v>
      </c>
      <c r="J887" t="n">
        <v>0</v>
      </c>
      <c r="K887" t="n">
        <v>0</v>
      </c>
      <c r="L887" t="n">
        <v>0</v>
      </c>
      <c r="M887" t="n">
        <v>0</v>
      </c>
      <c r="N887" t="n">
        <v>0</v>
      </c>
      <c r="O887" t="n">
        <v>0</v>
      </c>
      <c r="P887" t="n">
        <v>0</v>
      </c>
      <c r="Q887" t="n">
        <v>0</v>
      </c>
      <c r="R887" s="2" t="inlineStr"/>
    </row>
    <row r="888" ht="15" customHeight="1">
      <c r="A888" t="inlineStr">
        <is>
          <t>A 20114-2022</t>
        </is>
      </c>
      <c r="B888" s="1" t="n">
        <v>44698</v>
      </c>
      <c r="C888" s="1" t="n">
        <v>46103</v>
      </c>
      <c r="D888" t="inlineStr">
        <is>
          <t>KRONOBERGS LÄN</t>
        </is>
      </c>
      <c r="E888" t="inlineStr">
        <is>
          <t>TINGSRYD</t>
        </is>
      </c>
      <c r="G888" t="n">
        <v>1.1</v>
      </c>
      <c r="H888" t="n">
        <v>0</v>
      </c>
      <c r="I888" t="n">
        <v>0</v>
      </c>
      <c r="J888" t="n">
        <v>0</v>
      </c>
      <c r="K888" t="n">
        <v>0</v>
      </c>
      <c r="L888" t="n">
        <v>0</v>
      </c>
      <c r="M888" t="n">
        <v>0</v>
      </c>
      <c r="N888" t="n">
        <v>0</v>
      </c>
      <c r="O888" t="n">
        <v>0</v>
      </c>
      <c r="P888" t="n">
        <v>0</v>
      </c>
      <c r="Q888" t="n">
        <v>0</v>
      </c>
      <c r="R888" s="2" t="inlineStr"/>
    </row>
    <row r="889" ht="15" customHeight="1">
      <c r="A889" t="inlineStr">
        <is>
          <t>A 65037-2021</t>
        </is>
      </c>
      <c r="B889" s="1" t="n">
        <v>44515</v>
      </c>
      <c r="C889" s="1" t="n">
        <v>46103</v>
      </c>
      <c r="D889" t="inlineStr">
        <is>
          <t>KRONOBERGS LÄN</t>
        </is>
      </c>
      <c r="E889" t="inlineStr">
        <is>
          <t>LJUNGBY</t>
        </is>
      </c>
      <c r="G889" t="n">
        <v>1</v>
      </c>
      <c r="H889" t="n">
        <v>0</v>
      </c>
      <c r="I889" t="n">
        <v>0</v>
      </c>
      <c r="J889" t="n">
        <v>0</v>
      </c>
      <c r="K889" t="n">
        <v>0</v>
      </c>
      <c r="L889" t="n">
        <v>0</v>
      </c>
      <c r="M889" t="n">
        <v>0</v>
      </c>
      <c r="N889" t="n">
        <v>0</v>
      </c>
      <c r="O889" t="n">
        <v>0</v>
      </c>
      <c r="P889" t="n">
        <v>0</v>
      </c>
      <c r="Q889" t="n">
        <v>0</v>
      </c>
      <c r="R889" s="2" t="inlineStr"/>
    </row>
    <row r="890" ht="15" customHeight="1">
      <c r="A890" t="inlineStr">
        <is>
          <t>A 4804-2022</t>
        </is>
      </c>
      <c r="B890" s="1" t="n">
        <v>44592.65989583333</v>
      </c>
      <c r="C890" s="1" t="n">
        <v>46103</v>
      </c>
      <c r="D890" t="inlineStr">
        <is>
          <t>KRONOBERGS LÄN</t>
        </is>
      </c>
      <c r="E890" t="inlineStr">
        <is>
          <t>LJUNGBY</t>
        </is>
      </c>
      <c r="F890" t="inlineStr">
        <is>
          <t>Kommuner</t>
        </is>
      </c>
      <c r="G890" t="n">
        <v>3.3</v>
      </c>
      <c r="H890" t="n">
        <v>0</v>
      </c>
      <c r="I890" t="n">
        <v>0</v>
      </c>
      <c r="J890" t="n">
        <v>0</v>
      </c>
      <c r="K890" t="n">
        <v>0</v>
      </c>
      <c r="L890" t="n">
        <v>0</v>
      </c>
      <c r="M890" t="n">
        <v>0</v>
      </c>
      <c r="N890" t="n">
        <v>0</v>
      </c>
      <c r="O890" t="n">
        <v>0</v>
      </c>
      <c r="P890" t="n">
        <v>0</v>
      </c>
      <c r="Q890" t="n">
        <v>0</v>
      </c>
      <c r="R890" s="2" t="inlineStr"/>
    </row>
    <row r="891" ht="15" customHeight="1">
      <c r="A891" t="inlineStr">
        <is>
          <t>A 17689-2022</t>
        </is>
      </c>
      <c r="B891" s="1" t="n">
        <v>44680.58664351852</v>
      </c>
      <c r="C891" s="1" t="n">
        <v>46103</v>
      </c>
      <c r="D891" t="inlineStr">
        <is>
          <t>KRONOBERGS LÄN</t>
        </is>
      </c>
      <c r="E891" t="inlineStr">
        <is>
          <t>TINGSRYD</t>
        </is>
      </c>
      <c r="G891" t="n">
        <v>2</v>
      </c>
      <c r="H891" t="n">
        <v>0</v>
      </c>
      <c r="I891" t="n">
        <v>0</v>
      </c>
      <c r="J891" t="n">
        <v>0</v>
      </c>
      <c r="K891" t="n">
        <v>0</v>
      </c>
      <c r="L891" t="n">
        <v>0</v>
      </c>
      <c r="M891" t="n">
        <v>0</v>
      </c>
      <c r="N891" t="n">
        <v>0</v>
      </c>
      <c r="O891" t="n">
        <v>0</v>
      </c>
      <c r="P891" t="n">
        <v>0</v>
      </c>
      <c r="Q891" t="n">
        <v>0</v>
      </c>
      <c r="R891" s="2" t="inlineStr"/>
    </row>
    <row r="892" ht="15" customHeight="1">
      <c r="A892" t="inlineStr">
        <is>
          <t>A 11628-2022</t>
        </is>
      </c>
      <c r="B892" s="1" t="n">
        <v>44631.64724537037</v>
      </c>
      <c r="C892" s="1" t="n">
        <v>46103</v>
      </c>
      <c r="D892" t="inlineStr">
        <is>
          <t>KRONOBERGS LÄN</t>
        </is>
      </c>
      <c r="E892" t="inlineStr">
        <is>
          <t>TINGSRYD</t>
        </is>
      </c>
      <c r="G892" t="n">
        <v>0.7</v>
      </c>
      <c r="H892" t="n">
        <v>0</v>
      </c>
      <c r="I892" t="n">
        <v>0</v>
      </c>
      <c r="J892" t="n">
        <v>0</v>
      </c>
      <c r="K892" t="n">
        <v>0</v>
      </c>
      <c r="L892" t="n">
        <v>0</v>
      </c>
      <c r="M892" t="n">
        <v>0</v>
      </c>
      <c r="N892" t="n">
        <v>0</v>
      </c>
      <c r="O892" t="n">
        <v>0</v>
      </c>
      <c r="P892" t="n">
        <v>0</v>
      </c>
      <c r="Q892" t="n">
        <v>0</v>
      </c>
      <c r="R892" s="2" t="inlineStr"/>
    </row>
    <row r="893" ht="15" customHeight="1">
      <c r="A893" t="inlineStr">
        <is>
          <t>A 67158-2021</t>
        </is>
      </c>
      <c r="B893" s="1" t="n">
        <v>44523</v>
      </c>
      <c r="C893" s="1" t="n">
        <v>46103</v>
      </c>
      <c r="D893" t="inlineStr">
        <is>
          <t>KRONOBERGS LÄN</t>
        </is>
      </c>
      <c r="E893" t="inlineStr">
        <is>
          <t>TINGSRYD</t>
        </is>
      </c>
      <c r="G893" t="n">
        <v>1.8</v>
      </c>
      <c r="H893" t="n">
        <v>0</v>
      </c>
      <c r="I893" t="n">
        <v>0</v>
      </c>
      <c r="J893" t="n">
        <v>0</v>
      </c>
      <c r="K893" t="n">
        <v>0</v>
      </c>
      <c r="L893" t="n">
        <v>0</v>
      </c>
      <c r="M893" t="n">
        <v>0</v>
      </c>
      <c r="N893" t="n">
        <v>0</v>
      </c>
      <c r="O893" t="n">
        <v>0</v>
      </c>
      <c r="P893" t="n">
        <v>0</v>
      </c>
      <c r="Q893" t="n">
        <v>0</v>
      </c>
      <c r="R893" s="2" t="inlineStr"/>
    </row>
    <row r="894" ht="15" customHeight="1">
      <c r="A894" t="inlineStr">
        <is>
          <t>A 65988-2021</t>
        </is>
      </c>
      <c r="B894" s="1" t="n">
        <v>44517</v>
      </c>
      <c r="C894" s="1" t="n">
        <v>46103</v>
      </c>
      <c r="D894" t="inlineStr">
        <is>
          <t>KRONOBERGS LÄN</t>
        </is>
      </c>
      <c r="E894" t="inlineStr">
        <is>
          <t>LJUNGBY</t>
        </is>
      </c>
      <c r="G894" t="n">
        <v>0.7</v>
      </c>
      <c r="H894" t="n">
        <v>0</v>
      </c>
      <c r="I894" t="n">
        <v>0</v>
      </c>
      <c r="J894" t="n">
        <v>0</v>
      </c>
      <c r="K894" t="n">
        <v>0</v>
      </c>
      <c r="L894" t="n">
        <v>0</v>
      </c>
      <c r="M894" t="n">
        <v>0</v>
      </c>
      <c r="N894" t="n">
        <v>0</v>
      </c>
      <c r="O894" t="n">
        <v>0</v>
      </c>
      <c r="P894" t="n">
        <v>0</v>
      </c>
      <c r="Q894" t="n">
        <v>0</v>
      </c>
      <c r="R894" s="2" t="inlineStr"/>
    </row>
    <row r="895" ht="15" customHeight="1">
      <c r="A895" t="inlineStr">
        <is>
          <t>A 5563-2022</t>
        </is>
      </c>
      <c r="B895" s="1" t="n">
        <v>44595</v>
      </c>
      <c r="C895" s="1" t="n">
        <v>46103</v>
      </c>
      <c r="D895" t="inlineStr">
        <is>
          <t>KRONOBERGS LÄN</t>
        </is>
      </c>
      <c r="E895" t="inlineStr">
        <is>
          <t>LJUNGBY</t>
        </is>
      </c>
      <c r="F895" t="inlineStr">
        <is>
          <t>Kyrkan</t>
        </is>
      </c>
      <c r="G895" t="n">
        <v>2.5</v>
      </c>
      <c r="H895" t="n">
        <v>0</v>
      </c>
      <c r="I895" t="n">
        <v>0</v>
      </c>
      <c r="J895" t="n">
        <v>0</v>
      </c>
      <c r="K895" t="n">
        <v>0</v>
      </c>
      <c r="L895" t="n">
        <v>0</v>
      </c>
      <c r="M895" t="n">
        <v>0</v>
      </c>
      <c r="N895" t="n">
        <v>0</v>
      </c>
      <c r="O895" t="n">
        <v>0</v>
      </c>
      <c r="P895" t="n">
        <v>0</v>
      </c>
      <c r="Q895" t="n">
        <v>0</v>
      </c>
      <c r="R895" s="2" t="inlineStr"/>
    </row>
    <row r="896" ht="15" customHeight="1">
      <c r="A896" t="inlineStr">
        <is>
          <t>A 60699-2021</t>
        </is>
      </c>
      <c r="B896" s="1" t="n">
        <v>44496</v>
      </c>
      <c r="C896" s="1" t="n">
        <v>46103</v>
      </c>
      <c r="D896" t="inlineStr">
        <is>
          <t>KRONOBERGS LÄN</t>
        </is>
      </c>
      <c r="E896" t="inlineStr">
        <is>
          <t>ÄLMHULT</t>
        </is>
      </c>
      <c r="G896" t="n">
        <v>2</v>
      </c>
      <c r="H896" t="n">
        <v>0</v>
      </c>
      <c r="I896" t="n">
        <v>0</v>
      </c>
      <c r="J896" t="n">
        <v>0</v>
      </c>
      <c r="K896" t="n">
        <v>0</v>
      </c>
      <c r="L896" t="n">
        <v>0</v>
      </c>
      <c r="M896" t="n">
        <v>0</v>
      </c>
      <c r="N896" t="n">
        <v>0</v>
      </c>
      <c r="O896" t="n">
        <v>0</v>
      </c>
      <c r="P896" t="n">
        <v>0</v>
      </c>
      <c r="Q896" t="n">
        <v>0</v>
      </c>
      <c r="R896" s="2" t="inlineStr"/>
    </row>
    <row r="897" ht="15" customHeight="1">
      <c r="A897" t="inlineStr">
        <is>
          <t>A 23566-2022</t>
        </is>
      </c>
      <c r="B897" s="1" t="n">
        <v>44721.47675925926</v>
      </c>
      <c r="C897" s="1" t="n">
        <v>46103</v>
      </c>
      <c r="D897" t="inlineStr">
        <is>
          <t>KRONOBERGS LÄN</t>
        </is>
      </c>
      <c r="E897" t="inlineStr">
        <is>
          <t>ÄLMHULT</t>
        </is>
      </c>
      <c r="G897" t="n">
        <v>0.6</v>
      </c>
      <c r="H897" t="n">
        <v>0</v>
      </c>
      <c r="I897" t="n">
        <v>0</v>
      </c>
      <c r="J897" t="n">
        <v>0</v>
      </c>
      <c r="K897" t="n">
        <v>0</v>
      </c>
      <c r="L897" t="n">
        <v>0</v>
      </c>
      <c r="M897" t="n">
        <v>0</v>
      </c>
      <c r="N897" t="n">
        <v>0</v>
      </c>
      <c r="O897" t="n">
        <v>0</v>
      </c>
      <c r="P897" t="n">
        <v>0</v>
      </c>
      <c r="Q897" t="n">
        <v>0</v>
      </c>
      <c r="R897" s="2" t="inlineStr"/>
    </row>
    <row r="898" ht="15" customHeight="1">
      <c r="A898" t="inlineStr">
        <is>
          <t>A 5673-2022</t>
        </is>
      </c>
      <c r="B898" s="1" t="n">
        <v>44596</v>
      </c>
      <c r="C898" s="1" t="n">
        <v>46103</v>
      </c>
      <c r="D898" t="inlineStr">
        <is>
          <t>KRONOBERGS LÄN</t>
        </is>
      </c>
      <c r="E898" t="inlineStr">
        <is>
          <t>VÄXJÖ</t>
        </is>
      </c>
      <c r="G898" t="n">
        <v>0</v>
      </c>
      <c r="H898" t="n">
        <v>0</v>
      </c>
      <c r="I898" t="n">
        <v>0</v>
      </c>
      <c r="J898" t="n">
        <v>0</v>
      </c>
      <c r="K898" t="n">
        <v>0</v>
      </c>
      <c r="L898" t="n">
        <v>0</v>
      </c>
      <c r="M898" t="n">
        <v>0</v>
      </c>
      <c r="N898" t="n">
        <v>0</v>
      </c>
      <c r="O898" t="n">
        <v>0</v>
      </c>
      <c r="P898" t="n">
        <v>0</v>
      </c>
      <c r="Q898" t="n">
        <v>0</v>
      </c>
      <c r="R898" s="2" t="inlineStr"/>
    </row>
    <row r="899" ht="15" customHeight="1">
      <c r="A899" t="inlineStr">
        <is>
          <t>A 1580-2022</t>
        </is>
      </c>
      <c r="B899" s="1" t="n">
        <v>44573</v>
      </c>
      <c r="C899" s="1" t="n">
        <v>46103</v>
      </c>
      <c r="D899" t="inlineStr">
        <is>
          <t>KRONOBERGS LÄN</t>
        </is>
      </c>
      <c r="E899" t="inlineStr">
        <is>
          <t>VÄXJÖ</t>
        </is>
      </c>
      <c r="G899" t="n">
        <v>1.2</v>
      </c>
      <c r="H899" t="n">
        <v>0</v>
      </c>
      <c r="I899" t="n">
        <v>0</v>
      </c>
      <c r="J899" t="n">
        <v>0</v>
      </c>
      <c r="K899" t="n">
        <v>0</v>
      </c>
      <c r="L899" t="n">
        <v>0</v>
      </c>
      <c r="M899" t="n">
        <v>0</v>
      </c>
      <c r="N899" t="n">
        <v>0</v>
      </c>
      <c r="O899" t="n">
        <v>0</v>
      </c>
      <c r="P899" t="n">
        <v>0</v>
      </c>
      <c r="Q899" t="n">
        <v>0</v>
      </c>
      <c r="R899" s="2" t="inlineStr"/>
    </row>
    <row r="900" ht="15" customHeight="1">
      <c r="A900" t="inlineStr">
        <is>
          <t>A 22296-2022</t>
        </is>
      </c>
      <c r="B900" s="1" t="n">
        <v>44712</v>
      </c>
      <c r="C900" s="1" t="n">
        <v>46103</v>
      </c>
      <c r="D900" t="inlineStr">
        <is>
          <t>KRONOBERGS LÄN</t>
        </is>
      </c>
      <c r="E900" t="inlineStr">
        <is>
          <t>VÄXJÖ</t>
        </is>
      </c>
      <c r="G900" t="n">
        <v>1.4</v>
      </c>
      <c r="H900" t="n">
        <v>0</v>
      </c>
      <c r="I900" t="n">
        <v>0</v>
      </c>
      <c r="J900" t="n">
        <v>0</v>
      </c>
      <c r="K900" t="n">
        <v>0</v>
      </c>
      <c r="L900" t="n">
        <v>0</v>
      </c>
      <c r="M900" t="n">
        <v>0</v>
      </c>
      <c r="N900" t="n">
        <v>0</v>
      </c>
      <c r="O900" t="n">
        <v>0</v>
      </c>
      <c r="P900" t="n">
        <v>0</v>
      </c>
      <c r="Q900" t="n">
        <v>0</v>
      </c>
      <c r="R900" s="2" t="inlineStr"/>
    </row>
    <row r="901" ht="15" customHeight="1">
      <c r="A901" t="inlineStr">
        <is>
          <t>A 67941-2021</t>
        </is>
      </c>
      <c r="B901" s="1" t="n">
        <v>44525</v>
      </c>
      <c r="C901" s="1" t="n">
        <v>46103</v>
      </c>
      <c r="D901" t="inlineStr">
        <is>
          <t>KRONOBERGS LÄN</t>
        </is>
      </c>
      <c r="E901" t="inlineStr">
        <is>
          <t>ÄLMHULT</t>
        </is>
      </c>
      <c r="G901" t="n">
        <v>0.5</v>
      </c>
      <c r="H901" t="n">
        <v>0</v>
      </c>
      <c r="I901" t="n">
        <v>0</v>
      </c>
      <c r="J901" t="n">
        <v>0</v>
      </c>
      <c r="K901" t="n">
        <v>0</v>
      </c>
      <c r="L901" t="n">
        <v>0</v>
      </c>
      <c r="M901" t="n">
        <v>0</v>
      </c>
      <c r="N901" t="n">
        <v>0</v>
      </c>
      <c r="O901" t="n">
        <v>0</v>
      </c>
      <c r="P901" t="n">
        <v>0</v>
      </c>
      <c r="Q901" t="n">
        <v>0</v>
      </c>
      <c r="R901" s="2" t="inlineStr"/>
    </row>
    <row r="902" ht="15" customHeight="1">
      <c r="A902" t="inlineStr">
        <is>
          <t>A 53535-2022</t>
        </is>
      </c>
      <c r="B902" s="1" t="n">
        <v>44879.61497685185</v>
      </c>
      <c r="C902" s="1" t="n">
        <v>46103</v>
      </c>
      <c r="D902" t="inlineStr">
        <is>
          <t>KRONOBERGS LÄN</t>
        </is>
      </c>
      <c r="E902" t="inlineStr">
        <is>
          <t>LJUNGBY</t>
        </is>
      </c>
      <c r="G902" t="n">
        <v>2.5</v>
      </c>
      <c r="H902" t="n">
        <v>0</v>
      </c>
      <c r="I902" t="n">
        <v>0</v>
      </c>
      <c r="J902" t="n">
        <v>0</v>
      </c>
      <c r="K902" t="n">
        <v>0</v>
      </c>
      <c r="L902" t="n">
        <v>0</v>
      </c>
      <c r="M902" t="n">
        <v>0</v>
      </c>
      <c r="N902" t="n">
        <v>0</v>
      </c>
      <c r="O902" t="n">
        <v>0</v>
      </c>
      <c r="P902" t="n">
        <v>0</v>
      </c>
      <c r="Q902" t="n">
        <v>0</v>
      </c>
      <c r="R902" s="2" t="inlineStr"/>
    </row>
    <row r="903" ht="15" customHeight="1">
      <c r="A903" t="inlineStr">
        <is>
          <t>A 11916-2022</t>
        </is>
      </c>
      <c r="B903" s="1" t="n">
        <v>44635</v>
      </c>
      <c r="C903" s="1" t="n">
        <v>46103</v>
      </c>
      <c r="D903" t="inlineStr">
        <is>
          <t>KRONOBERGS LÄN</t>
        </is>
      </c>
      <c r="E903" t="inlineStr">
        <is>
          <t>ALVESTA</t>
        </is>
      </c>
      <c r="G903" t="n">
        <v>0.9</v>
      </c>
      <c r="H903" t="n">
        <v>0</v>
      </c>
      <c r="I903" t="n">
        <v>0</v>
      </c>
      <c r="J903" t="n">
        <v>0</v>
      </c>
      <c r="K903" t="n">
        <v>0</v>
      </c>
      <c r="L903" t="n">
        <v>0</v>
      </c>
      <c r="M903" t="n">
        <v>0</v>
      </c>
      <c r="N903" t="n">
        <v>0</v>
      </c>
      <c r="O903" t="n">
        <v>0</v>
      </c>
      <c r="P903" t="n">
        <v>0</v>
      </c>
      <c r="Q903" t="n">
        <v>0</v>
      </c>
      <c r="R903" s="2" t="inlineStr"/>
    </row>
    <row r="904" ht="15" customHeight="1">
      <c r="A904" t="inlineStr">
        <is>
          <t>A 70869-2021</t>
        </is>
      </c>
      <c r="B904" s="1" t="n">
        <v>44538</v>
      </c>
      <c r="C904" s="1" t="n">
        <v>46103</v>
      </c>
      <c r="D904" t="inlineStr">
        <is>
          <t>KRONOBERGS LÄN</t>
        </is>
      </c>
      <c r="E904" t="inlineStr">
        <is>
          <t>ALVESTA</t>
        </is>
      </c>
      <c r="G904" t="n">
        <v>0.7</v>
      </c>
      <c r="H904" t="n">
        <v>0</v>
      </c>
      <c r="I904" t="n">
        <v>0</v>
      </c>
      <c r="J904" t="n">
        <v>0</v>
      </c>
      <c r="K904" t="n">
        <v>0</v>
      </c>
      <c r="L904" t="n">
        <v>0</v>
      </c>
      <c r="M904" t="n">
        <v>0</v>
      </c>
      <c r="N904" t="n">
        <v>0</v>
      </c>
      <c r="O904" t="n">
        <v>0</v>
      </c>
      <c r="P904" t="n">
        <v>0</v>
      </c>
      <c r="Q904" t="n">
        <v>0</v>
      </c>
      <c r="R904" s="2" t="inlineStr"/>
    </row>
    <row r="905" ht="15" customHeight="1">
      <c r="A905" t="inlineStr">
        <is>
          <t>A 18220-2022</t>
        </is>
      </c>
      <c r="B905" s="1" t="n">
        <v>44685.3320949074</v>
      </c>
      <c r="C905" s="1" t="n">
        <v>46103</v>
      </c>
      <c r="D905" t="inlineStr">
        <is>
          <t>KRONOBERGS LÄN</t>
        </is>
      </c>
      <c r="E905" t="inlineStr">
        <is>
          <t>ÄLMHULT</t>
        </is>
      </c>
      <c r="G905" t="n">
        <v>1.5</v>
      </c>
      <c r="H905" t="n">
        <v>0</v>
      </c>
      <c r="I905" t="n">
        <v>0</v>
      </c>
      <c r="J905" t="n">
        <v>0</v>
      </c>
      <c r="K905" t="n">
        <v>0</v>
      </c>
      <c r="L905" t="n">
        <v>0</v>
      </c>
      <c r="M905" t="n">
        <v>0</v>
      </c>
      <c r="N905" t="n">
        <v>0</v>
      </c>
      <c r="O905" t="n">
        <v>0</v>
      </c>
      <c r="P905" t="n">
        <v>0</v>
      </c>
      <c r="Q905" t="n">
        <v>0</v>
      </c>
      <c r="R905" s="2" t="inlineStr"/>
    </row>
    <row r="906" ht="15" customHeight="1">
      <c r="A906" t="inlineStr">
        <is>
          <t>A 2403-2022</t>
        </is>
      </c>
      <c r="B906" s="1" t="n">
        <v>44579</v>
      </c>
      <c r="C906" s="1" t="n">
        <v>46103</v>
      </c>
      <c r="D906" t="inlineStr">
        <is>
          <t>KRONOBERGS LÄN</t>
        </is>
      </c>
      <c r="E906" t="inlineStr">
        <is>
          <t>VÄXJÖ</t>
        </is>
      </c>
      <c r="G906" t="n">
        <v>0.6</v>
      </c>
      <c r="H906" t="n">
        <v>0</v>
      </c>
      <c r="I906" t="n">
        <v>0</v>
      </c>
      <c r="J906" t="n">
        <v>0</v>
      </c>
      <c r="K906" t="n">
        <v>0</v>
      </c>
      <c r="L906" t="n">
        <v>0</v>
      </c>
      <c r="M906" t="n">
        <v>0</v>
      </c>
      <c r="N906" t="n">
        <v>0</v>
      </c>
      <c r="O906" t="n">
        <v>0</v>
      </c>
      <c r="P906" t="n">
        <v>0</v>
      </c>
      <c r="Q906" t="n">
        <v>0</v>
      </c>
      <c r="R906" s="2" t="inlineStr"/>
    </row>
    <row r="907" ht="15" customHeight="1">
      <c r="A907" t="inlineStr">
        <is>
          <t>A 42534-2022</t>
        </is>
      </c>
      <c r="B907" s="1" t="n">
        <v>44831</v>
      </c>
      <c r="C907" s="1" t="n">
        <v>46103</v>
      </c>
      <c r="D907" t="inlineStr">
        <is>
          <t>KRONOBERGS LÄN</t>
        </is>
      </c>
      <c r="E907" t="inlineStr">
        <is>
          <t>LJUNGBY</t>
        </is>
      </c>
      <c r="G907" t="n">
        <v>3.1</v>
      </c>
      <c r="H907" t="n">
        <v>0</v>
      </c>
      <c r="I907" t="n">
        <v>0</v>
      </c>
      <c r="J907" t="n">
        <v>0</v>
      </c>
      <c r="K907" t="n">
        <v>0</v>
      </c>
      <c r="L907" t="n">
        <v>0</v>
      </c>
      <c r="M907" t="n">
        <v>0</v>
      </c>
      <c r="N907" t="n">
        <v>0</v>
      </c>
      <c r="O907" t="n">
        <v>0</v>
      </c>
      <c r="P907" t="n">
        <v>0</v>
      </c>
      <c r="Q907" t="n">
        <v>0</v>
      </c>
      <c r="R907" s="2" t="inlineStr"/>
    </row>
    <row r="908" ht="15" customHeight="1">
      <c r="A908" t="inlineStr">
        <is>
          <t>A 28968-2022</t>
        </is>
      </c>
      <c r="B908" s="1" t="n">
        <v>44749.62980324074</v>
      </c>
      <c r="C908" s="1" t="n">
        <v>46103</v>
      </c>
      <c r="D908" t="inlineStr">
        <is>
          <t>KRONOBERGS LÄN</t>
        </is>
      </c>
      <c r="E908" t="inlineStr">
        <is>
          <t>TINGSRYD</t>
        </is>
      </c>
      <c r="G908" t="n">
        <v>3.5</v>
      </c>
      <c r="H908" t="n">
        <v>0</v>
      </c>
      <c r="I908" t="n">
        <v>0</v>
      </c>
      <c r="J908" t="n">
        <v>0</v>
      </c>
      <c r="K908" t="n">
        <v>0</v>
      </c>
      <c r="L908" t="n">
        <v>0</v>
      </c>
      <c r="M908" t="n">
        <v>0</v>
      </c>
      <c r="N908" t="n">
        <v>0</v>
      </c>
      <c r="O908" t="n">
        <v>0</v>
      </c>
      <c r="P908" t="n">
        <v>0</v>
      </c>
      <c r="Q908" t="n">
        <v>0</v>
      </c>
      <c r="R908" s="2" t="inlineStr"/>
    </row>
    <row r="909" ht="15" customHeight="1">
      <c r="A909" t="inlineStr">
        <is>
          <t>A 22277-2021</t>
        </is>
      </c>
      <c r="B909" s="1" t="n">
        <v>44326.44072916666</v>
      </c>
      <c r="C909" s="1" t="n">
        <v>46103</v>
      </c>
      <c r="D909" t="inlineStr">
        <is>
          <t>KRONOBERGS LÄN</t>
        </is>
      </c>
      <c r="E909" t="inlineStr">
        <is>
          <t>ÄLMHULT</t>
        </is>
      </c>
      <c r="G909" t="n">
        <v>1.6</v>
      </c>
      <c r="H909" t="n">
        <v>0</v>
      </c>
      <c r="I909" t="n">
        <v>0</v>
      </c>
      <c r="J909" t="n">
        <v>0</v>
      </c>
      <c r="K909" t="n">
        <v>0</v>
      </c>
      <c r="L909" t="n">
        <v>0</v>
      </c>
      <c r="M909" t="n">
        <v>0</v>
      </c>
      <c r="N909" t="n">
        <v>0</v>
      </c>
      <c r="O909" t="n">
        <v>0</v>
      </c>
      <c r="P909" t="n">
        <v>0</v>
      </c>
      <c r="Q909" t="n">
        <v>0</v>
      </c>
      <c r="R909" s="2" t="inlineStr"/>
    </row>
    <row r="910" ht="15" customHeight="1">
      <c r="A910" t="inlineStr">
        <is>
          <t>A 16803-2021</t>
        </is>
      </c>
      <c r="B910" s="1" t="n">
        <v>44295</v>
      </c>
      <c r="C910" s="1" t="n">
        <v>46103</v>
      </c>
      <c r="D910" t="inlineStr">
        <is>
          <t>KRONOBERGS LÄN</t>
        </is>
      </c>
      <c r="E910" t="inlineStr">
        <is>
          <t>LJUNGBY</t>
        </is>
      </c>
      <c r="G910" t="n">
        <v>2.6</v>
      </c>
      <c r="H910" t="n">
        <v>0</v>
      </c>
      <c r="I910" t="n">
        <v>0</v>
      </c>
      <c r="J910" t="n">
        <v>0</v>
      </c>
      <c r="K910" t="n">
        <v>0</v>
      </c>
      <c r="L910" t="n">
        <v>0</v>
      </c>
      <c r="M910" t="n">
        <v>0</v>
      </c>
      <c r="N910" t="n">
        <v>0</v>
      </c>
      <c r="O910" t="n">
        <v>0</v>
      </c>
      <c r="P910" t="n">
        <v>0</v>
      </c>
      <c r="Q910" t="n">
        <v>0</v>
      </c>
      <c r="R910" s="2" t="inlineStr"/>
    </row>
    <row r="911" ht="15" customHeight="1">
      <c r="A911" t="inlineStr">
        <is>
          <t>A 54482-2022</t>
        </is>
      </c>
      <c r="B911" s="1" t="n">
        <v>44882.66891203704</v>
      </c>
      <c r="C911" s="1" t="n">
        <v>46103</v>
      </c>
      <c r="D911" t="inlineStr">
        <is>
          <t>KRONOBERGS LÄN</t>
        </is>
      </c>
      <c r="E911" t="inlineStr">
        <is>
          <t>LJUNGBY</t>
        </is>
      </c>
      <c r="G911" t="n">
        <v>0.5</v>
      </c>
      <c r="H911" t="n">
        <v>0</v>
      </c>
      <c r="I911" t="n">
        <v>0</v>
      </c>
      <c r="J911" t="n">
        <v>0</v>
      </c>
      <c r="K911" t="n">
        <v>0</v>
      </c>
      <c r="L911" t="n">
        <v>0</v>
      </c>
      <c r="M911" t="n">
        <v>0</v>
      </c>
      <c r="N911" t="n">
        <v>0</v>
      </c>
      <c r="O911" t="n">
        <v>0</v>
      </c>
      <c r="P911" t="n">
        <v>0</v>
      </c>
      <c r="Q911" t="n">
        <v>0</v>
      </c>
      <c r="R911" s="2" t="inlineStr"/>
    </row>
    <row r="912" ht="15" customHeight="1">
      <c r="A912" t="inlineStr">
        <is>
          <t>A 46392-2022</t>
        </is>
      </c>
      <c r="B912" s="1" t="n">
        <v>44848.38094907408</v>
      </c>
      <c r="C912" s="1" t="n">
        <v>46103</v>
      </c>
      <c r="D912" t="inlineStr">
        <is>
          <t>KRONOBERGS LÄN</t>
        </is>
      </c>
      <c r="E912" t="inlineStr">
        <is>
          <t>MARKARYD</t>
        </is>
      </c>
      <c r="G912" t="n">
        <v>0.5</v>
      </c>
      <c r="H912" t="n">
        <v>0</v>
      </c>
      <c r="I912" t="n">
        <v>0</v>
      </c>
      <c r="J912" t="n">
        <v>0</v>
      </c>
      <c r="K912" t="n">
        <v>0</v>
      </c>
      <c r="L912" t="n">
        <v>0</v>
      </c>
      <c r="M912" t="n">
        <v>0</v>
      </c>
      <c r="N912" t="n">
        <v>0</v>
      </c>
      <c r="O912" t="n">
        <v>0</v>
      </c>
      <c r="P912" t="n">
        <v>0</v>
      </c>
      <c r="Q912" t="n">
        <v>0</v>
      </c>
      <c r="R912" s="2" t="inlineStr"/>
    </row>
    <row r="913" ht="15" customHeight="1">
      <c r="A913" t="inlineStr">
        <is>
          <t>A 21960-2022</t>
        </is>
      </c>
      <c r="B913" s="1" t="n">
        <v>44711.51280092593</v>
      </c>
      <c r="C913" s="1" t="n">
        <v>46103</v>
      </c>
      <c r="D913" t="inlineStr">
        <is>
          <t>KRONOBERGS LÄN</t>
        </is>
      </c>
      <c r="E913" t="inlineStr">
        <is>
          <t>VÄXJÖ</t>
        </is>
      </c>
      <c r="G913" t="n">
        <v>0.7</v>
      </c>
      <c r="H913" t="n">
        <v>0</v>
      </c>
      <c r="I913" t="n">
        <v>0</v>
      </c>
      <c r="J913" t="n">
        <v>0</v>
      </c>
      <c r="K913" t="n">
        <v>0</v>
      </c>
      <c r="L913" t="n">
        <v>0</v>
      </c>
      <c r="M913" t="n">
        <v>0</v>
      </c>
      <c r="N913" t="n">
        <v>0</v>
      </c>
      <c r="O913" t="n">
        <v>0</v>
      </c>
      <c r="P913" t="n">
        <v>0</v>
      </c>
      <c r="Q913" t="n">
        <v>0</v>
      </c>
      <c r="R913" s="2" t="inlineStr"/>
    </row>
    <row r="914" ht="15" customHeight="1">
      <c r="A914" t="inlineStr">
        <is>
          <t>A 19495-2022</t>
        </is>
      </c>
      <c r="B914" s="1" t="n">
        <v>44693.49518518519</v>
      </c>
      <c r="C914" s="1" t="n">
        <v>46103</v>
      </c>
      <c r="D914" t="inlineStr">
        <is>
          <t>KRONOBERGS LÄN</t>
        </is>
      </c>
      <c r="E914" t="inlineStr">
        <is>
          <t>LESSEBO</t>
        </is>
      </c>
      <c r="G914" t="n">
        <v>0.8</v>
      </c>
      <c r="H914" t="n">
        <v>0</v>
      </c>
      <c r="I914" t="n">
        <v>0</v>
      </c>
      <c r="J914" t="n">
        <v>0</v>
      </c>
      <c r="K914" t="n">
        <v>0</v>
      </c>
      <c r="L914" t="n">
        <v>0</v>
      </c>
      <c r="M914" t="n">
        <v>0</v>
      </c>
      <c r="N914" t="n">
        <v>0</v>
      </c>
      <c r="O914" t="n">
        <v>0</v>
      </c>
      <c r="P914" t="n">
        <v>0</v>
      </c>
      <c r="Q914" t="n">
        <v>0</v>
      </c>
      <c r="R914" s="2" t="inlineStr"/>
    </row>
    <row r="915" ht="15" customHeight="1">
      <c r="A915" t="inlineStr">
        <is>
          <t>A 43623-2022</t>
        </is>
      </c>
      <c r="B915" s="1" t="n">
        <v>44837</v>
      </c>
      <c r="C915" s="1" t="n">
        <v>46103</v>
      </c>
      <c r="D915" t="inlineStr">
        <is>
          <t>KRONOBERGS LÄN</t>
        </is>
      </c>
      <c r="E915" t="inlineStr">
        <is>
          <t>MARKARYD</t>
        </is>
      </c>
      <c r="G915" t="n">
        <v>1.1</v>
      </c>
      <c r="H915" t="n">
        <v>0</v>
      </c>
      <c r="I915" t="n">
        <v>0</v>
      </c>
      <c r="J915" t="n">
        <v>0</v>
      </c>
      <c r="K915" t="n">
        <v>0</v>
      </c>
      <c r="L915" t="n">
        <v>0</v>
      </c>
      <c r="M915" t="n">
        <v>0</v>
      </c>
      <c r="N915" t="n">
        <v>0</v>
      </c>
      <c r="O915" t="n">
        <v>0</v>
      </c>
      <c r="P915" t="n">
        <v>0</v>
      </c>
      <c r="Q915" t="n">
        <v>0</v>
      </c>
      <c r="R915" s="2" t="inlineStr"/>
    </row>
    <row r="916" ht="15" customHeight="1">
      <c r="A916" t="inlineStr">
        <is>
          <t>A 24091-2021</t>
        </is>
      </c>
      <c r="B916" s="1" t="n">
        <v>44336</v>
      </c>
      <c r="C916" s="1" t="n">
        <v>46103</v>
      </c>
      <c r="D916" t="inlineStr">
        <is>
          <t>KRONOBERGS LÄN</t>
        </is>
      </c>
      <c r="E916" t="inlineStr">
        <is>
          <t>ALVESTA</t>
        </is>
      </c>
      <c r="G916" t="n">
        <v>0.8</v>
      </c>
      <c r="H916" t="n">
        <v>0</v>
      </c>
      <c r="I916" t="n">
        <v>0</v>
      </c>
      <c r="J916" t="n">
        <v>0</v>
      </c>
      <c r="K916" t="n">
        <v>0</v>
      </c>
      <c r="L916" t="n">
        <v>0</v>
      </c>
      <c r="M916" t="n">
        <v>0</v>
      </c>
      <c r="N916" t="n">
        <v>0</v>
      </c>
      <c r="O916" t="n">
        <v>0</v>
      </c>
      <c r="P916" t="n">
        <v>0</v>
      </c>
      <c r="Q916" t="n">
        <v>0</v>
      </c>
      <c r="R916" s="2" t="inlineStr"/>
    </row>
    <row r="917" ht="15" customHeight="1">
      <c r="A917" t="inlineStr">
        <is>
          <t>A 19663-2021</t>
        </is>
      </c>
      <c r="B917" s="1" t="n">
        <v>44312.66563657407</v>
      </c>
      <c r="C917" s="1" t="n">
        <v>46103</v>
      </c>
      <c r="D917" t="inlineStr">
        <is>
          <t>KRONOBERGS LÄN</t>
        </is>
      </c>
      <c r="E917" t="inlineStr">
        <is>
          <t>ÄLMHULT</t>
        </is>
      </c>
      <c r="G917" t="n">
        <v>2</v>
      </c>
      <c r="H917" t="n">
        <v>0</v>
      </c>
      <c r="I917" t="n">
        <v>0</v>
      </c>
      <c r="J917" t="n">
        <v>0</v>
      </c>
      <c r="K917" t="n">
        <v>0</v>
      </c>
      <c r="L917" t="n">
        <v>0</v>
      </c>
      <c r="M917" t="n">
        <v>0</v>
      </c>
      <c r="N917" t="n">
        <v>0</v>
      </c>
      <c r="O917" t="n">
        <v>0</v>
      </c>
      <c r="P917" t="n">
        <v>0</v>
      </c>
      <c r="Q917" t="n">
        <v>0</v>
      </c>
      <c r="R917" s="2" t="inlineStr"/>
    </row>
    <row r="918" ht="15" customHeight="1">
      <c r="A918" t="inlineStr">
        <is>
          <t>A 21938-2022</t>
        </is>
      </c>
      <c r="B918" s="1" t="n">
        <v>44711.4805324074</v>
      </c>
      <c r="C918" s="1" t="n">
        <v>46103</v>
      </c>
      <c r="D918" t="inlineStr">
        <is>
          <t>KRONOBERGS LÄN</t>
        </is>
      </c>
      <c r="E918" t="inlineStr">
        <is>
          <t>TINGSRYD</t>
        </is>
      </c>
      <c r="G918" t="n">
        <v>0.8</v>
      </c>
      <c r="H918" t="n">
        <v>0</v>
      </c>
      <c r="I918" t="n">
        <v>0</v>
      </c>
      <c r="J918" t="n">
        <v>0</v>
      </c>
      <c r="K918" t="n">
        <v>0</v>
      </c>
      <c r="L918" t="n">
        <v>0</v>
      </c>
      <c r="M918" t="n">
        <v>0</v>
      </c>
      <c r="N918" t="n">
        <v>0</v>
      </c>
      <c r="O918" t="n">
        <v>0</v>
      </c>
      <c r="P918" t="n">
        <v>0</v>
      </c>
      <c r="Q918" t="n">
        <v>0</v>
      </c>
      <c r="R918" s="2" t="inlineStr"/>
    </row>
    <row r="919" ht="15" customHeight="1">
      <c r="A919" t="inlineStr">
        <is>
          <t>A 21485-2021</t>
        </is>
      </c>
      <c r="B919" s="1" t="n">
        <v>44321.51725694445</v>
      </c>
      <c r="C919" s="1" t="n">
        <v>46103</v>
      </c>
      <c r="D919" t="inlineStr">
        <is>
          <t>KRONOBERGS LÄN</t>
        </is>
      </c>
      <c r="E919" t="inlineStr">
        <is>
          <t>LJUNGBY</t>
        </is>
      </c>
      <c r="G919" t="n">
        <v>1.5</v>
      </c>
      <c r="H919" t="n">
        <v>0</v>
      </c>
      <c r="I919" t="n">
        <v>0</v>
      </c>
      <c r="J919" t="n">
        <v>0</v>
      </c>
      <c r="K919" t="n">
        <v>0</v>
      </c>
      <c r="L919" t="n">
        <v>0</v>
      </c>
      <c r="M919" t="n">
        <v>0</v>
      </c>
      <c r="N919" t="n">
        <v>0</v>
      </c>
      <c r="O919" t="n">
        <v>0</v>
      </c>
      <c r="P919" t="n">
        <v>0</v>
      </c>
      <c r="Q919" t="n">
        <v>0</v>
      </c>
      <c r="R919" s="2" t="inlineStr"/>
    </row>
    <row r="920" ht="15" customHeight="1">
      <c r="A920" t="inlineStr">
        <is>
          <t>A 25579-2021</t>
        </is>
      </c>
      <c r="B920" s="1" t="n">
        <v>44343</v>
      </c>
      <c r="C920" s="1" t="n">
        <v>46103</v>
      </c>
      <c r="D920" t="inlineStr">
        <is>
          <t>KRONOBERGS LÄN</t>
        </is>
      </c>
      <c r="E920" t="inlineStr">
        <is>
          <t>TINGSRYD</t>
        </is>
      </c>
      <c r="F920" t="inlineStr">
        <is>
          <t>Övriga Aktiebolag</t>
        </is>
      </c>
      <c r="G920" t="n">
        <v>1.8</v>
      </c>
      <c r="H920" t="n">
        <v>0</v>
      </c>
      <c r="I920" t="n">
        <v>0</v>
      </c>
      <c r="J920" t="n">
        <v>0</v>
      </c>
      <c r="K920" t="n">
        <v>0</v>
      </c>
      <c r="L920" t="n">
        <v>0</v>
      </c>
      <c r="M920" t="n">
        <v>0</v>
      </c>
      <c r="N920" t="n">
        <v>0</v>
      </c>
      <c r="O920" t="n">
        <v>0</v>
      </c>
      <c r="P920" t="n">
        <v>0</v>
      </c>
      <c r="Q920" t="n">
        <v>0</v>
      </c>
      <c r="R920" s="2" t="inlineStr"/>
    </row>
    <row r="921" ht="15" customHeight="1">
      <c r="A921" t="inlineStr">
        <is>
          <t>A 8006-2022</t>
        </is>
      </c>
      <c r="B921" s="1" t="n">
        <v>44607</v>
      </c>
      <c r="C921" s="1" t="n">
        <v>46103</v>
      </c>
      <c r="D921" t="inlineStr">
        <is>
          <t>KRONOBERGS LÄN</t>
        </is>
      </c>
      <c r="E921" t="inlineStr">
        <is>
          <t>UPPVIDINGE</t>
        </is>
      </c>
      <c r="G921" t="n">
        <v>2.5</v>
      </c>
      <c r="H921" t="n">
        <v>0</v>
      </c>
      <c r="I921" t="n">
        <v>0</v>
      </c>
      <c r="J921" t="n">
        <v>0</v>
      </c>
      <c r="K921" t="n">
        <v>0</v>
      </c>
      <c r="L921" t="n">
        <v>0</v>
      </c>
      <c r="M921" t="n">
        <v>0</v>
      </c>
      <c r="N921" t="n">
        <v>0</v>
      </c>
      <c r="O921" t="n">
        <v>0</v>
      </c>
      <c r="P921" t="n">
        <v>0</v>
      </c>
      <c r="Q921" t="n">
        <v>0</v>
      </c>
      <c r="R921" s="2" t="inlineStr"/>
    </row>
    <row r="922" ht="15" customHeight="1">
      <c r="A922" t="inlineStr">
        <is>
          <t>A 8013-2022</t>
        </is>
      </c>
      <c r="B922" s="1" t="n">
        <v>44607</v>
      </c>
      <c r="C922" s="1" t="n">
        <v>46103</v>
      </c>
      <c r="D922" t="inlineStr">
        <is>
          <t>KRONOBERGS LÄN</t>
        </is>
      </c>
      <c r="E922" t="inlineStr">
        <is>
          <t>UPPVIDINGE</t>
        </is>
      </c>
      <c r="G922" t="n">
        <v>5.7</v>
      </c>
      <c r="H922" t="n">
        <v>0</v>
      </c>
      <c r="I922" t="n">
        <v>0</v>
      </c>
      <c r="J922" t="n">
        <v>0</v>
      </c>
      <c r="K922" t="n">
        <v>0</v>
      </c>
      <c r="L922" t="n">
        <v>0</v>
      </c>
      <c r="M922" t="n">
        <v>0</v>
      </c>
      <c r="N922" t="n">
        <v>0</v>
      </c>
      <c r="O922" t="n">
        <v>0</v>
      </c>
      <c r="P922" t="n">
        <v>0</v>
      </c>
      <c r="Q922" t="n">
        <v>0</v>
      </c>
      <c r="R922" s="2" t="inlineStr"/>
    </row>
    <row r="923" ht="15" customHeight="1">
      <c r="A923" t="inlineStr">
        <is>
          <t>A 44691-2021</t>
        </is>
      </c>
      <c r="B923" s="1" t="n">
        <v>44438</v>
      </c>
      <c r="C923" s="1" t="n">
        <v>46103</v>
      </c>
      <c r="D923" t="inlineStr">
        <is>
          <t>KRONOBERGS LÄN</t>
        </is>
      </c>
      <c r="E923" t="inlineStr">
        <is>
          <t>VÄXJÖ</t>
        </is>
      </c>
      <c r="G923" t="n">
        <v>3.7</v>
      </c>
      <c r="H923" t="n">
        <v>0</v>
      </c>
      <c r="I923" t="n">
        <v>0</v>
      </c>
      <c r="J923" t="n">
        <v>0</v>
      </c>
      <c r="K923" t="n">
        <v>0</v>
      </c>
      <c r="L923" t="n">
        <v>0</v>
      </c>
      <c r="M923" t="n">
        <v>0</v>
      </c>
      <c r="N923" t="n">
        <v>0</v>
      </c>
      <c r="O923" t="n">
        <v>0</v>
      </c>
      <c r="P923" t="n">
        <v>0</v>
      </c>
      <c r="Q923" t="n">
        <v>0</v>
      </c>
      <c r="R923" s="2" t="inlineStr"/>
    </row>
    <row r="924" ht="15" customHeight="1">
      <c r="A924" t="inlineStr">
        <is>
          <t>A 59220-2021</t>
        </is>
      </c>
      <c r="B924" s="1" t="n">
        <v>44490.62605324074</v>
      </c>
      <c r="C924" s="1" t="n">
        <v>46103</v>
      </c>
      <c r="D924" t="inlineStr">
        <is>
          <t>KRONOBERGS LÄN</t>
        </is>
      </c>
      <c r="E924" t="inlineStr">
        <is>
          <t>ALVESTA</t>
        </is>
      </c>
      <c r="G924" t="n">
        <v>0.6</v>
      </c>
      <c r="H924" t="n">
        <v>0</v>
      </c>
      <c r="I924" t="n">
        <v>0</v>
      </c>
      <c r="J924" t="n">
        <v>0</v>
      </c>
      <c r="K924" t="n">
        <v>0</v>
      </c>
      <c r="L924" t="n">
        <v>0</v>
      </c>
      <c r="M924" t="n">
        <v>0</v>
      </c>
      <c r="N924" t="n">
        <v>0</v>
      </c>
      <c r="O924" t="n">
        <v>0</v>
      </c>
      <c r="P924" t="n">
        <v>0</v>
      </c>
      <c r="Q924" t="n">
        <v>0</v>
      </c>
      <c r="R924" s="2" t="inlineStr"/>
    </row>
    <row r="925" ht="15" customHeight="1">
      <c r="A925" t="inlineStr">
        <is>
          <t>A 59281-2021</t>
        </is>
      </c>
      <c r="B925" s="1" t="n">
        <v>44490.74336805556</v>
      </c>
      <c r="C925" s="1" t="n">
        <v>46103</v>
      </c>
      <c r="D925" t="inlineStr">
        <is>
          <t>KRONOBERGS LÄN</t>
        </is>
      </c>
      <c r="E925" t="inlineStr">
        <is>
          <t>UPPVIDINGE</t>
        </is>
      </c>
      <c r="G925" t="n">
        <v>0.5</v>
      </c>
      <c r="H925" t="n">
        <v>0</v>
      </c>
      <c r="I925" t="n">
        <v>0</v>
      </c>
      <c r="J925" t="n">
        <v>0</v>
      </c>
      <c r="K925" t="n">
        <v>0</v>
      </c>
      <c r="L925" t="n">
        <v>0</v>
      </c>
      <c r="M925" t="n">
        <v>0</v>
      </c>
      <c r="N925" t="n">
        <v>0</v>
      </c>
      <c r="O925" t="n">
        <v>0</v>
      </c>
      <c r="P925" t="n">
        <v>0</v>
      </c>
      <c r="Q925" t="n">
        <v>0</v>
      </c>
      <c r="R925" s="2" t="inlineStr"/>
    </row>
    <row r="926" ht="15" customHeight="1">
      <c r="A926" t="inlineStr">
        <is>
          <t>A 31116-2022</t>
        </is>
      </c>
      <c r="B926" s="1" t="n">
        <v>44769.88133101852</v>
      </c>
      <c r="C926" s="1" t="n">
        <v>46103</v>
      </c>
      <c r="D926" t="inlineStr">
        <is>
          <t>KRONOBERGS LÄN</t>
        </is>
      </c>
      <c r="E926" t="inlineStr">
        <is>
          <t>VÄXJÖ</t>
        </is>
      </c>
      <c r="F926" t="inlineStr">
        <is>
          <t>Sveaskog</t>
        </is>
      </c>
      <c r="G926" t="n">
        <v>0.2</v>
      </c>
      <c r="H926" t="n">
        <v>0</v>
      </c>
      <c r="I926" t="n">
        <v>0</v>
      </c>
      <c r="J926" t="n">
        <v>0</v>
      </c>
      <c r="K926" t="n">
        <v>0</v>
      </c>
      <c r="L926" t="n">
        <v>0</v>
      </c>
      <c r="M926" t="n">
        <v>0</v>
      </c>
      <c r="N926" t="n">
        <v>0</v>
      </c>
      <c r="O926" t="n">
        <v>0</v>
      </c>
      <c r="P926" t="n">
        <v>0</v>
      </c>
      <c r="Q926" t="n">
        <v>0</v>
      </c>
      <c r="R926" s="2" t="inlineStr"/>
    </row>
    <row r="927" ht="15" customHeight="1">
      <c r="A927" t="inlineStr">
        <is>
          <t>A 55316-2022</t>
        </is>
      </c>
      <c r="B927" s="1" t="n">
        <v>44887.42283564815</v>
      </c>
      <c r="C927" s="1" t="n">
        <v>46103</v>
      </c>
      <c r="D927" t="inlineStr">
        <is>
          <t>KRONOBERGS LÄN</t>
        </is>
      </c>
      <c r="E927" t="inlineStr">
        <is>
          <t>UPPVIDINGE</t>
        </is>
      </c>
      <c r="G927" t="n">
        <v>5.7</v>
      </c>
      <c r="H927" t="n">
        <v>0</v>
      </c>
      <c r="I927" t="n">
        <v>0</v>
      </c>
      <c r="J927" t="n">
        <v>0</v>
      </c>
      <c r="K927" t="n">
        <v>0</v>
      </c>
      <c r="L927" t="n">
        <v>0</v>
      </c>
      <c r="M927" t="n">
        <v>0</v>
      </c>
      <c r="N927" t="n">
        <v>0</v>
      </c>
      <c r="O927" t="n">
        <v>0</v>
      </c>
      <c r="P927" t="n">
        <v>0</v>
      </c>
      <c r="Q927" t="n">
        <v>0</v>
      </c>
      <c r="R927" s="2" t="inlineStr"/>
    </row>
    <row r="928" ht="15" customHeight="1">
      <c r="A928" t="inlineStr">
        <is>
          <t>A 55320-2022</t>
        </is>
      </c>
      <c r="B928" s="1" t="n">
        <v>44887.42663194444</v>
      </c>
      <c r="C928" s="1" t="n">
        <v>46103</v>
      </c>
      <c r="D928" t="inlineStr">
        <is>
          <t>KRONOBERGS LÄN</t>
        </is>
      </c>
      <c r="E928" t="inlineStr">
        <is>
          <t>UPPVIDINGE</t>
        </is>
      </c>
      <c r="F928" t="inlineStr">
        <is>
          <t>Sveaskog</t>
        </is>
      </c>
      <c r="G928" t="n">
        <v>0.9</v>
      </c>
      <c r="H928" t="n">
        <v>0</v>
      </c>
      <c r="I928" t="n">
        <v>0</v>
      </c>
      <c r="J928" t="n">
        <v>0</v>
      </c>
      <c r="K928" t="n">
        <v>0</v>
      </c>
      <c r="L928" t="n">
        <v>0</v>
      </c>
      <c r="M928" t="n">
        <v>0</v>
      </c>
      <c r="N928" t="n">
        <v>0</v>
      </c>
      <c r="O928" t="n">
        <v>0</v>
      </c>
      <c r="P928" t="n">
        <v>0</v>
      </c>
      <c r="Q928" t="n">
        <v>0</v>
      </c>
      <c r="R928" s="2" t="inlineStr"/>
    </row>
    <row r="929" ht="15" customHeight="1">
      <c r="A929" t="inlineStr">
        <is>
          <t>A 54969-2021</t>
        </is>
      </c>
      <c r="B929" s="1" t="n">
        <v>44474.50032407408</v>
      </c>
      <c r="C929" s="1" t="n">
        <v>46103</v>
      </c>
      <c r="D929" t="inlineStr">
        <is>
          <t>KRONOBERGS LÄN</t>
        </is>
      </c>
      <c r="E929" t="inlineStr">
        <is>
          <t>ÄLMHULT</t>
        </is>
      </c>
      <c r="G929" t="n">
        <v>1.8</v>
      </c>
      <c r="H929" t="n">
        <v>0</v>
      </c>
      <c r="I929" t="n">
        <v>0</v>
      </c>
      <c r="J929" t="n">
        <v>0</v>
      </c>
      <c r="K929" t="n">
        <v>0</v>
      </c>
      <c r="L929" t="n">
        <v>0</v>
      </c>
      <c r="M929" t="n">
        <v>0</v>
      </c>
      <c r="N929" t="n">
        <v>0</v>
      </c>
      <c r="O929" t="n">
        <v>0</v>
      </c>
      <c r="P929" t="n">
        <v>0</v>
      </c>
      <c r="Q929" t="n">
        <v>0</v>
      </c>
      <c r="R929" s="2" t="inlineStr"/>
    </row>
    <row r="930" ht="15" customHeight="1">
      <c r="A930" t="inlineStr">
        <is>
          <t>A 12453-2022</t>
        </is>
      </c>
      <c r="B930" s="1" t="n">
        <v>44638.41520833333</v>
      </c>
      <c r="C930" s="1" t="n">
        <v>46103</v>
      </c>
      <c r="D930" t="inlineStr">
        <is>
          <t>KRONOBERGS LÄN</t>
        </is>
      </c>
      <c r="E930" t="inlineStr">
        <is>
          <t>MARKARYD</t>
        </is>
      </c>
      <c r="G930" t="n">
        <v>3</v>
      </c>
      <c r="H930" t="n">
        <v>0</v>
      </c>
      <c r="I930" t="n">
        <v>0</v>
      </c>
      <c r="J930" t="n">
        <v>0</v>
      </c>
      <c r="K930" t="n">
        <v>0</v>
      </c>
      <c r="L930" t="n">
        <v>0</v>
      </c>
      <c r="M930" t="n">
        <v>0</v>
      </c>
      <c r="N930" t="n">
        <v>0</v>
      </c>
      <c r="O930" t="n">
        <v>0</v>
      </c>
      <c r="P930" t="n">
        <v>0</v>
      </c>
      <c r="Q930" t="n">
        <v>0</v>
      </c>
      <c r="R930" s="2" t="inlineStr"/>
    </row>
    <row r="931" ht="15" customHeight="1">
      <c r="A931" t="inlineStr">
        <is>
          <t>A 29517-2022</t>
        </is>
      </c>
      <c r="B931" s="1" t="n">
        <v>44753.66400462963</v>
      </c>
      <c r="C931" s="1" t="n">
        <v>46103</v>
      </c>
      <c r="D931" t="inlineStr">
        <is>
          <t>KRONOBERGS LÄN</t>
        </is>
      </c>
      <c r="E931" t="inlineStr">
        <is>
          <t>TINGSRYD</t>
        </is>
      </c>
      <c r="G931" t="n">
        <v>0.6</v>
      </c>
      <c r="H931" t="n">
        <v>0</v>
      </c>
      <c r="I931" t="n">
        <v>0</v>
      </c>
      <c r="J931" t="n">
        <v>0</v>
      </c>
      <c r="K931" t="n">
        <v>0</v>
      </c>
      <c r="L931" t="n">
        <v>0</v>
      </c>
      <c r="M931" t="n">
        <v>0</v>
      </c>
      <c r="N931" t="n">
        <v>0</v>
      </c>
      <c r="O931" t="n">
        <v>0</v>
      </c>
      <c r="P931" t="n">
        <v>0</v>
      </c>
      <c r="Q931" t="n">
        <v>0</v>
      </c>
      <c r="R931" s="2" t="inlineStr"/>
    </row>
    <row r="932" ht="15" customHeight="1">
      <c r="A932" t="inlineStr">
        <is>
          <t>A 40620-2021</t>
        </is>
      </c>
      <c r="B932" s="1" t="n">
        <v>44420</v>
      </c>
      <c r="C932" s="1" t="n">
        <v>46103</v>
      </c>
      <c r="D932" t="inlineStr">
        <is>
          <t>KRONOBERGS LÄN</t>
        </is>
      </c>
      <c r="E932" t="inlineStr">
        <is>
          <t>TINGSRYD</t>
        </is>
      </c>
      <c r="G932" t="n">
        <v>0.7</v>
      </c>
      <c r="H932" t="n">
        <v>0</v>
      </c>
      <c r="I932" t="n">
        <v>0</v>
      </c>
      <c r="J932" t="n">
        <v>0</v>
      </c>
      <c r="K932" t="n">
        <v>0</v>
      </c>
      <c r="L932" t="n">
        <v>0</v>
      </c>
      <c r="M932" t="n">
        <v>0</v>
      </c>
      <c r="N932" t="n">
        <v>0</v>
      </c>
      <c r="O932" t="n">
        <v>0</v>
      </c>
      <c r="P932" t="n">
        <v>0</v>
      </c>
      <c r="Q932" t="n">
        <v>0</v>
      </c>
      <c r="R932" s="2" t="inlineStr"/>
    </row>
    <row r="933" ht="15" customHeight="1">
      <c r="A933" t="inlineStr">
        <is>
          <t>A 71392-2021</t>
        </is>
      </c>
      <c r="B933" s="1" t="n">
        <v>44540.34863425926</v>
      </c>
      <c r="C933" s="1" t="n">
        <v>46103</v>
      </c>
      <c r="D933" t="inlineStr">
        <is>
          <t>KRONOBERGS LÄN</t>
        </is>
      </c>
      <c r="E933" t="inlineStr">
        <is>
          <t>TINGSRYD</t>
        </is>
      </c>
      <c r="G933" t="n">
        <v>0</v>
      </c>
      <c r="H933" t="n">
        <v>0</v>
      </c>
      <c r="I933" t="n">
        <v>0</v>
      </c>
      <c r="J933" t="n">
        <v>0</v>
      </c>
      <c r="K933" t="n">
        <v>0</v>
      </c>
      <c r="L933" t="n">
        <v>0</v>
      </c>
      <c r="M933" t="n">
        <v>0</v>
      </c>
      <c r="N933" t="n">
        <v>0</v>
      </c>
      <c r="O933" t="n">
        <v>0</v>
      </c>
      <c r="P933" t="n">
        <v>0</v>
      </c>
      <c r="Q933" t="n">
        <v>0</v>
      </c>
      <c r="R933" s="2" t="inlineStr"/>
    </row>
    <row r="934" ht="15" customHeight="1">
      <c r="A934" t="inlineStr">
        <is>
          <t>A 70744-2021</t>
        </is>
      </c>
      <c r="B934" s="1" t="n">
        <v>44537.63180555555</v>
      </c>
      <c r="C934" s="1" t="n">
        <v>46103</v>
      </c>
      <c r="D934" t="inlineStr">
        <is>
          <t>KRONOBERGS LÄN</t>
        </is>
      </c>
      <c r="E934" t="inlineStr">
        <is>
          <t>LJUNGBY</t>
        </is>
      </c>
      <c r="G934" t="n">
        <v>0.8</v>
      </c>
      <c r="H934" t="n">
        <v>0</v>
      </c>
      <c r="I934" t="n">
        <v>0</v>
      </c>
      <c r="J934" t="n">
        <v>0</v>
      </c>
      <c r="K934" t="n">
        <v>0</v>
      </c>
      <c r="L934" t="n">
        <v>0</v>
      </c>
      <c r="M934" t="n">
        <v>0</v>
      </c>
      <c r="N934" t="n">
        <v>0</v>
      </c>
      <c r="O934" t="n">
        <v>0</v>
      </c>
      <c r="P934" t="n">
        <v>0</v>
      </c>
      <c r="Q934" t="n">
        <v>0</v>
      </c>
      <c r="R934" s="2" t="inlineStr"/>
    </row>
    <row r="935" ht="15" customHeight="1">
      <c r="A935" t="inlineStr">
        <is>
          <t>A 43881-2021</t>
        </is>
      </c>
      <c r="B935" s="1" t="n">
        <v>44434</v>
      </c>
      <c r="C935" s="1" t="n">
        <v>46103</v>
      </c>
      <c r="D935" t="inlineStr">
        <is>
          <t>KRONOBERGS LÄN</t>
        </is>
      </c>
      <c r="E935" t="inlineStr">
        <is>
          <t>ÄLMHULT</t>
        </is>
      </c>
      <c r="G935" t="n">
        <v>2.2</v>
      </c>
      <c r="H935" t="n">
        <v>0</v>
      </c>
      <c r="I935" t="n">
        <v>0</v>
      </c>
      <c r="J935" t="n">
        <v>0</v>
      </c>
      <c r="K935" t="n">
        <v>0</v>
      </c>
      <c r="L935" t="n">
        <v>0</v>
      </c>
      <c r="M935" t="n">
        <v>0</v>
      </c>
      <c r="N935" t="n">
        <v>0</v>
      </c>
      <c r="O935" t="n">
        <v>0</v>
      </c>
      <c r="P935" t="n">
        <v>0</v>
      </c>
      <c r="Q935" t="n">
        <v>0</v>
      </c>
      <c r="R935" s="2" t="inlineStr"/>
    </row>
    <row r="936" ht="15" customHeight="1">
      <c r="A936" t="inlineStr">
        <is>
          <t>A 16931-2022</t>
        </is>
      </c>
      <c r="B936" s="1" t="n">
        <v>44676.45506944445</v>
      </c>
      <c r="C936" s="1" t="n">
        <v>46103</v>
      </c>
      <c r="D936" t="inlineStr">
        <is>
          <t>KRONOBERGS LÄN</t>
        </is>
      </c>
      <c r="E936" t="inlineStr">
        <is>
          <t>TINGSRYD</t>
        </is>
      </c>
      <c r="G936" t="n">
        <v>0.5</v>
      </c>
      <c r="H936" t="n">
        <v>0</v>
      </c>
      <c r="I936" t="n">
        <v>0</v>
      </c>
      <c r="J936" t="n">
        <v>0</v>
      </c>
      <c r="K936" t="n">
        <v>0</v>
      </c>
      <c r="L936" t="n">
        <v>0</v>
      </c>
      <c r="M936" t="n">
        <v>0</v>
      </c>
      <c r="N936" t="n">
        <v>0</v>
      </c>
      <c r="O936" t="n">
        <v>0</v>
      </c>
      <c r="P936" t="n">
        <v>0</v>
      </c>
      <c r="Q936" t="n">
        <v>0</v>
      </c>
      <c r="R936" s="2" t="inlineStr"/>
    </row>
    <row r="937" ht="15" customHeight="1">
      <c r="A937" t="inlineStr">
        <is>
          <t>A 16970-2022</t>
        </is>
      </c>
      <c r="B937" s="1" t="n">
        <v>44676.56075231481</v>
      </c>
      <c r="C937" s="1" t="n">
        <v>46103</v>
      </c>
      <c r="D937" t="inlineStr">
        <is>
          <t>KRONOBERGS LÄN</t>
        </is>
      </c>
      <c r="E937" t="inlineStr">
        <is>
          <t>UPPVIDINGE</t>
        </is>
      </c>
      <c r="G937" t="n">
        <v>0.4</v>
      </c>
      <c r="H937" t="n">
        <v>0</v>
      </c>
      <c r="I937" t="n">
        <v>0</v>
      </c>
      <c r="J937" t="n">
        <v>0</v>
      </c>
      <c r="K937" t="n">
        <v>0</v>
      </c>
      <c r="L937" t="n">
        <v>0</v>
      </c>
      <c r="M937" t="n">
        <v>0</v>
      </c>
      <c r="N937" t="n">
        <v>0</v>
      </c>
      <c r="O937" t="n">
        <v>0</v>
      </c>
      <c r="P937" t="n">
        <v>0</v>
      </c>
      <c r="Q937" t="n">
        <v>0</v>
      </c>
      <c r="R937" s="2" t="inlineStr"/>
    </row>
    <row r="938" ht="15" customHeight="1">
      <c r="A938" t="inlineStr">
        <is>
          <t>A 39324-2022</t>
        </is>
      </c>
      <c r="B938" s="1" t="n">
        <v>44817</v>
      </c>
      <c r="C938" s="1" t="n">
        <v>46103</v>
      </c>
      <c r="D938" t="inlineStr">
        <is>
          <t>KRONOBERGS LÄN</t>
        </is>
      </c>
      <c r="E938" t="inlineStr">
        <is>
          <t>LJUNGBY</t>
        </is>
      </c>
      <c r="G938" t="n">
        <v>1</v>
      </c>
      <c r="H938" t="n">
        <v>0</v>
      </c>
      <c r="I938" t="n">
        <v>0</v>
      </c>
      <c r="J938" t="n">
        <v>0</v>
      </c>
      <c r="K938" t="n">
        <v>0</v>
      </c>
      <c r="L938" t="n">
        <v>0</v>
      </c>
      <c r="M938" t="n">
        <v>0</v>
      </c>
      <c r="N938" t="n">
        <v>0</v>
      </c>
      <c r="O938" t="n">
        <v>0</v>
      </c>
      <c r="P938" t="n">
        <v>0</v>
      </c>
      <c r="Q938" t="n">
        <v>0</v>
      </c>
      <c r="R938" s="2" t="inlineStr"/>
    </row>
    <row r="939" ht="15" customHeight="1">
      <c r="A939" t="inlineStr">
        <is>
          <t>A 20658-2022</t>
        </is>
      </c>
      <c r="B939" s="1" t="n">
        <v>44700</v>
      </c>
      <c r="C939" s="1" t="n">
        <v>46103</v>
      </c>
      <c r="D939" t="inlineStr">
        <is>
          <t>KRONOBERGS LÄN</t>
        </is>
      </c>
      <c r="E939" t="inlineStr">
        <is>
          <t>MARKARYD</t>
        </is>
      </c>
      <c r="G939" t="n">
        <v>1.2</v>
      </c>
      <c r="H939" t="n">
        <v>0</v>
      </c>
      <c r="I939" t="n">
        <v>0</v>
      </c>
      <c r="J939" t="n">
        <v>0</v>
      </c>
      <c r="K939" t="n">
        <v>0</v>
      </c>
      <c r="L939" t="n">
        <v>0</v>
      </c>
      <c r="M939" t="n">
        <v>0</v>
      </c>
      <c r="N939" t="n">
        <v>0</v>
      </c>
      <c r="O939" t="n">
        <v>0</v>
      </c>
      <c r="P939" t="n">
        <v>0</v>
      </c>
      <c r="Q939" t="n">
        <v>0</v>
      </c>
      <c r="R939" s="2" t="inlineStr"/>
    </row>
    <row r="940" ht="15" customHeight="1">
      <c r="A940" t="inlineStr">
        <is>
          <t>A 51310-2021</t>
        </is>
      </c>
      <c r="B940" s="1" t="n">
        <v>44461.61133101852</v>
      </c>
      <c r="C940" s="1" t="n">
        <v>46103</v>
      </c>
      <c r="D940" t="inlineStr">
        <is>
          <t>KRONOBERGS LÄN</t>
        </is>
      </c>
      <c r="E940" t="inlineStr">
        <is>
          <t>ALVESTA</t>
        </is>
      </c>
      <c r="G940" t="n">
        <v>1.5</v>
      </c>
      <c r="H940" t="n">
        <v>0</v>
      </c>
      <c r="I940" t="n">
        <v>0</v>
      </c>
      <c r="J940" t="n">
        <v>0</v>
      </c>
      <c r="K940" t="n">
        <v>0</v>
      </c>
      <c r="L940" t="n">
        <v>0</v>
      </c>
      <c r="M940" t="n">
        <v>0</v>
      </c>
      <c r="N940" t="n">
        <v>0</v>
      </c>
      <c r="O940" t="n">
        <v>0</v>
      </c>
      <c r="P940" t="n">
        <v>0</v>
      </c>
      <c r="Q940" t="n">
        <v>0</v>
      </c>
      <c r="R940" s="2" t="inlineStr"/>
    </row>
    <row r="941" ht="15" customHeight="1">
      <c r="A941" t="inlineStr">
        <is>
          <t>A 62160-2021</t>
        </is>
      </c>
      <c r="B941" s="1" t="n">
        <v>44502.74899305555</v>
      </c>
      <c r="C941" s="1" t="n">
        <v>46103</v>
      </c>
      <c r="D941" t="inlineStr">
        <is>
          <t>KRONOBERGS LÄN</t>
        </is>
      </c>
      <c r="E941" t="inlineStr">
        <is>
          <t>VÄXJÖ</t>
        </is>
      </c>
      <c r="F941" t="inlineStr">
        <is>
          <t>Sveaskog</t>
        </is>
      </c>
      <c r="G941" t="n">
        <v>1</v>
      </c>
      <c r="H941" t="n">
        <v>0</v>
      </c>
      <c r="I941" t="n">
        <v>0</v>
      </c>
      <c r="J941" t="n">
        <v>0</v>
      </c>
      <c r="K941" t="n">
        <v>0</v>
      </c>
      <c r="L941" t="n">
        <v>0</v>
      </c>
      <c r="M941" t="n">
        <v>0</v>
      </c>
      <c r="N941" t="n">
        <v>0</v>
      </c>
      <c r="O941" t="n">
        <v>0</v>
      </c>
      <c r="P941" t="n">
        <v>0</v>
      </c>
      <c r="Q941" t="n">
        <v>0</v>
      </c>
      <c r="R941" s="2" t="inlineStr"/>
    </row>
    <row r="942" ht="15" customHeight="1">
      <c r="A942" t="inlineStr">
        <is>
          <t>A 38395-2022</t>
        </is>
      </c>
      <c r="B942" s="1" t="n">
        <v>44812</v>
      </c>
      <c r="C942" s="1" t="n">
        <v>46103</v>
      </c>
      <c r="D942" t="inlineStr">
        <is>
          <t>KRONOBERGS LÄN</t>
        </is>
      </c>
      <c r="E942" t="inlineStr">
        <is>
          <t>VÄXJÖ</t>
        </is>
      </c>
      <c r="G942" t="n">
        <v>3.1</v>
      </c>
      <c r="H942" t="n">
        <v>0</v>
      </c>
      <c r="I942" t="n">
        <v>0</v>
      </c>
      <c r="J942" t="n">
        <v>0</v>
      </c>
      <c r="K942" t="n">
        <v>0</v>
      </c>
      <c r="L942" t="n">
        <v>0</v>
      </c>
      <c r="M942" t="n">
        <v>0</v>
      </c>
      <c r="N942" t="n">
        <v>0</v>
      </c>
      <c r="O942" t="n">
        <v>0</v>
      </c>
      <c r="P942" t="n">
        <v>0</v>
      </c>
      <c r="Q942" t="n">
        <v>0</v>
      </c>
      <c r="R942" s="2" t="inlineStr"/>
    </row>
    <row r="943" ht="15" customHeight="1">
      <c r="A943" t="inlineStr">
        <is>
          <t>A 37198-2022</t>
        </is>
      </c>
      <c r="B943" s="1" t="n">
        <v>44806</v>
      </c>
      <c r="C943" s="1" t="n">
        <v>46103</v>
      </c>
      <c r="D943" t="inlineStr">
        <is>
          <t>KRONOBERGS LÄN</t>
        </is>
      </c>
      <c r="E943" t="inlineStr">
        <is>
          <t>LJUNGBY</t>
        </is>
      </c>
      <c r="G943" t="n">
        <v>0.3</v>
      </c>
      <c r="H943" t="n">
        <v>0</v>
      </c>
      <c r="I943" t="n">
        <v>0</v>
      </c>
      <c r="J943" t="n">
        <v>0</v>
      </c>
      <c r="K943" t="n">
        <v>0</v>
      </c>
      <c r="L943" t="n">
        <v>0</v>
      </c>
      <c r="M943" t="n">
        <v>0</v>
      </c>
      <c r="N943" t="n">
        <v>0</v>
      </c>
      <c r="O943" t="n">
        <v>0</v>
      </c>
      <c r="P943" t="n">
        <v>0</v>
      </c>
      <c r="Q943" t="n">
        <v>0</v>
      </c>
      <c r="R943" s="2" t="inlineStr"/>
    </row>
    <row r="944" ht="15" customHeight="1">
      <c r="A944" t="inlineStr">
        <is>
          <t>A 40087-2022</t>
        </is>
      </c>
      <c r="B944" s="1" t="n">
        <v>44820.47135416666</v>
      </c>
      <c r="C944" s="1" t="n">
        <v>46103</v>
      </c>
      <c r="D944" t="inlineStr">
        <is>
          <t>KRONOBERGS LÄN</t>
        </is>
      </c>
      <c r="E944" t="inlineStr">
        <is>
          <t>LJUNGBY</t>
        </is>
      </c>
      <c r="G944" t="n">
        <v>2.2</v>
      </c>
      <c r="H944" t="n">
        <v>0</v>
      </c>
      <c r="I944" t="n">
        <v>0</v>
      </c>
      <c r="J944" t="n">
        <v>0</v>
      </c>
      <c r="K944" t="n">
        <v>0</v>
      </c>
      <c r="L944" t="n">
        <v>0</v>
      </c>
      <c r="M944" t="n">
        <v>0</v>
      </c>
      <c r="N944" t="n">
        <v>0</v>
      </c>
      <c r="O944" t="n">
        <v>0</v>
      </c>
      <c r="P944" t="n">
        <v>0</v>
      </c>
      <c r="Q944" t="n">
        <v>0</v>
      </c>
      <c r="R944" s="2" t="inlineStr"/>
    </row>
    <row r="945" ht="15" customHeight="1">
      <c r="A945" t="inlineStr">
        <is>
          <t>A 37720-2022</t>
        </is>
      </c>
      <c r="B945" s="1" t="n">
        <v>44810</v>
      </c>
      <c r="C945" s="1" t="n">
        <v>46103</v>
      </c>
      <c r="D945" t="inlineStr">
        <is>
          <t>KRONOBERGS LÄN</t>
        </is>
      </c>
      <c r="E945" t="inlineStr">
        <is>
          <t>LJUNGBY</t>
        </is>
      </c>
      <c r="G945" t="n">
        <v>1.5</v>
      </c>
      <c r="H945" t="n">
        <v>0</v>
      </c>
      <c r="I945" t="n">
        <v>0</v>
      </c>
      <c r="J945" t="n">
        <v>0</v>
      </c>
      <c r="K945" t="n">
        <v>0</v>
      </c>
      <c r="L945" t="n">
        <v>0</v>
      </c>
      <c r="M945" t="n">
        <v>0</v>
      </c>
      <c r="N945" t="n">
        <v>0</v>
      </c>
      <c r="O945" t="n">
        <v>0</v>
      </c>
      <c r="P945" t="n">
        <v>0</v>
      </c>
      <c r="Q945" t="n">
        <v>0</v>
      </c>
      <c r="R945" s="2" t="inlineStr"/>
    </row>
    <row r="946" ht="15" customHeight="1">
      <c r="A946" t="inlineStr">
        <is>
          <t>A 48475-2021</t>
        </is>
      </c>
      <c r="B946" s="1" t="n">
        <v>44452.39826388889</v>
      </c>
      <c r="C946" s="1" t="n">
        <v>46103</v>
      </c>
      <c r="D946" t="inlineStr">
        <is>
          <t>KRONOBERGS LÄN</t>
        </is>
      </c>
      <c r="E946" t="inlineStr">
        <is>
          <t>VÄXJÖ</t>
        </is>
      </c>
      <c r="G946" t="n">
        <v>0.5</v>
      </c>
      <c r="H946" t="n">
        <v>0</v>
      </c>
      <c r="I946" t="n">
        <v>0</v>
      </c>
      <c r="J946" t="n">
        <v>0</v>
      </c>
      <c r="K946" t="n">
        <v>0</v>
      </c>
      <c r="L946" t="n">
        <v>0</v>
      </c>
      <c r="M946" t="n">
        <v>0</v>
      </c>
      <c r="N946" t="n">
        <v>0</v>
      </c>
      <c r="O946" t="n">
        <v>0</v>
      </c>
      <c r="P946" t="n">
        <v>0</v>
      </c>
      <c r="Q946" t="n">
        <v>0</v>
      </c>
      <c r="R946" s="2" t="inlineStr"/>
    </row>
    <row r="947" ht="15" customHeight="1">
      <c r="A947" t="inlineStr">
        <is>
          <t>A 39895-2021</t>
        </is>
      </c>
      <c r="B947" s="1" t="n">
        <v>44417.77873842593</v>
      </c>
      <c r="C947" s="1" t="n">
        <v>46103</v>
      </c>
      <c r="D947" t="inlineStr">
        <is>
          <t>KRONOBERGS LÄN</t>
        </is>
      </c>
      <c r="E947" t="inlineStr">
        <is>
          <t>LJUNGBY</t>
        </is>
      </c>
      <c r="G947" t="n">
        <v>1.7</v>
      </c>
      <c r="H947" t="n">
        <v>0</v>
      </c>
      <c r="I947" t="n">
        <v>0</v>
      </c>
      <c r="J947" t="n">
        <v>0</v>
      </c>
      <c r="K947" t="n">
        <v>0</v>
      </c>
      <c r="L947" t="n">
        <v>0</v>
      </c>
      <c r="M947" t="n">
        <v>0</v>
      </c>
      <c r="N947" t="n">
        <v>0</v>
      </c>
      <c r="O947" t="n">
        <v>0</v>
      </c>
      <c r="P947" t="n">
        <v>0</v>
      </c>
      <c r="Q947" t="n">
        <v>0</v>
      </c>
      <c r="R947" s="2" t="inlineStr"/>
    </row>
    <row r="948" ht="15" customHeight="1">
      <c r="A948" t="inlineStr">
        <is>
          <t>A 44831-2021</t>
        </is>
      </c>
      <c r="B948" s="1" t="n">
        <v>44438</v>
      </c>
      <c r="C948" s="1" t="n">
        <v>46103</v>
      </c>
      <c r="D948" t="inlineStr">
        <is>
          <t>KRONOBERGS LÄN</t>
        </is>
      </c>
      <c r="E948" t="inlineStr">
        <is>
          <t>ALVESTA</t>
        </is>
      </c>
      <c r="G948" t="n">
        <v>3.8</v>
      </c>
      <c r="H948" t="n">
        <v>0</v>
      </c>
      <c r="I948" t="n">
        <v>0</v>
      </c>
      <c r="J948" t="n">
        <v>0</v>
      </c>
      <c r="K948" t="n">
        <v>0</v>
      </c>
      <c r="L948" t="n">
        <v>0</v>
      </c>
      <c r="M948" t="n">
        <v>0</v>
      </c>
      <c r="N948" t="n">
        <v>0</v>
      </c>
      <c r="O948" t="n">
        <v>0</v>
      </c>
      <c r="P948" t="n">
        <v>0</v>
      </c>
      <c r="Q948" t="n">
        <v>0</v>
      </c>
      <c r="R948" s="2" t="inlineStr"/>
    </row>
    <row r="949" ht="15" customHeight="1">
      <c r="A949" t="inlineStr">
        <is>
          <t>A 39419-2021</t>
        </is>
      </c>
      <c r="B949" s="1" t="n">
        <v>44414</v>
      </c>
      <c r="C949" s="1" t="n">
        <v>46103</v>
      </c>
      <c r="D949" t="inlineStr">
        <is>
          <t>KRONOBERGS LÄN</t>
        </is>
      </c>
      <c r="E949" t="inlineStr">
        <is>
          <t>TINGSRYD</t>
        </is>
      </c>
      <c r="G949" t="n">
        <v>0.5</v>
      </c>
      <c r="H949" t="n">
        <v>0</v>
      </c>
      <c r="I949" t="n">
        <v>0</v>
      </c>
      <c r="J949" t="n">
        <v>0</v>
      </c>
      <c r="K949" t="n">
        <v>0</v>
      </c>
      <c r="L949" t="n">
        <v>0</v>
      </c>
      <c r="M949" t="n">
        <v>0</v>
      </c>
      <c r="N949" t="n">
        <v>0</v>
      </c>
      <c r="O949" t="n">
        <v>0</v>
      </c>
      <c r="P949" t="n">
        <v>0</v>
      </c>
      <c r="Q949" t="n">
        <v>0</v>
      </c>
      <c r="R949" s="2" t="inlineStr"/>
    </row>
    <row r="950" ht="15" customHeight="1">
      <c r="A950" t="inlineStr">
        <is>
          <t>A 42654-2021</t>
        </is>
      </c>
      <c r="B950" s="1" t="n">
        <v>44428</v>
      </c>
      <c r="C950" s="1" t="n">
        <v>46103</v>
      </c>
      <c r="D950" t="inlineStr">
        <is>
          <t>KRONOBERGS LÄN</t>
        </is>
      </c>
      <c r="E950" t="inlineStr">
        <is>
          <t>TINGSRYD</t>
        </is>
      </c>
      <c r="G950" t="n">
        <v>1.7</v>
      </c>
      <c r="H950" t="n">
        <v>0</v>
      </c>
      <c r="I950" t="n">
        <v>0</v>
      </c>
      <c r="J950" t="n">
        <v>0</v>
      </c>
      <c r="K950" t="n">
        <v>0</v>
      </c>
      <c r="L950" t="n">
        <v>0</v>
      </c>
      <c r="M950" t="n">
        <v>0</v>
      </c>
      <c r="N950" t="n">
        <v>0</v>
      </c>
      <c r="O950" t="n">
        <v>0</v>
      </c>
      <c r="P950" t="n">
        <v>0</v>
      </c>
      <c r="Q950" t="n">
        <v>0</v>
      </c>
      <c r="R950" s="2" t="inlineStr"/>
    </row>
    <row r="951" ht="15" customHeight="1">
      <c r="A951" t="inlineStr">
        <is>
          <t>A 42468-2021</t>
        </is>
      </c>
      <c r="B951" s="1" t="n">
        <v>44427.62268518518</v>
      </c>
      <c r="C951" s="1" t="n">
        <v>46103</v>
      </c>
      <c r="D951" t="inlineStr">
        <is>
          <t>KRONOBERGS LÄN</t>
        </is>
      </c>
      <c r="E951" t="inlineStr">
        <is>
          <t>VÄXJÖ</t>
        </is>
      </c>
      <c r="G951" t="n">
        <v>0</v>
      </c>
      <c r="H951" t="n">
        <v>0</v>
      </c>
      <c r="I951" t="n">
        <v>0</v>
      </c>
      <c r="J951" t="n">
        <v>0</v>
      </c>
      <c r="K951" t="n">
        <v>0</v>
      </c>
      <c r="L951" t="n">
        <v>0</v>
      </c>
      <c r="M951" t="n">
        <v>0</v>
      </c>
      <c r="N951" t="n">
        <v>0</v>
      </c>
      <c r="O951" t="n">
        <v>0</v>
      </c>
      <c r="P951" t="n">
        <v>0</v>
      </c>
      <c r="Q951" t="n">
        <v>0</v>
      </c>
      <c r="R951" s="2" t="inlineStr"/>
    </row>
    <row r="952" ht="15" customHeight="1">
      <c r="A952" t="inlineStr">
        <is>
          <t>A 13999-2021</t>
        </is>
      </c>
      <c r="B952" s="1" t="n">
        <v>44277.60974537037</v>
      </c>
      <c r="C952" s="1" t="n">
        <v>46103</v>
      </c>
      <c r="D952" t="inlineStr">
        <is>
          <t>KRONOBERGS LÄN</t>
        </is>
      </c>
      <c r="E952" t="inlineStr">
        <is>
          <t>LJUNGBY</t>
        </is>
      </c>
      <c r="G952" t="n">
        <v>0.5</v>
      </c>
      <c r="H952" t="n">
        <v>0</v>
      </c>
      <c r="I952" t="n">
        <v>0</v>
      </c>
      <c r="J952" t="n">
        <v>0</v>
      </c>
      <c r="K952" t="n">
        <v>0</v>
      </c>
      <c r="L952" t="n">
        <v>0</v>
      </c>
      <c r="M952" t="n">
        <v>0</v>
      </c>
      <c r="N952" t="n">
        <v>0</v>
      </c>
      <c r="O952" t="n">
        <v>0</v>
      </c>
      <c r="P952" t="n">
        <v>0</v>
      </c>
      <c r="Q952" t="n">
        <v>0</v>
      </c>
      <c r="R952" s="2" t="inlineStr"/>
    </row>
    <row r="953" ht="15" customHeight="1">
      <c r="A953" t="inlineStr">
        <is>
          <t>A 22218-2021</t>
        </is>
      </c>
      <c r="B953" s="1" t="n">
        <v>44326</v>
      </c>
      <c r="C953" s="1" t="n">
        <v>46103</v>
      </c>
      <c r="D953" t="inlineStr">
        <is>
          <t>KRONOBERGS LÄN</t>
        </is>
      </c>
      <c r="E953" t="inlineStr">
        <is>
          <t>ALVESTA</t>
        </is>
      </c>
      <c r="G953" t="n">
        <v>0.5</v>
      </c>
      <c r="H953" t="n">
        <v>0</v>
      </c>
      <c r="I953" t="n">
        <v>0</v>
      </c>
      <c r="J953" t="n">
        <v>0</v>
      </c>
      <c r="K953" t="n">
        <v>0</v>
      </c>
      <c r="L953" t="n">
        <v>0</v>
      </c>
      <c r="M953" t="n">
        <v>0</v>
      </c>
      <c r="N953" t="n">
        <v>0</v>
      </c>
      <c r="O953" t="n">
        <v>0</v>
      </c>
      <c r="P953" t="n">
        <v>0</v>
      </c>
      <c r="Q953" t="n">
        <v>0</v>
      </c>
      <c r="R953" s="2" t="inlineStr"/>
    </row>
    <row r="954" ht="15" customHeight="1">
      <c r="A954" t="inlineStr">
        <is>
          <t>A 13892-2021</t>
        </is>
      </c>
      <c r="B954" s="1" t="n">
        <v>44277</v>
      </c>
      <c r="C954" s="1" t="n">
        <v>46103</v>
      </c>
      <c r="D954" t="inlineStr">
        <is>
          <t>KRONOBERGS LÄN</t>
        </is>
      </c>
      <c r="E954" t="inlineStr">
        <is>
          <t>VÄXJÖ</t>
        </is>
      </c>
      <c r="G954" t="n">
        <v>1.5</v>
      </c>
      <c r="H954" t="n">
        <v>0</v>
      </c>
      <c r="I954" t="n">
        <v>0</v>
      </c>
      <c r="J954" t="n">
        <v>0</v>
      </c>
      <c r="K954" t="n">
        <v>0</v>
      </c>
      <c r="L954" t="n">
        <v>0</v>
      </c>
      <c r="M954" t="n">
        <v>0</v>
      </c>
      <c r="N954" t="n">
        <v>0</v>
      </c>
      <c r="O954" t="n">
        <v>0</v>
      </c>
      <c r="P954" t="n">
        <v>0</v>
      </c>
      <c r="Q954" t="n">
        <v>0</v>
      </c>
      <c r="R954" s="2" t="inlineStr"/>
    </row>
    <row r="955" ht="15" customHeight="1">
      <c r="A955" t="inlineStr">
        <is>
          <t>A 58824-2021</t>
        </is>
      </c>
      <c r="B955" s="1" t="n">
        <v>44489</v>
      </c>
      <c r="C955" s="1" t="n">
        <v>46103</v>
      </c>
      <c r="D955" t="inlineStr">
        <is>
          <t>KRONOBERGS LÄN</t>
        </is>
      </c>
      <c r="E955" t="inlineStr">
        <is>
          <t>VÄXJÖ</t>
        </is>
      </c>
      <c r="G955" t="n">
        <v>0.3</v>
      </c>
      <c r="H955" t="n">
        <v>0</v>
      </c>
      <c r="I955" t="n">
        <v>0</v>
      </c>
      <c r="J955" t="n">
        <v>0</v>
      </c>
      <c r="K955" t="n">
        <v>0</v>
      </c>
      <c r="L955" t="n">
        <v>0</v>
      </c>
      <c r="M955" t="n">
        <v>0</v>
      </c>
      <c r="N955" t="n">
        <v>0</v>
      </c>
      <c r="O955" t="n">
        <v>0</v>
      </c>
      <c r="P955" t="n">
        <v>0</v>
      </c>
      <c r="Q955" t="n">
        <v>0</v>
      </c>
      <c r="R955" s="2" t="inlineStr"/>
    </row>
    <row r="956" ht="15" customHeight="1">
      <c r="A956" t="inlineStr">
        <is>
          <t>A 58827-2021</t>
        </is>
      </c>
      <c r="B956" s="1" t="n">
        <v>44489</v>
      </c>
      <c r="C956" s="1" t="n">
        <v>46103</v>
      </c>
      <c r="D956" t="inlineStr">
        <is>
          <t>KRONOBERGS LÄN</t>
        </is>
      </c>
      <c r="E956" t="inlineStr">
        <is>
          <t>VÄXJÖ</t>
        </is>
      </c>
      <c r="G956" t="n">
        <v>1.5</v>
      </c>
      <c r="H956" t="n">
        <v>0</v>
      </c>
      <c r="I956" t="n">
        <v>0</v>
      </c>
      <c r="J956" t="n">
        <v>0</v>
      </c>
      <c r="K956" t="n">
        <v>0</v>
      </c>
      <c r="L956" t="n">
        <v>0</v>
      </c>
      <c r="M956" t="n">
        <v>0</v>
      </c>
      <c r="N956" t="n">
        <v>0</v>
      </c>
      <c r="O956" t="n">
        <v>0</v>
      </c>
      <c r="P956" t="n">
        <v>0</v>
      </c>
      <c r="Q956" t="n">
        <v>0</v>
      </c>
      <c r="R956" s="2" t="inlineStr"/>
    </row>
    <row r="957" ht="15" customHeight="1">
      <c r="A957" t="inlineStr">
        <is>
          <t>A 22679-2021</t>
        </is>
      </c>
      <c r="B957" s="1" t="n">
        <v>44327.57980324074</v>
      </c>
      <c r="C957" s="1" t="n">
        <v>46103</v>
      </c>
      <c r="D957" t="inlineStr">
        <is>
          <t>KRONOBERGS LÄN</t>
        </is>
      </c>
      <c r="E957" t="inlineStr">
        <is>
          <t>ÄLMHULT</t>
        </is>
      </c>
      <c r="G957" t="n">
        <v>1.3</v>
      </c>
      <c r="H957" t="n">
        <v>0</v>
      </c>
      <c r="I957" t="n">
        <v>0</v>
      </c>
      <c r="J957" t="n">
        <v>0</v>
      </c>
      <c r="K957" t="n">
        <v>0</v>
      </c>
      <c r="L957" t="n">
        <v>0</v>
      </c>
      <c r="M957" t="n">
        <v>0</v>
      </c>
      <c r="N957" t="n">
        <v>0</v>
      </c>
      <c r="O957" t="n">
        <v>0</v>
      </c>
      <c r="P957" t="n">
        <v>0</v>
      </c>
      <c r="Q957" t="n">
        <v>0</v>
      </c>
      <c r="R957" s="2" t="inlineStr"/>
    </row>
    <row r="958" ht="15" customHeight="1">
      <c r="A958" t="inlineStr">
        <is>
          <t>A 55545-2021</t>
        </is>
      </c>
      <c r="B958" s="1" t="n">
        <v>44475.66188657407</v>
      </c>
      <c r="C958" s="1" t="n">
        <v>46103</v>
      </c>
      <c r="D958" t="inlineStr">
        <is>
          <t>KRONOBERGS LÄN</t>
        </is>
      </c>
      <c r="E958" t="inlineStr">
        <is>
          <t>UPPVIDINGE</t>
        </is>
      </c>
      <c r="G958" t="n">
        <v>1.7</v>
      </c>
      <c r="H958" t="n">
        <v>0</v>
      </c>
      <c r="I958" t="n">
        <v>0</v>
      </c>
      <c r="J958" t="n">
        <v>0</v>
      </c>
      <c r="K958" t="n">
        <v>0</v>
      </c>
      <c r="L958" t="n">
        <v>0</v>
      </c>
      <c r="M958" t="n">
        <v>0</v>
      </c>
      <c r="N958" t="n">
        <v>0</v>
      </c>
      <c r="O958" t="n">
        <v>0</v>
      </c>
      <c r="P958" t="n">
        <v>0</v>
      </c>
      <c r="Q958" t="n">
        <v>0</v>
      </c>
      <c r="R958" s="2" t="inlineStr"/>
    </row>
    <row r="959" ht="15" customHeight="1">
      <c r="A959" t="inlineStr">
        <is>
          <t>A 22576-2021</t>
        </is>
      </c>
      <c r="B959" s="1" t="n">
        <v>44327</v>
      </c>
      <c r="C959" s="1" t="n">
        <v>46103</v>
      </c>
      <c r="D959" t="inlineStr">
        <is>
          <t>KRONOBERGS LÄN</t>
        </is>
      </c>
      <c r="E959" t="inlineStr">
        <is>
          <t>VÄXJÖ</t>
        </is>
      </c>
      <c r="G959" t="n">
        <v>5.8</v>
      </c>
      <c r="H959" t="n">
        <v>0</v>
      </c>
      <c r="I959" t="n">
        <v>0</v>
      </c>
      <c r="J959" t="n">
        <v>0</v>
      </c>
      <c r="K959" t="n">
        <v>0</v>
      </c>
      <c r="L959" t="n">
        <v>0</v>
      </c>
      <c r="M959" t="n">
        <v>0</v>
      </c>
      <c r="N959" t="n">
        <v>0</v>
      </c>
      <c r="O959" t="n">
        <v>0</v>
      </c>
      <c r="P959" t="n">
        <v>0</v>
      </c>
      <c r="Q959" t="n">
        <v>0</v>
      </c>
      <c r="R959" s="2" t="inlineStr"/>
    </row>
    <row r="960" ht="15" customHeight="1">
      <c r="A960" t="inlineStr">
        <is>
          <t>A 57276-2021</t>
        </is>
      </c>
      <c r="B960" s="1" t="n">
        <v>44483</v>
      </c>
      <c r="C960" s="1" t="n">
        <v>46103</v>
      </c>
      <c r="D960" t="inlineStr">
        <is>
          <t>KRONOBERGS LÄN</t>
        </is>
      </c>
      <c r="E960" t="inlineStr">
        <is>
          <t>VÄXJÖ</t>
        </is>
      </c>
      <c r="G960" t="n">
        <v>0.6</v>
      </c>
      <c r="H960" t="n">
        <v>0</v>
      </c>
      <c r="I960" t="n">
        <v>0</v>
      </c>
      <c r="J960" t="n">
        <v>0</v>
      </c>
      <c r="K960" t="n">
        <v>0</v>
      </c>
      <c r="L960" t="n">
        <v>0</v>
      </c>
      <c r="M960" t="n">
        <v>0</v>
      </c>
      <c r="N960" t="n">
        <v>0</v>
      </c>
      <c r="O960" t="n">
        <v>0</v>
      </c>
      <c r="P960" t="n">
        <v>0</v>
      </c>
      <c r="Q960" t="n">
        <v>0</v>
      </c>
      <c r="R960" s="2" t="inlineStr"/>
    </row>
    <row r="961" ht="15" customHeight="1">
      <c r="A961" t="inlineStr">
        <is>
          <t>A 1689-2022</t>
        </is>
      </c>
      <c r="B961" s="1" t="n">
        <v>44574</v>
      </c>
      <c r="C961" s="1" t="n">
        <v>46103</v>
      </c>
      <c r="D961" t="inlineStr">
        <is>
          <t>KRONOBERGS LÄN</t>
        </is>
      </c>
      <c r="E961" t="inlineStr">
        <is>
          <t>UPPVIDINGE</t>
        </is>
      </c>
      <c r="G961" t="n">
        <v>4.4</v>
      </c>
      <c r="H961" t="n">
        <v>0</v>
      </c>
      <c r="I961" t="n">
        <v>0</v>
      </c>
      <c r="J961" t="n">
        <v>0</v>
      </c>
      <c r="K961" t="n">
        <v>0</v>
      </c>
      <c r="L961" t="n">
        <v>0</v>
      </c>
      <c r="M961" t="n">
        <v>0</v>
      </c>
      <c r="N961" t="n">
        <v>0</v>
      </c>
      <c r="O961" t="n">
        <v>0</v>
      </c>
      <c r="P961" t="n">
        <v>0</v>
      </c>
      <c r="Q961" t="n">
        <v>0</v>
      </c>
      <c r="R961" s="2" t="inlineStr"/>
    </row>
    <row r="962" ht="15" customHeight="1">
      <c r="A962" t="inlineStr">
        <is>
          <t>A 26569-2021</t>
        </is>
      </c>
      <c r="B962" s="1" t="n">
        <v>44348</v>
      </c>
      <c r="C962" s="1" t="n">
        <v>46103</v>
      </c>
      <c r="D962" t="inlineStr">
        <is>
          <t>KRONOBERGS LÄN</t>
        </is>
      </c>
      <c r="E962" t="inlineStr">
        <is>
          <t>LESSEBO</t>
        </is>
      </c>
      <c r="G962" t="n">
        <v>3.4</v>
      </c>
      <c r="H962" t="n">
        <v>0</v>
      </c>
      <c r="I962" t="n">
        <v>0</v>
      </c>
      <c r="J962" t="n">
        <v>0</v>
      </c>
      <c r="K962" t="n">
        <v>0</v>
      </c>
      <c r="L962" t="n">
        <v>0</v>
      </c>
      <c r="M962" t="n">
        <v>0</v>
      </c>
      <c r="N962" t="n">
        <v>0</v>
      </c>
      <c r="O962" t="n">
        <v>0</v>
      </c>
      <c r="P962" t="n">
        <v>0</v>
      </c>
      <c r="Q962" t="n">
        <v>0</v>
      </c>
      <c r="R962" s="2" t="inlineStr"/>
    </row>
    <row r="963" ht="15" customHeight="1">
      <c r="A963" t="inlineStr">
        <is>
          <t>A 69120-2021</t>
        </is>
      </c>
      <c r="B963" s="1" t="n">
        <v>44530</v>
      </c>
      <c r="C963" s="1" t="n">
        <v>46103</v>
      </c>
      <c r="D963" t="inlineStr">
        <is>
          <t>KRONOBERGS LÄN</t>
        </is>
      </c>
      <c r="E963" t="inlineStr">
        <is>
          <t>LJUNGBY</t>
        </is>
      </c>
      <c r="G963" t="n">
        <v>4.9</v>
      </c>
      <c r="H963" t="n">
        <v>0</v>
      </c>
      <c r="I963" t="n">
        <v>0</v>
      </c>
      <c r="J963" t="n">
        <v>0</v>
      </c>
      <c r="K963" t="n">
        <v>0</v>
      </c>
      <c r="L963" t="n">
        <v>0</v>
      </c>
      <c r="M963" t="n">
        <v>0</v>
      </c>
      <c r="N963" t="n">
        <v>0</v>
      </c>
      <c r="O963" t="n">
        <v>0</v>
      </c>
      <c r="P963" t="n">
        <v>0</v>
      </c>
      <c r="Q963" t="n">
        <v>0</v>
      </c>
      <c r="R963" s="2" t="inlineStr"/>
    </row>
    <row r="964" ht="15" customHeight="1">
      <c r="A964" t="inlineStr">
        <is>
          <t>A 13019-2022</t>
        </is>
      </c>
      <c r="B964" s="1" t="n">
        <v>44643.5586574074</v>
      </c>
      <c r="C964" s="1" t="n">
        <v>46103</v>
      </c>
      <c r="D964" t="inlineStr">
        <is>
          <t>KRONOBERGS LÄN</t>
        </is>
      </c>
      <c r="E964" t="inlineStr">
        <is>
          <t>ÄLMHULT</t>
        </is>
      </c>
      <c r="G964" t="n">
        <v>2.8</v>
      </c>
      <c r="H964" t="n">
        <v>0</v>
      </c>
      <c r="I964" t="n">
        <v>0</v>
      </c>
      <c r="J964" t="n">
        <v>0</v>
      </c>
      <c r="K964" t="n">
        <v>0</v>
      </c>
      <c r="L964" t="n">
        <v>0</v>
      </c>
      <c r="M964" t="n">
        <v>0</v>
      </c>
      <c r="N964" t="n">
        <v>0</v>
      </c>
      <c r="O964" t="n">
        <v>0</v>
      </c>
      <c r="P964" t="n">
        <v>0</v>
      </c>
      <c r="Q964" t="n">
        <v>0</v>
      </c>
      <c r="R964" s="2" t="inlineStr"/>
    </row>
    <row r="965" ht="15" customHeight="1">
      <c r="A965" t="inlineStr">
        <is>
          <t>A 63278-2021</t>
        </is>
      </c>
      <c r="B965" s="1" t="n">
        <v>44508.40770833333</v>
      </c>
      <c r="C965" s="1" t="n">
        <v>46103</v>
      </c>
      <c r="D965" t="inlineStr">
        <is>
          <t>KRONOBERGS LÄN</t>
        </is>
      </c>
      <c r="E965" t="inlineStr">
        <is>
          <t>VÄXJÖ</t>
        </is>
      </c>
      <c r="G965" t="n">
        <v>3.2</v>
      </c>
      <c r="H965" t="n">
        <v>0</v>
      </c>
      <c r="I965" t="n">
        <v>0</v>
      </c>
      <c r="J965" t="n">
        <v>0</v>
      </c>
      <c r="K965" t="n">
        <v>0</v>
      </c>
      <c r="L965" t="n">
        <v>0</v>
      </c>
      <c r="M965" t="n">
        <v>0</v>
      </c>
      <c r="N965" t="n">
        <v>0</v>
      </c>
      <c r="O965" t="n">
        <v>0</v>
      </c>
      <c r="P965" t="n">
        <v>0</v>
      </c>
      <c r="Q965" t="n">
        <v>0</v>
      </c>
      <c r="R965" s="2" t="inlineStr"/>
    </row>
    <row r="966" ht="15" customHeight="1">
      <c r="A966" t="inlineStr">
        <is>
          <t>A 63330-2021</t>
        </is>
      </c>
      <c r="B966" s="1" t="n">
        <v>44508.46548611111</v>
      </c>
      <c r="C966" s="1" t="n">
        <v>46103</v>
      </c>
      <c r="D966" t="inlineStr">
        <is>
          <t>KRONOBERGS LÄN</t>
        </is>
      </c>
      <c r="E966" t="inlineStr">
        <is>
          <t>LESSEBO</t>
        </is>
      </c>
      <c r="G966" t="n">
        <v>0.5</v>
      </c>
      <c r="H966" t="n">
        <v>0</v>
      </c>
      <c r="I966" t="n">
        <v>0</v>
      </c>
      <c r="J966" t="n">
        <v>0</v>
      </c>
      <c r="K966" t="n">
        <v>0</v>
      </c>
      <c r="L966" t="n">
        <v>0</v>
      </c>
      <c r="M966" t="n">
        <v>0</v>
      </c>
      <c r="N966" t="n">
        <v>0</v>
      </c>
      <c r="O966" t="n">
        <v>0</v>
      </c>
      <c r="P966" t="n">
        <v>0</v>
      </c>
      <c r="Q966" t="n">
        <v>0</v>
      </c>
      <c r="R966" s="2" t="inlineStr"/>
    </row>
    <row r="967" ht="15" customHeight="1">
      <c r="A967" t="inlineStr">
        <is>
          <t>A 9816-2022</t>
        </is>
      </c>
      <c r="B967" s="1" t="n">
        <v>44620</v>
      </c>
      <c r="C967" s="1" t="n">
        <v>46103</v>
      </c>
      <c r="D967" t="inlineStr">
        <is>
          <t>KRONOBERGS LÄN</t>
        </is>
      </c>
      <c r="E967" t="inlineStr">
        <is>
          <t>TINGSRYD</t>
        </is>
      </c>
      <c r="G967" t="n">
        <v>1.5</v>
      </c>
      <c r="H967" t="n">
        <v>0</v>
      </c>
      <c r="I967" t="n">
        <v>0</v>
      </c>
      <c r="J967" t="n">
        <v>0</v>
      </c>
      <c r="K967" t="n">
        <v>0</v>
      </c>
      <c r="L967" t="n">
        <v>0</v>
      </c>
      <c r="M967" t="n">
        <v>0</v>
      </c>
      <c r="N967" t="n">
        <v>0</v>
      </c>
      <c r="O967" t="n">
        <v>0</v>
      </c>
      <c r="P967" t="n">
        <v>0</v>
      </c>
      <c r="Q967" t="n">
        <v>0</v>
      </c>
      <c r="R967" s="2" t="inlineStr"/>
    </row>
    <row r="968" ht="15" customHeight="1">
      <c r="A968" t="inlineStr">
        <is>
          <t>A 5813-2022</t>
        </is>
      </c>
      <c r="B968" s="1" t="n">
        <v>44596</v>
      </c>
      <c r="C968" s="1" t="n">
        <v>46103</v>
      </c>
      <c r="D968" t="inlineStr">
        <is>
          <t>KRONOBERGS LÄN</t>
        </is>
      </c>
      <c r="E968" t="inlineStr">
        <is>
          <t>ÄLMHULT</t>
        </is>
      </c>
      <c r="G968" t="n">
        <v>0.6</v>
      </c>
      <c r="H968" t="n">
        <v>0</v>
      </c>
      <c r="I968" t="n">
        <v>0</v>
      </c>
      <c r="J968" t="n">
        <v>0</v>
      </c>
      <c r="K968" t="n">
        <v>0</v>
      </c>
      <c r="L968" t="n">
        <v>0</v>
      </c>
      <c r="M968" t="n">
        <v>0</v>
      </c>
      <c r="N968" t="n">
        <v>0</v>
      </c>
      <c r="O968" t="n">
        <v>0</v>
      </c>
      <c r="P968" t="n">
        <v>0</v>
      </c>
      <c r="Q968" t="n">
        <v>0</v>
      </c>
      <c r="R968" s="2" t="inlineStr"/>
    </row>
    <row r="969" ht="15" customHeight="1">
      <c r="A969" t="inlineStr">
        <is>
          <t>A 17039-2021</t>
        </is>
      </c>
      <c r="B969" s="1" t="n">
        <v>44295.77248842592</v>
      </c>
      <c r="C969" s="1" t="n">
        <v>46103</v>
      </c>
      <c r="D969" t="inlineStr">
        <is>
          <t>KRONOBERGS LÄN</t>
        </is>
      </c>
      <c r="E969" t="inlineStr">
        <is>
          <t>LJUNGBY</t>
        </is>
      </c>
      <c r="G969" t="n">
        <v>0.6</v>
      </c>
      <c r="H969" t="n">
        <v>0</v>
      </c>
      <c r="I969" t="n">
        <v>0</v>
      </c>
      <c r="J969" t="n">
        <v>0</v>
      </c>
      <c r="K969" t="n">
        <v>0</v>
      </c>
      <c r="L969" t="n">
        <v>0</v>
      </c>
      <c r="M969" t="n">
        <v>0</v>
      </c>
      <c r="N969" t="n">
        <v>0</v>
      </c>
      <c r="O969" t="n">
        <v>0</v>
      </c>
      <c r="P969" t="n">
        <v>0</v>
      </c>
      <c r="Q969" t="n">
        <v>0</v>
      </c>
      <c r="R969" s="2" t="inlineStr"/>
    </row>
    <row r="970" ht="15" customHeight="1">
      <c r="A970" t="inlineStr">
        <is>
          <t>A 71176-2021</t>
        </is>
      </c>
      <c r="B970" s="1" t="n">
        <v>44539.47350694444</v>
      </c>
      <c r="C970" s="1" t="n">
        <v>46103</v>
      </c>
      <c r="D970" t="inlineStr">
        <is>
          <t>KRONOBERGS LÄN</t>
        </is>
      </c>
      <c r="E970" t="inlineStr">
        <is>
          <t>MARKARYD</t>
        </is>
      </c>
      <c r="G970" t="n">
        <v>1.7</v>
      </c>
      <c r="H970" t="n">
        <v>0</v>
      </c>
      <c r="I970" t="n">
        <v>0</v>
      </c>
      <c r="J970" t="n">
        <v>0</v>
      </c>
      <c r="K970" t="n">
        <v>0</v>
      </c>
      <c r="L970" t="n">
        <v>0</v>
      </c>
      <c r="M970" t="n">
        <v>0</v>
      </c>
      <c r="N970" t="n">
        <v>0</v>
      </c>
      <c r="O970" t="n">
        <v>0</v>
      </c>
      <c r="P970" t="n">
        <v>0</v>
      </c>
      <c r="Q970" t="n">
        <v>0</v>
      </c>
      <c r="R970" s="2" t="inlineStr"/>
    </row>
    <row r="971" ht="15" customHeight="1">
      <c r="A971" t="inlineStr">
        <is>
          <t>A 15176-2021</t>
        </is>
      </c>
      <c r="B971" s="1" t="n">
        <v>44284</v>
      </c>
      <c r="C971" s="1" t="n">
        <v>46103</v>
      </c>
      <c r="D971" t="inlineStr">
        <is>
          <t>KRONOBERGS LÄN</t>
        </is>
      </c>
      <c r="E971" t="inlineStr">
        <is>
          <t>UPPVIDINGE</t>
        </is>
      </c>
      <c r="G971" t="n">
        <v>3.5</v>
      </c>
      <c r="H971" t="n">
        <v>0</v>
      </c>
      <c r="I971" t="n">
        <v>0</v>
      </c>
      <c r="J971" t="n">
        <v>0</v>
      </c>
      <c r="K971" t="n">
        <v>0</v>
      </c>
      <c r="L971" t="n">
        <v>0</v>
      </c>
      <c r="M971" t="n">
        <v>0</v>
      </c>
      <c r="N971" t="n">
        <v>0</v>
      </c>
      <c r="O971" t="n">
        <v>0</v>
      </c>
      <c r="P971" t="n">
        <v>0</v>
      </c>
      <c r="Q971" t="n">
        <v>0</v>
      </c>
      <c r="R971" s="2" t="inlineStr"/>
    </row>
    <row r="972" ht="15" customHeight="1">
      <c r="A972" t="inlineStr">
        <is>
          <t>A 28016-2021</t>
        </is>
      </c>
      <c r="B972" s="1" t="n">
        <v>44355</v>
      </c>
      <c r="C972" s="1" t="n">
        <v>46103</v>
      </c>
      <c r="D972" t="inlineStr">
        <is>
          <t>KRONOBERGS LÄN</t>
        </is>
      </c>
      <c r="E972" t="inlineStr">
        <is>
          <t>VÄXJÖ</t>
        </is>
      </c>
      <c r="G972" t="n">
        <v>6.8</v>
      </c>
      <c r="H972" t="n">
        <v>0</v>
      </c>
      <c r="I972" t="n">
        <v>0</v>
      </c>
      <c r="J972" t="n">
        <v>0</v>
      </c>
      <c r="K972" t="n">
        <v>0</v>
      </c>
      <c r="L972" t="n">
        <v>0</v>
      </c>
      <c r="M972" t="n">
        <v>0</v>
      </c>
      <c r="N972" t="n">
        <v>0</v>
      </c>
      <c r="O972" t="n">
        <v>0</v>
      </c>
      <c r="P972" t="n">
        <v>0</v>
      </c>
      <c r="Q972" t="n">
        <v>0</v>
      </c>
      <c r="R972" s="2" t="inlineStr"/>
    </row>
    <row r="973" ht="15" customHeight="1">
      <c r="A973" t="inlineStr">
        <is>
          <t>A 14695-2021</t>
        </is>
      </c>
      <c r="B973" s="1" t="n">
        <v>44280</v>
      </c>
      <c r="C973" s="1" t="n">
        <v>46103</v>
      </c>
      <c r="D973" t="inlineStr">
        <is>
          <t>KRONOBERGS LÄN</t>
        </is>
      </c>
      <c r="E973" t="inlineStr">
        <is>
          <t>LJUNGBY</t>
        </is>
      </c>
      <c r="G973" t="n">
        <v>1.5</v>
      </c>
      <c r="H973" t="n">
        <v>0</v>
      </c>
      <c r="I973" t="n">
        <v>0</v>
      </c>
      <c r="J973" t="n">
        <v>0</v>
      </c>
      <c r="K973" t="n">
        <v>0</v>
      </c>
      <c r="L973" t="n">
        <v>0</v>
      </c>
      <c r="M973" t="n">
        <v>0</v>
      </c>
      <c r="N973" t="n">
        <v>0</v>
      </c>
      <c r="O973" t="n">
        <v>0</v>
      </c>
      <c r="P973" t="n">
        <v>0</v>
      </c>
      <c r="Q973" t="n">
        <v>0</v>
      </c>
      <c r="R973" s="2" t="inlineStr"/>
    </row>
    <row r="974" ht="15" customHeight="1">
      <c r="A974" t="inlineStr">
        <is>
          <t>A 17388-2021</t>
        </is>
      </c>
      <c r="B974" s="1" t="n">
        <v>44298</v>
      </c>
      <c r="C974" s="1" t="n">
        <v>46103</v>
      </c>
      <c r="D974" t="inlineStr">
        <is>
          <t>KRONOBERGS LÄN</t>
        </is>
      </c>
      <c r="E974" t="inlineStr">
        <is>
          <t>VÄXJÖ</t>
        </is>
      </c>
      <c r="G974" t="n">
        <v>0.3</v>
      </c>
      <c r="H974" t="n">
        <v>0</v>
      </c>
      <c r="I974" t="n">
        <v>0</v>
      </c>
      <c r="J974" t="n">
        <v>0</v>
      </c>
      <c r="K974" t="n">
        <v>0</v>
      </c>
      <c r="L974" t="n">
        <v>0</v>
      </c>
      <c r="M974" t="n">
        <v>0</v>
      </c>
      <c r="N974" t="n">
        <v>0</v>
      </c>
      <c r="O974" t="n">
        <v>0</v>
      </c>
      <c r="P974" t="n">
        <v>0</v>
      </c>
      <c r="Q974" t="n">
        <v>0</v>
      </c>
      <c r="R974" s="2" t="inlineStr"/>
    </row>
    <row r="975" ht="15" customHeight="1">
      <c r="A975" t="inlineStr">
        <is>
          <t>A 25946-2021</t>
        </is>
      </c>
      <c r="B975" s="1" t="n">
        <v>44344.48678240741</v>
      </c>
      <c r="C975" s="1" t="n">
        <v>46103</v>
      </c>
      <c r="D975" t="inlineStr">
        <is>
          <t>KRONOBERGS LÄN</t>
        </is>
      </c>
      <c r="E975" t="inlineStr">
        <is>
          <t>UPPVIDINGE</t>
        </is>
      </c>
      <c r="G975" t="n">
        <v>1.4</v>
      </c>
      <c r="H975" t="n">
        <v>0</v>
      </c>
      <c r="I975" t="n">
        <v>0</v>
      </c>
      <c r="J975" t="n">
        <v>0</v>
      </c>
      <c r="K975" t="n">
        <v>0</v>
      </c>
      <c r="L975" t="n">
        <v>0</v>
      </c>
      <c r="M975" t="n">
        <v>0</v>
      </c>
      <c r="N975" t="n">
        <v>0</v>
      </c>
      <c r="O975" t="n">
        <v>0</v>
      </c>
      <c r="P975" t="n">
        <v>0</v>
      </c>
      <c r="Q975" t="n">
        <v>0</v>
      </c>
      <c r="R975" s="2" t="inlineStr"/>
    </row>
    <row r="976" ht="15" customHeight="1">
      <c r="A976" t="inlineStr">
        <is>
          <t>A 26059-2021</t>
        </is>
      </c>
      <c r="B976" s="1" t="n">
        <v>44344.65765046296</v>
      </c>
      <c r="C976" s="1" t="n">
        <v>46103</v>
      </c>
      <c r="D976" t="inlineStr">
        <is>
          <t>KRONOBERGS LÄN</t>
        </is>
      </c>
      <c r="E976" t="inlineStr">
        <is>
          <t>MARKARYD</t>
        </is>
      </c>
      <c r="G976" t="n">
        <v>1.1</v>
      </c>
      <c r="H976" t="n">
        <v>0</v>
      </c>
      <c r="I976" t="n">
        <v>0</v>
      </c>
      <c r="J976" t="n">
        <v>0</v>
      </c>
      <c r="K976" t="n">
        <v>0</v>
      </c>
      <c r="L976" t="n">
        <v>0</v>
      </c>
      <c r="M976" t="n">
        <v>0</v>
      </c>
      <c r="N976" t="n">
        <v>0</v>
      </c>
      <c r="O976" t="n">
        <v>0</v>
      </c>
      <c r="P976" t="n">
        <v>0</v>
      </c>
      <c r="Q976" t="n">
        <v>0</v>
      </c>
      <c r="R976" s="2" t="inlineStr"/>
    </row>
    <row r="977" ht="15" customHeight="1">
      <c r="A977" t="inlineStr">
        <is>
          <t>A 7237-2022</t>
        </is>
      </c>
      <c r="B977" s="1" t="n">
        <v>44606</v>
      </c>
      <c r="C977" s="1" t="n">
        <v>46103</v>
      </c>
      <c r="D977" t="inlineStr">
        <is>
          <t>KRONOBERGS LÄN</t>
        </is>
      </c>
      <c r="E977" t="inlineStr">
        <is>
          <t>ALVESTA</t>
        </is>
      </c>
      <c r="G977" t="n">
        <v>0.7</v>
      </c>
      <c r="H977" t="n">
        <v>0</v>
      </c>
      <c r="I977" t="n">
        <v>0</v>
      </c>
      <c r="J977" t="n">
        <v>0</v>
      </c>
      <c r="K977" t="n">
        <v>0</v>
      </c>
      <c r="L977" t="n">
        <v>0</v>
      </c>
      <c r="M977" t="n">
        <v>0</v>
      </c>
      <c r="N977" t="n">
        <v>0</v>
      </c>
      <c r="O977" t="n">
        <v>0</v>
      </c>
      <c r="P977" t="n">
        <v>0</v>
      </c>
      <c r="Q977" t="n">
        <v>0</v>
      </c>
      <c r="R977" s="2" t="inlineStr"/>
    </row>
    <row r="978" ht="15" customHeight="1">
      <c r="A978" t="inlineStr">
        <is>
          <t>A 52509-2021</t>
        </is>
      </c>
      <c r="B978" s="1" t="n">
        <v>44466</v>
      </c>
      <c r="C978" s="1" t="n">
        <v>46103</v>
      </c>
      <c r="D978" t="inlineStr">
        <is>
          <t>KRONOBERGS LÄN</t>
        </is>
      </c>
      <c r="E978" t="inlineStr">
        <is>
          <t>UPPVIDINGE</t>
        </is>
      </c>
      <c r="G978" t="n">
        <v>1.7</v>
      </c>
      <c r="H978" t="n">
        <v>0</v>
      </c>
      <c r="I978" t="n">
        <v>0</v>
      </c>
      <c r="J978" t="n">
        <v>0</v>
      </c>
      <c r="K978" t="n">
        <v>0</v>
      </c>
      <c r="L978" t="n">
        <v>0</v>
      </c>
      <c r="M978" t="n">
        <v>0</v>
      </c>
      <c r="N978" t="n">
        <v>0</v>
      </c>
      <c r="O978" t="n">
        <v>0</v>
      </c>
      <c r="P978" t="n">
        <v>0</v>
      </c>
      <c r="Q978" t="n">
        <v>0</v>
      </c>
      <c r="R978" s="2" t="inlineStr"/>
    </row>
    <row r="979" ht="15" customHeight="1">
      <c r="A979" t="inlineStr">
        <is>
          <t>A 6923-2022</t>
        </is>
      </c>
      <c r="B979" s="1" t="n">
        <v>44603</v>
      </c>
      <c r="C979" s="1" t="n">
        <v>46103</v>
      </c>
      <c r="D979" t="inlineStr">
        <is>
          <t>KRONOBERGS LÄN</t>
        </is>
      </c>
      <c r="E979" t="inlineStr">
        <is>
          <t>UPPVIDINGE</t>
        </is>
      </c>
      <c r="G979" t="n">
        <v>2.1</v>
      </c>
      <c r="H979" t="n">
        <v>0</v>
      </c>
      <c r="I979" t="n">
        <v>0</v>
      </c>
      <c r="J979" t="n">
        <v>0</v>
      </c>
      <c r="K979" t="n">
        <v>0</v>
      </c>
      <c r="L979" t="n">
        <v>0</v>
      </c>
      <c r="M979" t="n">
        <v>0</v>
      </c>
      <c r="N979" t="n">
        <v>0</v>
      </c>
      <c r="O979" t="n">
        <v>0</v>
      </c>
      <c r="P979" t="n">
        <v>0</v>
      </c>
      <c r="Q979" t="n">
        <v>0</v>
      </c>
      <c r="R979" s="2" t="inlineStr"/>
    </row>
    <row r="980" ht="15" customHeight="1">
      <c r="A980" t="inlineStr">
        <is>
          <t>A 6924-2022</t>
        </is>
      </c>
      <c r="B980" s="1" t="n">
        <v>44602</v>
      </c>
      <c r="C980" s="1" t="n">
        <v>46103</v>
      </c>
      <c r="D980" t="inlineStr">
        <is>
          <t>KRONOBERGS LÄN</t>
        </is>
      </c>
      <c r="E980" t="inlineStr">
        <is>
          <t>UPPVIDINGE</t>
        </is>
      </c>
      <c r="G980" t="n">
        <v>2.8</v>
      </c>
      <c r="H980" t="n">
        <v>0</v>
      </c>
      <c r="I980" t="n">
        <v>0</v>
      </c>
      <c r="J980" t="n">
        <v>0</v>
      </c>
      <c r="K980" t="n">
        <v>0</v>
      </c>
      <c r="L980" t="n">
        <v>0</v>
      </c>
      <c r="M980" t="n">
        <v>0</v>
      </c>
      <c r="N980" t="n">
        <v>0</v>
      </c>
      <c r="O980" t="n">
        <v>0</v>
      </c>
      <c r="P980" t="n">
        <v>0</v>
      </c>
      <c r="Q980" t="n">
        <v>0</v>
      </c>
      <c r="R980" s="2" t="inlineStr"/>
    </row>
    <row r="981" ht="15" customHeight="1">
      <c r="A981" t="inlineStr">
        <is>
          <t>A 64280-2021</t>
        </is>
      </c>
      <c r="B981" s="1" t="n">
        <v>44510</v>
      </c>
      <c r="C981" s="1" t="n">
        <v>46103</v>
      </c>
      <c r="D981" t="inlineStr">
        <is>
          <t>KRONOBERGS LÄN</t>
        </is>
      </c>
      <c r="E981" t="inlineStr">
        <is>
          <t>ÄLMHULT</t>
        </is>
      </c>
      <c r="G981" t="n">
        <v>1.4</v>
      </c>
      <c r="H981" t="n">
        <v>0</v>
      </c>
      <c r="I981" t="n">
        <v>0</v>
      </c>
      <c r="J981" t="n">
        <v>0</v>
      </c>
      <c r="K981" t="n">
        <v>0</v>
      </c>
      <c r="L981" t="n">
        <v>0</v>
      </c>
      <c r="M981" t="n">
        <v>0</v>
      </c>
      <c r="N981" t="n">
        <v>0</v>
      </c>
      <c r="O981" t="n">
        <v>0</v>
      </c>
      <c r="P981" t="n">
        <v>0</v>
      </c>
      <c r="Q981" t="n">
        <v>0</v>
      </c>
      <c r="R981" s="2" t="inlineStr"/>
    </row>
    <row r="982" ht="15" customHeight="1">
      <c r="A982" t="inlineStr">
        <is>
          <t>A 22085-2021</t>
        </is>
      </c>
      <c r="B982" s="1" t="n">
        <v>44323.62754629629</v>
      </c>
      <c r="C982" s="1" t="n">
        <v>46103</v>
      </c>
      <c r="D982" t="inlineStr">
        <is>
          <t>KRONOBERGS LÄN</t>
        </is>
      </c>
      <c r="E982" t="inlineStr">
        <is>
          <t>ALVESTA</t>
        </is>
      </c>
      <c r="G982" t="n">
        <v>0.6</v>
      </c>
      <c r="H982" t="n">
        <v>0</v>
      </c>
      <c r="I982" t="n">
        <v>0</v>
      </c>
      <c r="J982" t="n">
        <v>0</v>
      </c>
      <c r="K982" t="n">
        <v>0</v>
      </c>
      <c r="L982" t="n">
        <v>0</v>
      </c>
      <c r="M982" t="n">
        <v>0</v>
      </c>
      <c r="N982" t="n">
        <v>0</v>
      </c>
      <c r="O982" t="n">
        <v>0</v>
      </c>
      <c r="P982" t="n">
        <v>0</v>
      </c>
      <c r="Q982" t="n">
        <v>0</v>
      </c>
      <c r="R982" s="2" t="inlineStr"/>
    </row>
    <row r="983" ht="15" customHeight="1">
      <c r="A983" t="inlineStr">
        <is>
          <t>A 40487-2021</t>
        </is>
      </c>
      <c r="B983" s="1" t="n">
        <v>44420.28219907408</v>
      </c>
      <c r="C983" s="1" t="n">
        <v>46103</v>
      </c>
      <c r="D983" t="inlineStr">
        <is>
          <t>KRONOBERGS LÄN</t>
        </is>
      </c>
      <c r="E983" t="inlineStr">
        <is>
          <t>UPPVIDINGE</t>
        </is>
      </c>
      <c r="G983" t="n">
        <v>3.1</v>
      </c>
      <c r="H983" t="n">
        <v>0</v>
      </c>
      <c r="I983" t="n">
        <v>0</v>
      </c>
      <c r="J983" t="n">
        <v>0</v>
      </c>
      <c r="K983" t="n">
        <v>0</v>
      </c>
      <c r="L983" t="n">
        <v>0</v>
      </c>
      <c r="M983" t="n">
        <v>0</v>
      </c>
      <c r="N983" t="n">
        <v>0</v>
      </c>
      <c r="O983" t="n">
        <v>0</v>
      </c>
      <c r="P983" t="n">
        <v>0</v>
      </c>
      <c r="Q983" t="n">
        <v>0</v>
      </c>
      <c r="R983" s="2" t="inlineStr"/>
    </row>
    <row r="984" ht="15" customHeight="1">
      <c r="A984" t="inlineStr">
        <is>
          <t>A 1797-2022</t>
        </is>
      </c>
      <c r="B984" s="1" t="n">
        <v>44574.59645833333</v>
      </c>
      <c r="C984" s="1" t="n">
        <v>46103</v>
      </c>
      <c r="D984" t="inlineStr">
        <is>
          <t>KRONOBERGS LÄN</t>
        </is>
      </c>
      <c r="E984" t="inlineStr">
        <is>
          <t>VÄXJÖ</t>
        </is>
      </c>
      <c r="G984" t="n">
        <v>0.6</v>
      </c>
      <c r="H984" t="n">
        <v>0</v>
      </c>
      <c r="I984" t="n">
        <v>0</v>
      </c>
      <c r="J984" t="n">
        <v>0</v>
      </c>
      <c r="K984" t="n">
        <v>0</v>
      </c>
      <c r="L984" t="n">
        <v>0</v>
      </c>
      <c r="M984" t="n">
        <v>0</v>
      </c>
      <c r="N984" t="n">
        <v>0</v>
      </c>
      <c r="O984" t="n">
        <v>0</v>
      </c>
      <c r="P984" t="n">
        <v>0</v>
      </c>
      <c r="Q984" t="n">
        <v>0</v>
      </c>
      <c r="R984" s="2" t="inlineStr"/>
    </row>
    <row r="985" ht="15" customHeight="1">
      <c r="A985" t="inlineStr">
        <is>
          <t>A 46519-2021</t>
        </is>
      </c>
      <c r="B985" s="1" t="n">
        <v>44445</v>
      </c>
      <c r="C985" s="1" t="n">
        <v>46103</v>
      </c>
      <c r="D985" t="inlineStr">
        <is>
          <t>KRONOBERGS LÄN</t>
        </is>
      </c>
      <c r="E985" t="inlineStr">
        <is>
          <t>TINGSRYD</t>
        </is>
      </c>
      <c r="G985" t="n">
        <v>0.8</v>
      </c>
      <c r="H985" t="n">
        <v>0</v>
      </c>
      <c r="I985" t="n">
        <v>0</v>
      </c>
      <c r="J985" t="n">
        <v>0</v>
      </c>
      <c r="K985" t="n">
        <v>0</v>
      </c>
      <c r="L985" t="n">
        <v>0</v>
      </c>
      <c r="M985" t="n">
        <v>0</v>
      </c>
      <c r="N985" t="n">
        <v>0</v>
      </c>
      <c r="O985" t="n">
        <v>0</v>
      </c>
      <c r="P985" t="n">
        <v>0</v>
      </c>
      <c r="Q985" t="n">
        <v>0</v>
      </c>
      <c r="R985" s="2" t="inlineStr"/>
    </row>
    <row r="986" ht="15" customHeight="1">
      <c r="A986" t="inlineStr">
        <is>
          <t>A 71397-2021</t>
        </is>
      </c>
      <c r="B986" s="1" t="n">
        <v>44540.35796296296</v>
      </c>
      <c r="C986" s="1" t="n">
        <v>46103</v>
      </c>
      <c r="D986" t="inlineStr">
        <is>
          <t>KRONOBERGS LÄN</t>
        </is>
      </c>
      <c r="E986" t="inlineStr">
        <is>
          <t>TINGSRYD</t>
        </is>
      </c>
      <c r="G986" t="n">
        <v>0.5</v>
      </c>
      <c r="H986" t="n">
        <v>0</v>
      </c>
      <c r="I986" t="n">
        <v>0</v>
      </c>
      <c r="J986" t="n">
        <v>0</v>
      </c>
      <c r="K986" t="n">
        <v>0</v>
      </c>
      <c r="L986" t="n">
        <v>0</v>
      </c>
      <c r="M986" t="n">
        <v>0</v>
      </c>
      <c r="N986" t="n">
        <v>0</v>
      </c>
      <c r="O986" t="n">
        <v>0</v>
      </c>
      <c r="P986" t="n">
        <v>0</v>
      </c>
      <c r="Q986" t="n">
        <v>0</v>
      </c>
      <c r="R986" s="2" t="inlineStr"/>
    </row>
    <row r="987" ht="15" customHeight="1">
      <c r="A987" t="inlineStr">
        <is>
          <t>A 43910-2021</t>
        </is>
      </c>
      <c r="B987" s="1" t="n">
        <v>44434.37454861111</v>
      </c>
      <c r="C987" s="1" t="n">
        <v>46103</v>
      </c>
      <c r="D987" t="inlineStr">
        <is>
          <t>KRONOBERGS LÄN</t>
        </is>
      </c>
      <c r="E987" t="inlineStr">
        <is>
          <t>VÄXJÖ</t>
        </is>
      </c>
      <c r="G987" t="n">
        <v>1.6</v>
      </c>
      <c r="H987" t="n">
        <v>0</v>
      </c>
      <c r="I987" t="n">
        <v>0</v>
      </c>
      <c r="J987" t="n">
        <v>0</v>
      </c>
      <c r="K987" t="n">
        <v>0</v>
      </c>
      <c r="L987" t="n">
        <v>0</v>
      </c>
      <c r="M987" t="n">
        <v>0</v>
      </c>
      <c r="N987" t="n">
        <v>0</v>
      </c>
      <c r="O987" t="n">
        <v>0</v>
      </c>
      <c r="P987" t="n">
        <v>0</v>
      </c>
      <c r="Q987" t="n">
        <v>0</v>
      </c>
      <c r="R987" s="2" t="inlineStr"/>
    </row>
    <row r="988" ht="15" customHeight="1">
      <c r="A988" t="inlineStr">
        <is>
          <t>A 35171-2021</t>
        </is>
      </c>
      <c r="B988" s="1" t="n">
        <v>44384.46910879629</v>
      </c>
      <c r="C988" s="1" t="n">
        <v>46103</v>
      </c>
      <c r="D988" t="inlineStr">
        <is>
          <t>KRONOBERGS LÄN</t>
        </is>
      </c>
      <c r="E988" t="inlineStr">
        <is>
          <t>LJUNGBY</t>
        </is>
      </c>
      <c r="G988" t="n">
        <v>0.5</v>
      </c>
      <c r="H988" t="n">
        <v>0</v>
      </c>
      <c r="I988" t="n">
        <v>0</v>
      </c>
      <c r="J988" t="n">
        <v>0</v>
      </c>
      <c r="K988" t="n">
        <v>0</v>
      </c>
      <c r="L988" t="n">
        <v>0</v>
      </c>
      <c r="M988" t="n">
        <v>0</v>
      </c>
      <c r="N988" t="n">
        <v>0</v>
      </c>
      <c r="O988" t="n">
        <v>0</v>
      </c>
      <c r="P988" t="n">
        <v>0</v>
      </c>
      <c r="Q988" t="n">
        <v>0</v>
      </c>
      <c r="R988" s="2" t="inlineStr"/>
    </row>
    <row r="989" ht="15" customHeight="1">
      <c r="A989" t="inlineStr">
        <is>
          <t>A 70646-2021</t>
        </is>
      </c>
      <c r="B989" s="1" t="n">
        <v>44537.49590277778</v>
      </c>
      <c r="C989" s="1" t="n">
        <v>46103</v>
      </c>
      <c r="D989" t="inlineStr">
        <is>
          <t>KRONOBERGS LÄN</t>
        </is>
      </c>
      <c r="E989" t="inlineStr">
        <is>
          <t>VÄXJÖ</t>
        </is>
      </c>
      <c r="G989" t="n">
        <v>0.5</v>
      </c>
      <c r="H989" t="n">
        <v>0</v>
      </c>
      <c r="I989" t="n">
        <v>0</v>
      </c>
      <c r="J989" t="n">
        <v>0</v>
      </c>
      <c r="K989" t="n">
        <v>0</v>
      </c>
      <c r="L989" t="n">
        <v>0</v>
      </c>
      <c r="M989" t="n">
        <v>0</v>
      </c>
      <c r="N989" t="n">
        <v>0</v>
      </c>
      <c r="O989" t="n">
        <v>0</v>
      </c>
      <c r="P989" t="n">
        <v>0</v>
      </c>
      <c r="Q989" t="n">
        <v>0</v>
      </c>
      <c r="R989" s="2" t="inlineStr"/>
    </row>
    <row r="990" ht="15" customHeight="1">
      <c r="A990" t="inlineStr">
        <is>
          <t>A 67493-2021</t>
        </is>
      </c>
      <c r="B990" s="1" t="n">
        <v>44524.46141203704</v>
      </c>
      <c r="C990" s="1" t="n">
        <v>46103</v>
      </c>
      <c r="D990" t="inlineStr">
        <is>
          <t>KRONOBERGS LÄN</t>
        </is>
      </c>
      <c r="E990" t="inlineStr">
        <is>
          <t>UPPVIDINGE</t>
        </is>
      </c>
      <c r="G990" t="n">
        <v>1.6</v>
      </c>
      <c r="H990" t="n">
        <v>0</v>
      </c>
      <c r="I990" t="n">
        <v>0</v>
      </c>
      <c r="J990" t="n">
        <v>0</v>
      </c>
      <c r="K990" t="n">
        <v>0</v>
      </c>
      <c r="L990" t="n">
        <v>0</v>
      </c>
      <c r="M990" t="n">
        <v>0</v>
      </c>
      <c r="N990" t="n">
        <v>0</v>
      </c>
      <c r="O990" t="n">
        <v>0</v>
      </c>
      <c r="P990" t="n">
        <v>0</v>
      </c>
      <c r="Q990" t="n">
        <v>0</v>
      </c>
      <c r="R990" s="2" t="inlineStr"/>
    </row>
    <row r="991" ht="15" customHeight="1">
      <c r="A991" t="inlineStr">
        <is>
          <t>A 3966-2022</t>
        </is>
      </c>
      <c r="B991" s="1" t="n">
        <v>44587</v>
      </c>
      <c r="C991" s="1" t="n">
        <v>46103</v>
      </c>
      <c r="D991" t="inlineStr">
        <is>
          <t>KRONOBERGS LÄN</t>
        </is>
      </c>
      <c r="E991" t="inlineStr">
        <is>
          <t>MARKARYD</t>
        </is>
      </c>
      <c r="G991" t="n">
        <v>0.3</v>
      </c>
      <c r="H991" t="n">
        <v>0</v>
      </c>
      <c r="I991" t="n">
        <v>0</v>
      </c>
      <c r="J991" t="n">
        <v>0</v>
      </c>
      <c r="K991" t="n">
        <v>0</v>
      </c>
      <c r="L991" t="n">
        <v>0</v>
      </c>
      <c r="M991" t="n">
        <v>0</v>
      </c>
      <c r="N991" t="n">
        <v>0</v>
      </c>
      <c r="O991" t="n">
        <v>0</v>
      </c>
      <c r="P991" t="n">
        <v>0</v>
      </c>
      <c r="Q991" t="n">
        <v>0</v>
      </c>
      <c r="R991" s="2" t="inlineStr"/>
    </row>
    <row r="992" ht="15" customHeight="1">
      <c r="A992" t="inlineStr">
        <is>
          <t>A 70675-2021</t>
        </is>
      </c>
      <c r="B992" s="1" t="n">
        <v>44537.56038194444</v>
      </c>
      <c r="C992" s="1" t="n">
        <v>46103</v>
      </c>
      <c r="D992" t="inlineStr">
        <is>
          <t>KRONOBERGS LÄN</t>
        </is>
      </c>
      <c r="E992" t="inlineStr">
        <is>
          <t>VÄXJÖ</t>
        </is>
      </c>
      <c r="G992" t="n">
        <v>0.3</v>
      </c>
      <c r="H992" t="n">
        <v>0</v>
      </c>
      <c r="I992" t="n">
        <v>0</v>
      </c>
      <c r="J992" t="n">
        <v>0</v>
      </c>
      <c r="K992" t="n">
        <v>0</v>
      </c>
      <c r="L992" t="n">
        <v>0</v>
      </c>
      <c r="M992" t="n">
        <v>0</v>
      </c>
      <c r="N992" t="n">
        <v>0</v>
      </c>
      <c r="O992" t="n">
        <v>0</v>
      </c>
      <c r="P992" t="n">
        <v>0</v>
      </c>
      <c r="Q992" t="n">
        <v>0</v>
      </c>
      <c r="R992" s="2" t="inlineStr"/>
    </row>
    <row r="993" ht="15" customHeight="1">
      <c r="A993" t="inlineStr">
        <is>
          <t>A 66897-2021</t>
        </is>
      </c>
      <c r="B993" s="1" t="n">
        <v>44522</v>
      </c>
      <c r="C993" s="1" t="n">
        <v>46103</v>
      </c>
      <c r="D993" t="inlineStr">
        <is>
          <t>KRONOBERGS LÄN</t>
        </is>
      </c>
      <c r="E993" t="inlineStr">
        <is>
          <t>ÄLMHULT</t>
        </is>
      </c>
      <c r="G993" t="n">
        <v>1</v>
      </c>
      <c r="H993" t="n">
        <v>0</v>
      </c>
      <c r="I993" t="n">
        <v>0</v>
      </c>
      <c r="J993" t="n">
        <v>0</v>
      </c>
      <c r="K993" t="n">
        <v>0</v>
      </c>
      <c r="L993" t="n">
        <v>0</v>
      </c>
      <c r="M993" t="n">
        <v>0</v>
      </c>
      <c r="N993" t="n">
        <v>0</v>
      </c>
      <c r="O993" t="n">
        <v>0</v>
      </c>
      <c r="P993" t="n">
        <v>0</v>
      </c>
      <c r="Q993" t="n">
        <v>0</v>
      </c>
      <c r="R993" s="2" t="inlineStr"/>
    </row>
    <row r="994" ht="15" customHeight="1">
      <c r="A994" t="inlineStr">
        <is>
          <t>A 66902-2021</t>
        </is>
      </c>
      <c r="B994" s="1" t="n">
        <v>44522</v>
      </c>
      <c r="C994" s="1" t="n">
        <v>46103</v>
      </c>
      <c r="D994" t="inlineStr">
        <is>
          <t>KRONOBERGS LÄN</t>
        </is>
      </c>
      <c r="E994" t="inlineStr">
        <is>
          <t>LESSEBO</t>
        </is>
      </c>
      <c r="G994" t="n">
        <v>0.3</v>
      </c>
      <c r="H994" t="n">
        <v>0</v>
      </c>
      <c r="I994" t="n">
        <v>0</v>
      </c>
      <c r="J994" t="n">
        <v>0</v>
      </c>
      <c r="K994" t="n">
        <v>0</v>
      </c>
      <c r="L994" t="n">
        <v>0</v>
      </c>
      <c r="M994" t="n">
        <v>0</v>
      </c>
      <c r="N994" t="n">
        <v>0</v>
      </c>
      <c r="O994" t="n">
        <v>0</v>
      </c>
      <c r="P994" t="n">
        <v>0</v>
      </c>
      <c r="Q994" t="n">
        <v>0</v>
      </c>
      <c r="R994" s="2" t="inlineStr"/>
    </row>
    <row r="995" ht="15" customHeight="1">
      <c r="A995" t="inlineStr">
        <is>
          <t>A 26368-2022</t>
        </is>
      </c>
      <c r="B995" s="1" t="n">
        <v>44735.65734953704</v>
      </c>
      <c r="C995" s="1" t="n">
        <v>46103</v>
      </c>
      <c r="D995" t="inlineStr">
        <is>
          <t>KRONOBERGS LÄN</t>
        </is>
      </c>
      <c r="E995" t="inlineStr">
        <is>
          <t>ALVESTA</t>
        </is>
      </c>
      <c r="G995" t="n">
        <v>0.5</v>
      </c>
      <c r="H995" t="n">
        <v>0</v>
      </c>
      <c r="I995" t="n">
        <v>0</v>
      </c>
      <c r="J995" t="n">
        <v>0</v>
      </c>
      <c r="K995" t="n">
        <v>0</v>
      </c>
      <c r="L995" t="n">
        <v>0</v>
      </c>
      <c r="M995" t="n">
        <v>0</v>
      </c>
      <c r="N995" t="n">
        <v>0</v>
      </c>
      <c r="O995" t="n">
        <v>0</v>
      </c>
      <c r="P995" t="n">
        <v>0</v>
      </c>
      <c r="Q995" t="n">
        <v>0</v>
      </c>
      <c r="R995" s="2" t="inlineStr"/>
    </row>
    <row r="996" ht="15" customHeight="1">
      <c r="A996" t="inlineStr">
        <is>
          <t>A 44901-2021</t>
        </is>
      </c>
      <c r="B996" s="1" t="n">
        <v>44438</v>
      </c>
      <c r="C996" s="1" t="n">
        <v>46103</v>
      </c>
      <c r="D996" t="inlineStr">
        <is>
          <t>KRONOBERGS LÄN</t>
        </is>
      </c>
      <c r="E996" t="inlineStr">
        <is>
          <t>ALVESTA</t>
        </is>
      </c>
      <c r="G996" t="n">
        <v>1.1</v>
      </c>
      <c r="H996" t="n">
        <v>0</v>
      </c>
      <c r="I996" t="n">
        <v>0</v>
      </c>
      <c r="J996" t="n">
        <v>0</v>
      </c>
      <c r="K996" t="n">
        <v>0</v>
      </c>
      <c r="L996" t="n">
        <v>0</v>
      </c>
      <c r="M996" t="n">
        <v>0</v>
      </c>
      <c r="N996" t="n">
        <v>0</v>
      </c>
      <c r="O996" t="n">
        <v>0</v>
      </c>
      <c r="P996" t="n">
        <v>0</v>
      </c>
      <c r="Q996" t="n">
        <v>0</v>
      </c>
      <c r="R996" s="2" t="inlineStr"/>
    </row>
    <row r="997" ht="15" customHeight="1">
      <c r="A997" t="inlineStr">
        <is>
          <t>A 18896-2022</t>
        </is>
      </c>
      <c r="B997" s="1" t="n">
        <v>44690</v>
      </c>
      <c r="C997" s="1" t="n">
        <v>46103</v>
      </c>
      <c r="D997" t="inlineStr">
        <is>
          <t>KRONOBERGS LÄN</t>
        </is>
      </c>
      <c r="E997" t="inlineStr">
        <is>
          <t>UPPVIDINGE</t>
        </is>
      </c>
      <c r="G997" t="n">
        <v>1</v>
      </c>
      <c r="H997" t="n">
        <v>0</v>
      </c>
      <c r="I997" t="n">
        <v>0</v>
      </c>
      <c r="J997" t="n">
        <v>0</v>
      </c>
      <c r="K997" t="n">
        <v>0</v>
      </c>
      <c r="L997" t="n">
        <v>0</v>
      </c>
      <c r="M997" t="n">
        <v>0</v>
      </c>
      <c r="N997" t="n">
        <v>0</v>
      </c>
      <c r="O997" t="n">
        <v>0</v>
      </c>
      <c r="P997" t="n">
        <v>0</v>
      </c>
      <c r="Q997" t="n">
        <v>0</v>
      </c>
      <c r="R997" s="2" t="inlineStr"/>
    </row>
    <row r="998" ht="15" customHeight="1">
      <c r="A998" t="inlineStr">
        <is>
          <t>A 12868-2022</t>
        </is>
      </c>
      <c r="B998" s="1" t="n">
        <v>44642.53133101852</v>
      </c>
      <c r="C998" s="1" t="n">
        <v>46103</v>
      </c>
      <c r="D998" t="inlineStr">
        <is>
          <t>KRONOBERGS LÄN</t>
        </is>
      </c>
      <c r="E998" t="inlineStr">
        <is>
          <t>MARKARYD</t>
        </is>
      </c>
      <c r="G998" t="n">
        <v>0.5</v>
      </c>
      <c r="H998" t="n">
        <v>0</v>
      </c>
      <c r="I998" t="n">
        <v>0</v>
      </c>
      <c r="J998" t="n">
        <v>0</v>
      </c>
      <c r="K998" t="n">
        <v>0</v>
      </c>
      <c r="L998" t="n">
        <v>0</v>
      </c>
      <c r="M998" t="n">
        <v>0</v>
      </c>
      <c r="N998" t="n">
        <v>0</v>
      </c>
      <c r="O998" t="n">
        <v>0</v>
      </c>
      <c r="P998" t="n">
        <v>0</v>
      </c>
      <c r="Q998" t="n">
        <v>0</v>
      </c>
      <c r="R998" s="2" t="inlineStr"/>
    </row>
    <row r="999" ht="15" customHeight="1">
      <c r="A999" t="inlineStr">
        <is>
          <t>A 1130-2022</t>
        </is>
      </c>
      <c r="B999" s="1" t="n">
        <v>44572.37574074074</v>
      </c>
      <c r="C999" s="1" t="n">
        <v>46103</v>
      </c>
      <c r="D999" t="inlineStr">
        <is>
          <t>KRONOBERGS LÄN</t>
        </is>
      </c>
      <c r="E999" t="inlineStr">
        <is>
          <t>MARKARYD</t>
        </is>
      </c>
      <c r="G999" t="n">
        <v>0.5</v>
      </c>
      <c r="H999" t="n">
        <v>0</v>
      </c>
      <c r="I999" t="n">
        <v>0</v>
      </c>
      <c r="J999" t="n">
        <v>0</v>
      </c>
      <c r="K999" t="n">
        <v>0</v>
      </c>
      <c r="L999" t="n">
        <v>0</v>
      </c>
      <c r="M999" t="n">
        <v>0</v>
      </c>
      <c r="N999" t="n">
        <v>0</v>
      </c>
      <c r="O999" t="n">
        <v>0</v>
      </c>
      <c r="P999" t="n">
        <v>0</v>
      </c>
      <c r="Q999" t="n">
        <v>0</v>
      </c>
      <c r="R999" s="2" t="inlineStr"/>
    </row>
    <row r="1000" ht="15" customHeight="1">
      <c r="A1000" t="inlineStr">
        <is>
          <t>A 924-2022</t>
        </is>
      </c>
      <c r="B1000" s="1" t="n">
        <v>44571</v>
      </c>
      <c r="C1000" s="1" t="n">
        <v>46103</v>
      </c>
      <c r="D1000" t="inlineStr">
        <is>
          <t>KRONOBERGS LÄN</t>
        </is>
      </c>
      <c r="E1000" t="inlineStr">
        <is>
          <t>VÄXJÖ</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48214-2021</t>
        </is>
      </c>
      <c r="B1001" s="1" t="n">
        <v>44449</v>
      </c>
      <c r="C1001" s="1" t="n">
        <v>46103</v>
      </c>
      <c r="D1001" t="inlineStr">
        <is>
          <t>KRONOBERGS LÄN</t>
        </is>
      </c>
      <c r="E1001" t="inlineStr">
        <is>
          <t>LJUNGBY</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53759-2022</t>
        </is>
      </c>
      <c r="B1002" s="1" t="n">
        <v>44875</v>
      </c>
      <c r="C1002" s="1" t="n">
        <v>46103</v>
      </c>
      <c r="D1002" t="inlineStr">
        <is>
          <t>KRONOBERGS LÄN</t>
        </is>
      </c>
      <c r="E1002" t="inlineStr">
        <is>
          <t>TINGSRYD</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54490-2022</t>
        </is>
      </c>
      <c r="B1003" s="1" t="n">
        <v>44882.6740162037</v>
      </c>
      <c r="C1003" s="1" t="n">
        <v>46103</v>
      </c>
      <c r="D1003" t="inlineStr">
        <is>
          <t>KRONOBERGS LÄN</t>
        </is>
      </c>
      <c r="E1003" t="inlineStr">
        <is>
          <t>LJUNGBY</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41316-2021</t>
        </is>
      </c>
      <c r="B1004" s="1" t="n">
        <v>44424.57810185185</v>
      </c>
      <c r="C1004" s="1" t="n">
        <v>46103</v>
      </c>
      <c r="D1004" t="inlineStr">
        <is>
          <t>KRONOBERGS LÄN</t>
        </is>
      </c>
      <c r="E1004" t="inlineStr">
        <is>
          <t>UPPVIDINGE</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23463-2022</t>
        </is>
      </c>
      <c r="B1005" s="1" t="n">
        <v>44721.32116898148</v>
      </c>
      <c r="C1005" s="1" t="n">
        <v>46103</v>
      </c>
      <c r="D1005" t="inlineStr">
        <is>
          <t>KRONOBERGS LÄN</t>
        </is>
      </c>
      <c r="E1005" t="inlineStr">
        <is>
          <t>UPPVIDINGE</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51521-2021</t>
        </is>
      </c>
      <c r="B1006" s="1" t="n">
        <v>44462.37774305556</v>
      </c>
      <c r="C1006" s="1" t="n">
        <v>46103</v>
      </c>
      <c r="D1006" t="inlineStr">
        <is>
          <t>KRONOBERGS LÄN</t>
        </is>
      </c>
      <c r="E1006" t="inlineStr">
        <is>
          <t>ALVESTA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17851-2022</t>
        </is>
      </c>
      <c r="B1007" s="1" t="n">
        <v>44683.46200231482</v>
      </c>
      <c r="C1007" s="1" t="n">
        <v>46103</v>
      </c>
      <c r="D1007" t="inlineStr">
        <is>
          <t>KRONOBERGS LÄN</t>
        </is>
      </c>
      <c r="E1007" t="inlineStr">
        <is>
          <t>UPPVIDINGE</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4784-2022</t>
        </is>
      </c>
      <c r="B1008" s="1" t="n">
        <v>44592</v>
      </c>
      <c r="C1008" s="1" t="n">
        <v>46103</v>
      </c>
      <c r="D1008" t="inlineStr">
        <is>
          <t>KRONOBERGS LÄN</t>
        </is>
      </c>
      <c r="E1008" t="inlineStr">
        <is>
          <t>ALVESTA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15128-2021</t>
        </is>
      </c>
      <c r="B1009" s="1" t="n">
        <v>44283</v>
      </c>
      <c r="C1009" s="1" t="n">
        <v>46103</v>
      </c>
      <c r="D1009" t="inlineStr">
        <is>
          <t>KRONOBERGS LÄN</t>
        </is>
      </c>
      <c r="E1009" t="inlineStr">
        <is>
          <t>MARKARYD</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20143-2022</t>
        </is>
      </c>
      <c r="B1010" s="1" t="n">
        <v>44698.44061342593</v>
      </c>
      <c r="C1010" s="1" t="n">
        <v>46103</v>
      </c>
      <c r="D1010" t="inlineStr">
        <is>
          <t>KRONOBERGS LÄN</t>
        </is>
      </c>
      <c r="E1010" t="inlineStr">
        <is>
          <t>TINGSRYD</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58916-2021</t>
        </is>
      </c>
      <c r="B1011" s="1" t="n">
        <v>44489.71826388889</v>
      </c>
      <c r="C1011" s="1" t="n">
        <v>46103</v>
      </c>
      <c r="D1011" t="inlineStr">
        <is>
          <t>KRONOBERGS LÄN</t>
        </is>
      </c>
      <c r="E1011" t="inlineStr">
        <is>
          <t>VÄXJÖ</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33909-2021</t>
        </is>
      </c>
      <c r="B1012" s="1" t="n">
        <v>44378</v>
      </c>
      <c r="C1012" s="1" t="n">
        <v>46103</v>
      </c>
      <c r="D1012" t="inlineStr">
        <is>
          <t>KRONOBERGS LÄN</t>
        </is>
      </c>
      <c r="E1012" t="inlineStr">
        <is>
          <t>MARKARYD</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18364-2022</t>
        </is>
      </c>
      <c r="B1013" s="1" t="n">
        <v>44685.90943287037</v>
      </c>
      <c r="C1013" s="1" t="n">
        <v>46103</v>
      </c>
      <c r="D1013" t="inlineStr">
        <is>
          <t>KRONOBERGS LÄN</t>
        </is>
      </c>
      <c r="E1013" t="inlineStr">
        <is>
          <t>TINGSRYD</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18475-2022</t>
        </is>
      </c>
      <c r="B1014" s="1" t="n">
        <v>44686</v>
      </c>
      <c r="C1014" s="1" t="n">
        <v>46103</v>
      </c>
      <c r="D1014" t="inlineStr">
        <is>
          <t>KRONOBERGS LÄN</t>
        </is>
      </c>
      <c r="E1014" t="inlineStr">
        <is>
          <t>UPPVIDINGE</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43255-2021</t>
        </is>
      </c>
      <c r="B1015" s="1" t="n">
        <v>44432</v>
      </c>
      <c r="C1015" s="1" t="n">
        <v>46103</v>
      </c>
      <c r="D1015" t="inlineStr">
        <is>
          <t>KRONOBERGS LÄN</t>
        </is>
      </c>
      <c r="E1015" t="inlineStr">
        <is>
          <t>LESSEBO</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58060-2021</t>
        </is>
      </c>
      <c r="B1016" s="1" t="n">
        <v>44487</v>
      </c>
      <c r="C1016" s="1" t="n">
        <v>46103</v>
      </c>
      <c r="D1016" t="inlineStr">
        <is>
          <t>KRONOBERGS LÄN</t>
        </is>
      </c>
      <c r="E1016" t="inlineStr">
        <is>
          <t>VÄXJÖ</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18458-2021</t>
        </is>
      </c>
      <c r="B1017" s="1" t="n">
        <v>44305</v>
      </c>
      <c r="C1017" s="1" t="n">
        <v>46103</v>
      </c>
      <c r="D1017" t="inlineStr">
        <is>
          <t>KRONOBERGS LÄN</t>
        </is>
      </c>
      <c r="E1017" t="inlineStr">
        <is>
          <t>VÄXJÖ</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29883-2021</t>
        </is>
      </c>
      <c r="B1018" s="1" t="n">
        <v>44362.73894675926</v>
      </c>
      <c r="C1018" s="1" t="n">
        <v>46103</v>
      </c>
      <c r="D1018" t="inlineStr">
        <is>
          <t>KRONOBERGS LÄN</t>
        </is>
      </c>
      <c r="E1018" t="inlineStr">
        <is>
          <t>ÄLMHULT</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59237-2021</t>
        </is>
      </c>
      <c r="B1019" s="1" t="n">
        <v>44490.64082175926</v>
      </c>
      <c r="C1019" s="1" t="n">
        <v>46103</v>
      </c>
      <c r="D1019" t="inlineStr">
        <is>
          <t>KRONOBERGS LÄN</t>
        </is>
      </c>
      <c r="E1019" t="inlineStr">
        <is>
          <t>VÄXJÖ</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50307-2021</t>
        </is>
      </c>
      <c r="B1020" s="1" t="n">
        <v>44459</v>
      </c>
      <c r="C1020" s="1" t="n">
        <v>46103</v>
      </c>
      <c r="D1020" t="inlineStr">
        <is>
          <t>KRONOBERGS LÄN</t>
        </is>
      </c>
      <c r="E1020" t="inlineStr">
        <is>
          <t>UPPVIDINGE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12626-2022</t>
        </is>
      </c>
      <c r="B1021" s="1" t="n">
        <v>44641.41453703704</v>
      </c>
      <c r="C1021" s="1" t="n">
        <v>46103</v>
      </c>
      <c r="D1021" t="inlineStr">
        <is>
          <t>KRONOBERGS LÄN</t>
        </is>
      </c>
      <c r="E1021" t="inlineStr">
        <is>
          <t>TINGSRYD</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37209-2022</t>
        </is>
      </c>
      <c r="B1022" s="1" t="n">
        <v>44806</v>
      </c>
      <c r="C1022" s="1" t="n">
        <v>46103</v>
      </c>
      <c r="D1022" t="inlineStr">
        <is>
          <t>KRONOBERGS LÄN</t>
        </is>
      </c>
      <c r="E1022" t="inlineStr">
        <is>
          <t>LJUNGBY</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12145-2022</t>
        </is>
      </c>
      <c r="B1023" s="1" t="n">
        <v>44636</v>
      </c>
      <c r="C1023" s="1" t="n">
        <v>46103</v>
      </c>
      <c r="D1023" t="inlineStr">
        <is>
          <t>KRONOBERGS LÄN</t>
        </is>
      </c>
      <c r="E1023" t="inlineStr">
        <is>
          <t>ÄLMHULT</t>
        </is>
      </c>
      <c r="G1023" t="n">
        <v>0.2</v>
      </c>
      <c r="H1023" t="n">
        <v>0</v>
      </c>
      <c r="I1023" t="n">
        <v>0</v>
      </c>
      <c r="J1023" t="n">
        <v>0</v>
      </c>
      <c r="K1023" t="n">
        <v>0</v>
      </c>
      <c r="L1023" t="n">
        <v>0</v>
      </c>
      <c r="M1023" t="n">
        <v>0</v>
      </c>
      <c r="N1023" t="n">
        <v>0</v>
      </c>
      <c r="O1023" t="n">
        <v>0</v>
      </c>
      <c r="P1023" t="n">
        <v>0</v>
      </c>
      <c r="Q1023" t="n">
        <v>0</v>
      </c>
      <c r="R1023" s="2" t="inlineStr"/>
    </row>
    <row r="1024" ht="15" customHeight="1">
      <c r="A1024" t="inlineStr">
        <is>
          <t>A 22119-2022</t>
        </is>
      </c>
      <c r="B1024" s="1" t="n">
        <v>44712.30428240741</v>
      </c>
      <c r="C1024" s="1" t="n">
        <v>46103</v>
      </c>
      <c r="D1024" t="inlineStr">
        <is>
          <t>KRONOBERGS LÄN</t>
        </is>
      </c>
      <c r="E1024" t="inlineStr">
        <is>
          <t>LJUNGBY</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53937-2021</t>
        </is>
      </c>
      <c r="B1025" s="1" t="n">
        <v>44469.84737268519</v>
      </c>
      <c r="C1025" s="1" t="n">
        <v>46103</v>
      </c>
      <c r="D1025" t="inlineStr">
        <is>
          <t>KRONOBERGS LÄN</t>
        </is>
      </c>
      <c r="E1025" t="inlineStr">
        <is>
          <t>ALVESTA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37360-2022</t>
        </is>
      </c>
      <c r="B1026" s="1" t="n">
        <v>44809.39019675926</v>
      </c>
      <c r="C1026" s="1" t="n">
        <v>46103</v>
      </c>
      <c r="D1026" t="inlineStr">
        <is>
          <t>KRONOBERGS LÄN</t>
        </is>
      </c>
      <c r="E1026" t="inlineStr">
        <is>
          <t>LJUNGBY</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7219-2022</t>
        </is>
      </c>
      <c r="B1027" s="1" t="n">
        <v>44603</v>
      </c>
      <c r="C1027" s="1" t="n">
        <v>46103</v>
      </c>
      <c r="D1027" t="inlineStr">
        <is>
          <t>KRONOBERGS LÄN</t>
        </is>
      </c>
      <c r="E1027" t="inlineStr">
        <is>
          <t>VÄXJÖ</t>
        </is>
      </c>
      <c r="F1027" t="inlineStr">
        <is>
          <t>Kyrkan</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7273-2022</t>
        </is>
      </c>
      <c r="B1028" s="1" t="n">
        <v>44606</v>
      </c>
      <c r="C1028" s="1" t="n">
        <v>46103</v>
      </c>
      <c r="D1028" t="inlineStr">
        <is>
          <t>KRONOBERGS LÄN</t>
        </is>
      </c>
      <c r="E1028" t="inlineStr">
        <is>
          <t>LJUNGBY</t>
        </is>
      </c>
      <c r="G1028" t="n">
        <v>0.1</v>
      </c>
      <c r="H1028" t="n">
        <v>0</v>
      </c>
      <c r="I1028" t="n">
        <v>0</v>
      </c>
      <c r="J1028" t="n">
        <v>0</v>
      </c>
      <c r="K1028" t="n">
        <v>0</v>
      </c>
      <c r="L1028" t="n">
        <v>0</v>
      </c>
      <c r="M1028" t="n">
        <v>0</v>
      </c>
      <c r="N1028" t="n">
        <v>0</v>
      </c>
      <c r="O1028" t="n">
        <v>0</v>
      </c>
      <c r="P1028" t="n">
        <v>0</v>
      </c>
      <c r="Q1028" t="n">
        <v>0</v>
      </c>
      <c r="R1028" s="2" t="inlineStr"/>
    </row>
    <row r="1029" ht="15" customHeight="1">
      <c r="A1029" t="inlineStr">
        <is>
          <t>A 56112-2021</t>
        </is>
      </c>
      <c r="B1029" s="1" t="n">
        <v>44477.58659722222</v>
      </c>
      <c r="C1029" s="1" t="n">
        <v>46103</v>
      </c>
      <c r="D1029" t="inlineStr">
        <is>
          <t>KRONOBERGS LÄN</t>
        </is>
      </c>
      <c r="E1029" t="inlineStr">
        <is>
          <t>ALVESTA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27794-2022</t>
        </is>
      </c>
      <c r="B1030" s="1" t="n">
        <v>44743</v>
      </c>
      <c r="C1030" s="1" t="n">
        <v>46103</v>
      </c>
      <c r="D1030" t="inlineStr">
        <is>
          <t>KRONOBERGS LÄN</t>
        </is>
      </c>
      <c r="E1030" t="inlineStr">
        <is>
          <t>LESSEBO</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5869-2022</t>
        </is>
      </c>
      <c r="B1031" s="1" t="n">
        <v>44596.66450231482</v>
      </c>
      <c r="C1031" s="1" t="n">
        <v>46103</v>
      </c>
      <c r="D1031" t="inlineStr">
        <is>
          <t>KRONOBERGS LÄN</t>
        </is>
      </c>
      <c r="E1031" t="inlineStr">
        <is>
          <t>VÄXJÖ</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69586-2021</t>
        </is>
      </c>
      <c r="B1032" s="1" t="n">
        <v>44531</v>
      </c>
      <c r="C1032" s="1" t="n">
        <v>46103</v>
      </c>
      <c r="D1032" t="inlineStr">
        <is>
          <t>KRONOBERGS LÄN</t>
        </is>
      </c>
      <c r="E1032" t="inlineStr">
        <is>
          <t>UPPVIDINGE</t>
        </is>
      </c>
      <c r="F1032" t="inlineStr">
        <is>
          <t>Kyrkan</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71110-2021</t>
        </is>
      </c>
      <c r="B1033" s="1" t="n">
        <v>44539.36767361111</v>
      </c>
      <c r="C1033" s="1" t="n">
        <v>46103</v>
      </c>
      <c r="D1033" t="inlineStr">
        <is>
          <t>KRONOBERGS LÄN</t>
        </is>
      </c>
      <c r="E1033" t="inlineStr">
        <is>
          <t>TINGSRYD</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13017-2022</t>
        </is>
      </c>
      <c r="B1034" s="1" t="n">
        <v>44643.55725694444</v>
      </c>
      <c r="C1034" s="1" t="n">
        <v>46103</v>
      </c>
      <c r="D1034" t="inlineStr">
        <is>
          <t>KRONOBERGS LÄN</t>
        </is>
      </c>
      <c r="E1034" t="inlineStr">
        <is>
          <t>ÄLMHULT</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46909-2021</t>
        </is>
      </c>
      <c r="B1035" s="1" t="n">
        <v>44446.46452546296</v>
      </c>
      <c r="C1035" s="1" t="n">
        <v>46103</v>
      </c>
      <c r="D1035" t="inlineStr">
        <is>
          <t>KRONOBERGS LÄN</t>
        </is>
      </c>
      <c r="E1035" t="inlineStr">
        <is>
          <t>LESSEBO</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8247-2022</t>
        </is>
      </c>
      <c r="B1036" s="1" t="n">
        <v>44610.3157175926</v>
      </c>
      <c r="C1036" s="1" t="n">
        <v>46103</v>
      </c>
      <c r="D1036" t="inlineStr">
        <is>
          <t>KRONOBERGS LÄN</t>
        </is>
      </c>
      <c r="E1036" t="inlineStr">
        <is>
          <t>LJUNGBY</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38344-2021</t>
        </is>
      </c>
      <c r="B1037" s="1" t="n">
        <v>44406.50225694444</v>
      </c>
      <c r="C1037" s="1" t="n">
        <v>46103</v>
      </c>
      <c r="D1037" t="inlineStr">
        <is>
          <t>KRONOBERGS LÄN</t>
        </is>
      </c>
      <c r="E1037" t="inlineStr">
        <is>
          <t>VÄXJÖ</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11561-2022</t>
        </is>
      </c>
      <c r="B1038" s="1" t="n">
        <v>44631.46165509259</v>
      </c>
      <c r="C1038" s="1" t="n">
        <v>46103</v>
      </c>
      <c r="D1038" t="inlineStr">
        <is>
          <t>KRONOBERGS LÄN</t>
        </is>
      </c>
      <c r="E1038" t="inlineStr">
        <is>
          <t>TINGSRYD</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13674-2022</t>
        </is>
      </c>
      <c r="B1039" s="1" t="n">
        <v>44648</v>
      </c>
      <c r="C1039" s="1" t="n">
        <v>46103</v>
      </c>
      <c r="D1039" t="inlineStr">
        <is>
          <t>KRONOBERGS LÄN</t>
        </is>
      </c>
      <c r="E1039" t="inlineStr">
        <is>
          <t>ALVESTA</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22793-2022</t>
        </is>
      </c>
      <c r="B1040" s="1" t="n">
        <v>44715.33355324074</v>
      </c>
      <c r="C1040" s="1" t="n">
        <v>46103</v>
      </c>
      <c r="D1040" t="inlineStr">
        <is>
          <t>KRONOBERGS LÄN</t>
        </is>
      </c>
      <c r="E1040" t="inlineStr">
        <is>
          <t>LJUNGBY</t>
        </is>
      </c>
      <c r="G1040" t="n">
        <v>0</v>
      </c>
      <c r="H1040" t="n">
        <v>0</v>
      </c>
      <c r="I1040" t="n">
        <v>0</v>
      </c>
      <c r="J1040" t="n">
        <v>0</v>
      </c>
      <c r="K1040" t="n">
        <v>0</v>
      </c>
      <c r="L1040" t="n">
        <v>0</v>
      </c>
      <c r="M1040" t="n">
        <v>0</v>
      </c>
      <c r="N1040" t="n">
        <v>0</v>
      </c>
      <c r="O1040" t="n">
        <v>0</v>
      </c>
      <c r="P1040" t="n">
        <v>0</v>
      </c>
      <c r="Q1040" t="n">
        <v>0</v>
      </c>
      <c r="R1040" s="2" t="inlineStr"/>
    </row>
    <row r="1041" ht="15" customHeight="1">
      <c r="A1041" t="inlineStr">
        <is>
          <t>A 41314-2021</t>
        </is>
      </c>
      <c r="B1041" s="1" t="n">
        <v>44424.57476851852</v>
      </c>
      <c r="C1041" s="1" t="n">
        <v>46103</v>
      </c>
      <c r="D1041" t="inlineStr">
        <is>
          <t>KRONOBERGS LÄN</t>
        </is>
      </c>
      <c r="E1041" t="inlineStr">
        <is>
          <t>UPPVIDINGE</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25199-2022</t>
        </is>
      </c>
      <c r="B1042" s="1" t="n">
        <v>44729.65407407407</v>
      </c>
      <c r="C1042" s="1" t="n">
        <v>46103</v>
      </c>
      <c r="D1042" t="inlineStr">
        <is>
          <t>KRONOBERGS LÄN</t>
        </is>
      </c>
      <c r="E1042" t="inlineStr">
        <is>
          <t>UPPVIDINGE</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21564-2022</t>
        </is>
      </c>
      <c r="B1043" s="1" t="n">
        <v>44706</v>
      </c>
      <c r="C1043" s="1" t="n">
        <v>46103</v>
      </c>
      <c r="D1043" t="inlineStr">
        <is>
          <t>KRONOBERGS LÄN</t>
        </is>
      </c>
      <c r="E1043" t="inlineStr">
        <is>
          <t>ALVESTA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21568-2022</t>
        </is>
      </c>
      <c r="B1044" s="1" t="n">
        <v>44706</v>
      </c>
      <c r="C1044" s="1" t="n">
        <v>46103</v>
      </c>
      <c r="D1044" t="inlineStr">
        <is>
          <t>KRONOBERGS LÄN</t>
        </is>
      </c>
      <c r="E1044" t="inlineStr">
        <is>
          <t>ALVESTA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14986-2022</t>
        </is>
      </c>
      <c r="B1045" s="1" t="n">
        <v>44657</v>
      </c>
      <c r="C1045" s="1" t="n">
        <v>46103</v>
      </c>
      <c r="D1045" t="inlineStr">
        <is>
          <t>KRONOBERGS LÄN</t>
        </is>
      </c>
      <c r="E1045" t="inlineStr">
        <is>
          <t>ÄLMHULT</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33348-2022</t>
        </is>
      </c>
      <c r="B1046" s="1" t="n">
        <v>44788.47552083333</v>
      </c>
      <c r="C1046" s="1" t="n">
        <v>46103</v>
      </c>
      <c r="D1046" t="inlineStr">
        <is>
          <t>KRONOBERGS LÄN</t>
        </is>
      </c>
      <c r="E1046" t="inlineStr">
        <is>
          <t>UPPVIDINGE</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22681-2021</t>
        </is>
      </c>
      <c r="B1047" s="1" t="n">
        <v>44327.58231481481</v>
      </c>
      <c r="C1047" s="1" t="n">
        <v>46103</v>
      </c>
      <c r="D1047" t="inlineStr">
        <is>
          <t>KRONOBERGS LÄN</t>
        </is>
      </c>
      <c r="E1047" t="inlineStr">
        <is>
          <t>ÄLMHULT</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51006-2021</t>
        </is>
      </c>
      <c r="B1048" s="1" t="n">
        <v>44460.88979166667</v>
      </c>
      <c r="C1048" s="1" t="n">
        <v>46103</v>
      </c>
      <c r="D1048" t="inlineStr">
        <is>
          <t>KRONOBERGS LÄN</t>
        </is>
      </c>
      <c r="E1048" t="inlineStr">
        <is>
          <t>LESSEBO</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67159-2021</t>
        </is>
      </c>
      <c r="B1049" s="1" t="n">
        <v>44523.41112268518</v>
      </c>
      <c r="C1049" s="1" t="n">
        <v>46103</v>
      </c>
      <c r="D1049" t="inlineStr">
        <is>
          <t>KRONOBERGS LÄN</t>
        </is>
      </c>
      <c r="E1049" t="inlineStr">
        <is>
          <t>TINGSRYD</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54389-2021</t>
        </is>
      </c>
      <c r="B1050" s="1" t="n">
        <v>44473</v>
      </c>
      <c r="C1050" s="1" t="n">
        <v>46103</v>
      </c>
      <c r="D1050" t="inlineStr">
        <is>
          <t>KRONOBERGS LÄN</t>
        </is>
      </c>
      <c r="E1050" t="inlineStr">
        <is>
          <t>VÄXJÖ</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57987-2021</t>
        </is>
      </c>
      <c r="B1051" s="1" t="n">
        <v>44487.40119212963</v>
      </c>
      <c r="C1051" s="1" t="n">
        <v>46103</v>
      </c>
      <c r="D1051" t="inlineStr">
        <is>
          <t>KRONOBERGS LÄN</t>
        </is>
      </c>
      <c r="E1051" t="inlineStr">
        <is>
          <t>ALVESTA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74489-2021</t>
        </is>
      </c>
      <c r="B1052" s="1" t="n">
        <v>44560.60773148148</v>
      </c>
      <c r="C1052" s="1" t="n">
        <v>46103</v>
      </c>
      <c r="D1052" t="inlineStr">
        <is>
          <t>KRONOBERGS LÄN</t>
        </is>
      </c>
      <c r="E1052" t="inlineStr">
        <is>
          <t>VÄXJÖ</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32605-2021</t>
        </is>
      </c>
      <c r="B1053" s="1" t="n">
        <v>44375.38892361111</v>
      </c>
      <c r="C1053" s="1" t="n">
        <v>46103</v>
      </c>
      <c r="D1053" t="inlineStr">
        <is>
          <t>KRONOBERGS LÄN</t>
        </is>
      </c>
      <c r="E1053" t="inlineStr">
        <is>
          <t>TINGSRYD</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63541-2021</t>
        </is>
      </c>
      <c r="B1054" s="1" t="n">
        <v>44508.68315972222</v>
      </c>
      <c r="C1054" s="1" t="n">
        <v>46103</v>
      </c>
      <c r="D1054" t="inlineStr">
        <is>
          <t>KRONOBERGS LÄN</t>
        </is>
      </c>
      <c r="E1054" t="inlineStr">
        <is>
          <t>MARKARYD</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19584-2021</t>
        </is>
      </c>
      <c r="B1055" s="1" t="n">
        <v>44312</v>
      </c>
      <c r="C1055" s="1" t="n">
        <v>46103</v>
      </c>
      <c r="D1055" t="inlineStr">
        <is>
          <t>KRONOBERGS LÄN</t>
        </is>
      </c>
      <c r="E1055" t="inlineStr">
        <is>
          <t>TINGSRYD</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21250-2022</t>
        </is>
      </c>
      <c r="B1056" s="1" t="n">
        <v>44705</v>
      </c>
      <c r="C1056" s="1" t="n">
        <v>46103</v>
      </c>
      <c r="D1056" t="inlineStr">
        <is>
          <t>KRONOBERGS LÄN</t>
        </is>
      </c>
      <c r="E1056" t="inlineStr">
        <is>
          <t>UPPVIDINGE</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40593-2021</t>
        </is>
      </c>
      <c r="B1057" s="1" t="n">
        <v>44420</v>
      </c>
      <c r="C1057" s="1" t="n">
        <v>46103</v>
      </c>
      <c r="D1057" t="inlineStr">
        <is>
          <t>KRONOBERGS LÄN</t>
        </is>
      </c>
      <c r="E1057" t="inlineStr">
        <is>
          <t>TINGSRYD</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26561-2021</t>
        </is>
      </c>
      <c r="B1058" s="1" t="n">
        <v>44348.5505787037</v>
      </c>
      <c r="C1058" s="1" t="n">
        <v>46103</v>
      </c>
      <c r="D1058" t="inlineStr">
        <is>
          <t>KRONOBERGS LÄN</t>
        </is>
      </c>
      <c r="E1058" t="inlineStr">
        <is>
          <t>LESSEBO</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6926-2022</t>
        </is>
      </c>
      <c r="B1059" s="1" t="n">
        <v>44602</v>
      </c>
      <c r="C1059" s="1" t="n">
        <v>46103</v>
      </c>
      <c r="D1059" t="inlineStr">
        <is>
          <t>KRONOBERGS LÄN</t>
        </is>
      </c>
      <c r="E1059" t="inlineStr">
        <is>
          <t>UPPVIDINGE</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43617-2021</t>
        </is>
      </c>
      <c r="B1060" s="1" t="n">
        <v>44433</v>
      </c>
      <c r="C1060" s="1" t="n">
        <v>46103</v>
      </c>
      <c r="D1060" t="inlineStr">
        <is>
          <t>KRONOBERGS LÄN</t>
        </is>
      </c>
      <c r="E1060" t="inlineStr">
        <is>
          <t>ÄLMHULT</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60890-2021</t>
        </is>
      </c>
      <c r="B1061" s="1" t="n">
        <v>44497.430625</v>
      </c>
      <c r="C1061" s="1" t="n">
        <v>46103</v>
      </c>
      <c r="D1061" t="inlineStr">
        <is>
          <t>KRONOBERGS LÄN</t>
        </is>
      </c>
      <c r="E1061" t="inlineStr">
        <is>
          <t>LJUNGBY</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54852-2021</t>
        </is>
      </c>
      <c r="B1062" s="1" t="n">
        <v>44474</v>
      </c>
      <c r="C1062" s="1" t="n">
        <v>46103</v>
      </c>
      <c r="D1062" t="inlineStr">
        <is>
          <t>KRONOBERGS LÄN</t>
        </is>
      </c>
      <c r="E1062" t="inlineStr">
        <is>
          <t>VÄXJÖ</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42335-2022</t>
        </is>
      </c>
      <c r="B1063" s="1" t="n">
        <v>44831</v>
      </c>
      <c r="C1063" s="1" t="n">
        <v>46103</v>
      </c>
      <c r="D1063" t="inlineStr">
        <is>
          <t>KRONOBERGS LÄN</t>
        </is>
      </c>
      <c r="E1063" t="inlineStr">
        <is>
          <t>ÄLMHULT</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42337-2022</t>
        </is>
      </c>
      <c r="B1064" s="1" t="n">
        <v>44831</v>
      </c>
      <c r="C1064" s="1" t="n">
        <v>46103</v>
      </c>
      <c r="D1064" t="inlineStr">
        <is>
          <t>KRONOBERGS LÄN</t>
        </is>
      </c>
      <c r="E1064" t="inlineStr">
        <is>
          <t>ÄLMHULT</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22242-2022</t>
        </is>
      </c>
      <c r="B1065" s="1" t="n">
        <v>44712.58903935185</v>
      </c>
      <c r="C1065" s="1" t="n">
        <v>46103</v>
      </c>
      <c r="D1065" t="inlineStr">
        <is>
          <t>KRONOBERGS LÄN</t>
        </is>
      </c>
      <c r="E1065" t="inlineStr">
        <is>
          <t>TINGSRYD</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2132-2022</t>
        </is>
      </c>
      <c r="B1066" s="1" t="n">
        <v>44578</v>
      </c>
      <c r="C1066" s="1" t="n">
        <v>46103</v>
      </c>
      <c r="D1066" t="inlineStr">
        <is>
          <t>KRONOBERGS LÄN</t>
        </is>
      </c>
      <c r="E1066" t="inlineStr">
        <is>
          <t>TINGSRYD</t>
        </is>
      </c>
      <c r="F1066" t="inlineStr">
        <is>
          <t>Övriga Aktiebolag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20659-2022</t>
        </is>
      </c>
      <c r="B1067" s="1" t="n">
        <v>44700</v>
      </c>
      <c r="C1067" s="1" t="n">
        <v>46103</v>
      </c>
      <c r="D1067" t="inlineStr">
        <is>
          <t>KRONOBERGS LÄN</t>
        </is>
      </c>
      <c r="E1067" t="inlineStr">
        <is>
          <t>MARKARYD</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20661-2022</t>
        </is>
      </c>
      <c r="B1068" s="1" t="n">
        <v>44700</v>
      </c>
      <c r="C1068" s="1" t="n">
        <v>46103</v>
      </c>
      <c r="D1068" t="inlineStr">
        <is>
          <t>KRONOBERGS LÄN</t>
        </is>
      </c>
      <c r="E1068" t="inlineStr">
        <is>
          <t>MARKARYD</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36854-2021</t>
        </is>
      </c>
      <c r="B1069" s="1" t="n">
        <v>44393</v>
      </c>
      <c r="C1069" s="1" t="n">
        <v>46103</v>
      </c>
      <c r="D1069" t="inlineStr">
        <is>
          <t>KRONOBERGS LÄN</t>
        </is>
      </c>
      <c r="E1069" t="inlineStr">
        <is>
          <t>UPPVIDINGE</t>
        </is>
      </c>
      <c r="F1069" t="inlineStr">
        <is>
          <t>Sveaskog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40015-2022</t>
        </is>
      </c>
      <c r="B1070" s="1" t="n">
        <v>44820.40097222223</v>
      </c>
      <c r="C1070" s="1" t="n">
        <v>46103</v>
      </c>
      <c r="D1070" t="inlineStr">
        <is>
          <t>KRONOBERGS LÄN</t>
        </is>
      </c>
      <c r="E1070" t="inlineStr">
        <is>
          <t>VÄXJÖ</t>
        </is>
      </c>
      <c r="F1070" t="inlineStr">
        <is>
          <t>Sveaskog</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40017-2022</t>
        </is>
      </c>
      <c r="B1071" s="1" t="n">
        <v>44820.40373842593</v>
      </c>
      <c r="C1071" s="1" t="n">
        <v>46103</v>
      </c>
      <c r="D1071" t="inlineStr">
        <is>
          <t>KRONOBERGS LÄN</t>
        </is>
      </c>
      <c r="E1071" t="inlineStr">
        <is>
          <t>VÄXJÖ</t>
        </is>
      </c>
      <c r="F1071" t="inlineStr">
        <is>
          <t>Sveaskog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4693-2022</t>
        </is>
      </c>
      <c r="B1072" s="1" t="n">
        <v>44592.48909722222</v>
      </c>
      <c r="C1072" s="1" t="n">
        <v>46103</v>
      </c>
      <c r="D1072" t="inlineStr">
        <is>
          <t>KRONOBERGS LÄN</t>
        </is>
      </c>
      <c r="E1072" t="inlineStr">
        <is>
          <t>UPPVIDINGE</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36509-2022</t>
        </is>
      </c>
      <c r="B1073" s="1" t="n">
        <v>44804</v>
      </c>
      <c r="C1073" s="1" t="n">
        <v>46103</v>
      </c>
      <c r="D1073" t="inlineStr">
        <is>
          <t>KRONOBERGS LÄN</t>
        </is>
      </c>
      <c r="E1073" t="inlineStr">
        <is>
          <t>ALVESTA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59490-2021</t>
        </is>
      </c>
      <c r="B1074" s="1" t="n">
        <v>44491.52920138889</v>
      </c>
      <c r="C1074" s="1" t="n">
        <v>46103</v>
      </c>
      <c r="D1074" t="inlineStr">
        <is>
          <t>KRONOBERGS LÄN</t>
        </is>
      </c>
      <c r="E1074" t="inlineStr">
        <is>
          <t>ÄLMHULT</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48034-2022</t>
        </is>
      </c>
      <c r="B1075" s="1" t="n">
        <v>44855.73349537037</v>
      </c>
      <c r="C1075" s="1" t="n">
        <v>46103</v>
      </c>
      <c r="D1075" t="inlineStr">
        <is>
          <t>KRONOBERGS LÄN</t>
        </is>
      </c>
      <c r="E1075" t="inlineStr">
        <is>
          <t>ALVESTA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60276-2021</t>
        </is>
      </c>
      <c r="B1076" s="1" t="n">
        <v>44495.69234953704</v>
      </c>
      <c r="C1076" s="1" t="n">
        <v>46103</v>
      </c>
      <c r="D1076" t="inlineStr">
        <is>
          <t>KRONOBERGS LÄN</t>
        </is>
      </c>
      <c r="E1076" t="inlineStr">
        <is>
          <t>LJUNGBY</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5683-2022</t>
        </is>
      </c>
      <c r="B1077" s="1" t="n">
        <v>44596</v>
      </c>
      <c r="C1077" s="1" t="n">
        <v>46103</v>
      </c>
      <c r="D1077" t="inlineStr">
        <is>
          <t>KRONOBERGS LÄN</t>
        </is>
      </c>
      <c r="E1077" t="inlineStr">
        <is>
          <t>TINGSRYD</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23958-2023</t>
        </is>
      </c>
      <c r="B1078" s="1" t="n">
        <v>45075</v>
      </c>
      <c r="C1078" s="1" t="n">
        <v>46103</v>
      </c>
      <c r="D1078" t="inlineStr">
        <is>
          <t>KRONOBERGS LÄN</t>
        </is>
      </c>
      <c r="E1078" t="inlineStr">
        <is>
          <t>TINGSRYD</t>
        </is>
      </c>
      <c r="F1078" t="inlineStr">
        <is>
          <t>Kyrkan</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35913-2022</t>
        </is>
      </c>
      <c r="B1079" s="1" t="n">
        <v>44802.50060185185</v>
      </c>
      <c r="C1079" s="1" t="n">
        <v>46103</v>
      </c>
      <c r="D1079" t="inlineStr">
        <is>
          <t>KRONOBERGS LÄN</t>
        </is>
      </c>
      <c r="E1079" t="inlineStr">
        <is>
          <t>VÄXJÖ</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13325-2024</t>
        </is>
      </c>
      <c r="B1080" s="1" t="n">
        <v>45386.86743055555</v>
      </c>
      <c r="C1080" s="1" t="n">
        <v>46103</v>
      </c>
      <c r="D1080" t="inlineStr">
        <is>
          <t>KRONOBERGS LÄN</t>
        </is>
      </c>
      <c r="E1080" t="inlineStr">
        <is>
          <t>VÄXJÖ</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63448-2023</t>
        </is>
      </c>
      <c r="B1081" s="1" t="n">
        <v>45274.61003472222</v>
      </c>
      <c r="C1081" s="1" t="n">
        <v>46103</v>
      </c>
      <c r="D1081" t="inlineStr">
        <is>
          <t>KRONOBERGS LÄN</t>
        </is>
      </c>
      <c r="E1081" t="inlineStr">
        <is>
          <t>TINGSRYD</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13428-2025</t>
        </is>
      </c>
      <c r="B1082" s="1" t="n">
        <v>45736.32997685186</v>
      </c>
      <c r="C1082" s="1" t="n">
        <v>46103</v>
      </c>
      <c r="D1082" t="inlineStr">
        <is>
          <t>KRONOBERGS LÄN</t>
        </is>
      </c>
      <c r="E1082" t="inlineStr">
        <is>
          <t>UPPVIDINGE</t>
        </is>
      </c>
      <c r="F1082" t="inlineStr">
        <is>
          <t>Sveaskog</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13429-2025</t>
        </is>
      </c>
      <c r="B1083" s="1" t="n">
        <v>45736.33076388889</v>
      </c>
      <c r="C1083" s="1" t="n">
        <v>46103</v>
      </c>
      <c r="D1083" t="inlineStr">
        <is>
          <t>KRONOBERGS LÄN</t>
        </is>
      </c>
      <c r="E1083" t="inlineStr">
        <is>
          <t>UPPVIDINGE</t>
        </is>
      </c>
      <c r="F1083" t="inlineStr">
        <is>
          <t>Sveaskog</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58475-2022</t>
        </is>
      </c>
      <c r="B1084" s="1" t="n">
        <v>44894</v>
      </c>
      <c r="C1084" s="1" t="n">
        <v>46103</v>
      </c>
      <c r="D1084" t="inlineStr">
        <is>
          <t>KRONOBERGS LÄN</t>
        </is>
      </c>
      <c r="E1084" t="inlineStr">
        <is>
          <t>VÄXJÖ</t>
        </is>
      </c>
      <c r="F1084" t="inlineStr">
        <is>
          <t>Kyrkan</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14836-2022</t>
        </is>
      </c>
      <c r="B1085" s="1" t="n">
        <v>44656</v>
      </c>
      <c r="C1085" s="1" t="n">
        <v>46103</v>
      </c>
      <c r="D1085" t="inlineStr">
        <is>
          <t>KRONOBERGS LÄN</t>
        </is>
      </c>
      <c r="E1085" t="inlineStr">
        <is>
          <t>ALVESTA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1587-2022</t>
        </is>
      </c>
      <c r="B1086" s="1" t="n">
        <v>44573</v>
      </c>
      <c r="C1086" s="1" t="n">
        <v>46103</v>
      </c>
      <c r="D1086" t="inlineStr">
        <is>
          <t>KRONOBERGS LÄN</t>
        </is>
      </c>
      <c r="E1086" t="inlineStr">
        <is>
          <t>VÄXJÖ</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2420-2025</t>
        </is>
      </c>
      <c r="B1087" s="1" t="n">
        <v>45674.38413194445</v>
      </c>
      <c r="C1087" s="1" t="n">
        <v>46103</v>
      </c>
      <c r="D1087" t="inlineStr">
        <is>
          <t>KRONOBERGS LÄN</t>
        </is>
      </c>
      <c r="E1087" t="inlineStr">
        <is>
          <t>UPPVIDINGE</t>
        </is>
      </c>
      <c r="F1087" t="inlineStr">
        <is>
          <t>Sveaskog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41881-2024</t>
        </is>
      </c>
      <c r="B1088" s="1" t="n">
        <v>45561</v>
      </c>
      <c r="C1088" s="1" t="n">
        <v>46103</v>
      </c>
      <c r="D1088" t="inlineStr">
        <is>
          <t>KRONOBERGS LÄN</t>
        </is>
      </c>
      <c r="E1088" t="inlineStr">
        <is>
          <t>TINGSRYD</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18058-2024</t>
        </is>
      </c>
      <c r="B1089" s="1" t="n">
        <v>45420.39758101852</v>
      </c>
      <c r="C1089" s="1" t="n">
        <v>46103</v>
      </c>
      <c r="D1089" t="inlineStr">
        <is>
          <t>KRONOBERGS LÄN</t>
        </is>
      </c>
      <c r="E1089" t="inlineStr">
        <is>
          <t>VÄXJÖ</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20524-2025</t>
        </is>
      </c>
      <c r="B1090" s="1" t="n">
        <v>45775.60414351852</v>
      </c>
      <c r="C1090" s="1" t="n">
        <v>46103</v>
      </c>
      <c r="D1090" t="inlineStr">
        <is>
          <t>KRONOBERGS LÄN</t>
        </is>
      </c>
      <c r="E1090" t="inlineStr">
        <is>
          <t>LJUNGBY</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20525-2025</t>
        </is>
      </c>
      <c r="B1091" s="1" t="n">
        <v>45775</v>
      </c>
      <c r="C1091" s="1" t="n">
        <v>46103</v>
      </c>
      <c r="D1091" t="inlineStr">
        <is>
          <t>KRONOBERGS LÄN</t>
        </is>
      </c>
      <c r="E1091" t="inlineStr">
        <is>
          <t>TINGSRYD</t>
        </is>
      </c>
      <c r="G1091" t="n">
        <v>7.6</v>
      </c>
      <c r="H1091" t="n">
        <v>0</v>
      </c>
      <c r="I1091" t="n">
        <v>0</v>
      </c>
      <c r="J1091" t="n">
        <v>0</v>
      </c>
      <c r="K1091" t="n">
        <v>0</v>
      </c>
      <c r="L1091" t="n">
        <v>0</v>
      </c>
      <c r="M1091" t="n">
        <v>0</v>
      </c>
      <c r="N1091" t="n">
        <v>0</v>
      </c>
      <c r="O1091" t="n">
        <v>0</v>
      </c>
      <c r="P1091" t="n">
        <v>0</v>
      </c>
      <c r="Q1091" t="n">
        <v>0</v>
      </c>
      <c r="R1091" s="2" t="inlineStr"/>
    </row>
    <row r="1092" ht="15" customHeight="1">
      <c r="A1092" t="inlineStr">
        <is>
          <t>A 5443-2025</t>
        </is>
      </c>
      <c r="B1092" s="1" t="n">
        <v>45692.82443287037</v>
      </c>
      <c r="C1092" s="1" t="n">
        <v>46103</v>
      </c>
      <c r="D1092" t="inlineStr">
        <is>
          <t>KRONOBERGS LÄN</t>
        </is>
      </c>
      <c r="E1092" t="inlineStr">
        <is>
          <t>VÄXJÖ</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28218-2024</t>
        </is>
      </c>
      <c r="B1093" s="1" t="n">
        <v>45477.36792824074</v>
      </c>
      <c r="C1093" s="1" t="n">
        <v>46103</v>
      </c>
      <c r="D1093" t="inlineStr">
        <is>
          <t>KRONOBERGS LÄN</t>
        </is>
      </c>
      <c r="E1093" t="inlineStr">
        <is>
          <t>VÄXJÖ</t>
        </is>
      </c>
      <c r="F1093" t="inlineStr">
        <is>
          <t>Sveaskog</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28220-2024</t>
        </is>
      </c>
      <c r="B1094" s="1" t="n">
        <v>45477.3696412037</v>
      </c>
      <c r="C1094" s="1" t="n">
        <v>46103</v>
      </c>
      <c r="D1094" t="inlineStr">
        <is>
          <t>KRONOBERGS LÄN</t>
        </is>
      </c>
      <c r="E1094" t="inlineStr">
        <is>
          <t>TINGSRYD</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15774-2025</t>
        </is>
      </c>
      <c r="B1095" s="1" t="n">
        <v>45748.59457175926</v>
      </c>
      <c r="C1095" s="1" t="n">
        <v>46103</v>
      </c>
      <c r="D1095" t="inlineStr">
        <is>
          <t>KRONOBERGS LÄN</t>
        </is>
      </c>
      <c r="E1095" t="inlineStr">
        <is>
          <t>LJUNGBY</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15798-2025</t>
        </is>
      </c>
      <c r="B1096" s="1" t="n">
        <v>45748.64699074074</v>
      </c>
      <c r="C1096" s="1" t="n">
        <v>46103</v>
      </c>
      <c r="D1096" t="inlineStr">
        <is>
          <t>KRONOBERGS LÄN</t>
        </is>
      </c>
      <c r="E1096" t="inlineStr">
        <is>
          <t>ALVESTA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61354-2022</t>
        </is>
      </c>
      <c r="B1097" s="1" t="n">
        <v>44915</v>
      </c>
      <c r="C1097" s="1" t="n">
        <v>46103</v>
      </c>
      <c r="D1097" t="inlineStr">
        <is>
          <t>KRONOBERGS LÄN</t>
        </is>
      </c>
      <c r="E1097" t="inlineStr">
        <is>
          <t>VÄXJÖ</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67304-2021</t>
        </is>
      </c>
      <c r="B1098" s="1" t="n">
        <v>44523.64958333333</v>
      </c>
      <c r="C1098" s="1" t="n">
        <v>46103</v>
      </c>
      <c r="D1098" t="inlineStr">
        <is>
          <t>KRONOBERGS LÄN</t>
        </is>
      </c>
      <c r="E1098" t="inlineStr">
        <is>
          <t>VÄXJÖ</t>
        </is>
      </c>
      <c r="G1098" t="n">
        <v>6.4</v>
      </c>
      <c r="H1098" t="n">
        <v>0</v>
      </c>
      <c r="I1098" t="n">
        <v>0</v>
      </c>
      <c r="J1098" t="n">
        <v>0</v>
      </c>
      <c r="K1098" t="n">
        <v>0</v>
      </c>
      <c r="L1098" t="n">
        <v>0</v>
      </c>
      <c r="M1098" t="n">
        <v>0</v>
      </c>
      <c r="N1098" t="n">
        <v>0</v>
      </c>
      <c r="O1098" t="n">
        <v>0</v>
      </c>
      <c r="P1098" t="n">
        <v>0</v>
      </c>
      <c r="Q1098" t="n">
        <v>0</v>
      </c>
      <c r="R1098" s="2" t="inlineStr"/>
    </row>
    <row r="1099" ht="15" customHeight="1">
      <c r="A1099" t="inlineStr">
        <is>
          <t>A 22397-2021</t>
        </is>
      </c>
      <c r="B1099" s="1" t="n">
        <v>44326.60452546296</v>
      </c>
      <c r="C1099" s="1" t="n">
        <v>46103</v>
      </c>
      <c r="D1099" t="inlineStr">
        <is>
          <t>KRONOBERGS LÄN</t>
        </is>
      </c>
      <c r="E1099" t="inlineStr">
        <is>
          <t>VÄXJÖ</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47977-2021</t>
        </is>
      </c>
      <c r="B1100" s="1" t="n">
        <v>44448</v>
      </c>
      <c r="C1100" s="1" t="n">
        <v>46103</v>
      </c>
      <c r="D1100" t="inlineStr">
        <is>
          <t>KRONOBERGS LÄN</t>
        </is>
      </c>
      <c r="E1100" t="inlineStr">
        <is>
          <t>TINGSRYD</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30340-2022</t>
        </is>
      </c>
      <c r="B1101" s="1" t="n">
        <v>44760.48230324074</v>
      </c>
      <c r="C1101" s="1" t="n">
        <v>46103</v>
      </c>
      <c r="D1101" t="inlineStr">
        <is>
          <t>KRONOBERGS LÄN</t>
        </is>
      </c>
      <c r="E1101" t="inlineStr">
        <is>
          <t>MARKARYD</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14069-2025</t>
        </is>
      </c>
      <c r="B1102" s="1" t="n">
        <v>45740.42515046296</v>
      </c>
      <c r="C1102" s="1" t="n">
        <v>46103</v>
      </c>
      <c r="D1102" t="inlineStr">
        <is>
          <t>KRONOBERGS LÄN</t>
        </is>
      </c>
      <c r="E1102" t="inlineStr">
        <is>
          <t>ALVESTA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19818-2024</t>
        </is>
      </c>
      <c r="B1103" s="1" t="n">
        <v>45433.33723379629</v>
      </c>
      <c r="C1103" s="1" t="n">
        <v>46103</v>
      </c>
      <c r="D1103" t="inlineStr">
        <is>
          <t>KRONOBERGS LÄN</t>
        </is>
      </c>
      <c r="E1103" t="inlineStr">
        <is>
          <t>ÄLMHULT</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6326-2024</t>
        </is>
      </c>
      <c r="B1104" s="1" t="n">
        <v>45338</v>
      </c>
      <c r="C1104" s="1" t="n">
        <v>46103</v>
      </c>
      <c r="D1104" t="inlineStr">
        <is>
          <t>KRONOBERGS LÄN</t>
        </is>
      </c>
      <c r="E1104" t="inlineStr">
        <is>
          <t>UPPVIDINGE</t>
        </is>
      </c>
      <c r="F1104" t="inlineStr">
        <is>
          <t>Sveaskog</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6332-2024</t>
        </is>
      </c>
      <c r="B1105" s="1" t="n">
        <v>45338</v>
      </c>
      <c r="C1105" s="1" t="n">
        <v>46103</v>
      </c>
      <c r="D1105" t="inlineStr">
        <is>
          <t>KRONOBERGS LÄN</t>
        </is>
      </c>
      <c r="E1105" t="inlineStr">
        <is>
          <t>UPPVIDINGE</t>
        </is>
      </c>
      <c r="F1105" t="inlineStr">
        <is>
          <t>Sveaskog</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6934-2023</t>
        </is>
      </c>
      <c r="B1106" s="1" t="n">
        <v>44967</v>
      </c>
      <c r="C1106" s="1" t="n">
        <v>46103</v>
      </c>
      <c r="D1106" t="inlineStr">
        <is>
          <t>KRONOBERGS LÄN</t>
        </is>
      </c>
      <c r="E1106" t="inlineStr">
        <is>
          <t>VÄXJÖ</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6342-2024</t>
        </is>
      </c>
      <c r="B1107" s="1" t="n">
        <v>45338.43358796297</v>
      </c>
      <c r="C1107" s="1" t="n">
        <v>46103</v>
      </c>
      <c r="D1107" t="inlineStr">
        <is>
          <t>KRONOBERGS LÄN</t>
        </is>
      </c>
      <c r="E1107" t="inlineStr">
        <is>
          <t>UPPVIDINGE</t>
        </is>
      </c>
      <c r="F1107" t="inlineStr">
        <is>
          <t>Sveaskog</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6343-2024</t>
        </is>
      </c>
      <c r="B1108" s="1" t="n">
        <v>45338</v>
      </c>
      <c r="C1108" s="1" t="n">
        <v>46103</v>
      </c>
      <c r="D1108" t="inlineStr">
        <is>
          <t>KRONOBERGS LÄN</t>
        </is>
      </c>
      <c r="E1108" t="inlineStr">
        <is>
          <t>UPPVIDINGE</t>
        </is>
      </c>
      <c r="F1108" t="inlineStr">
        <is>
          <t>Sveaskog</t>
        </is>
      </c>
      <c r="G1108" t="n">
        <v>6.2</v>
      </c>
      <c r="H1108" t="n">
        <v>0</v>
      </c>
      <c r="I1108" t="n">
        <v>0</v>
      </c>
      <c r="J1108" t="n">
        <v>0</v>
      </c>
      <c r="K1108" t="n">
        <v>0</v>
      </c>
      <c r="L1108" t="n">
        <v>0</v>
      </c>
      <c r="M1108" t="n">
        <v>0</v>
      </c>
      <c r="N1108" t="n">
        <v>0</v>
      </c>
      <c r="O1108" t="n">
        <v>0</v>
      </c>
      <c r="P1108" t="n">
        <v>0</v>
      </c>
      <c r="Q1108" t="n">
        <v>0</v>
      </c>
      <c r="R1108" s="2" t="inlineStr"/>
    </row>
    <row r="1109" ht="15" customHeight="1">
      <c r="A1109" t="inlineStr">
        <is>
          <t>A 6345-2024</t>
        </is>
      </c>
      <c r="B1109" s="1" t="n">
        <v>45338</v>
      </c>
      <c r="C1109" s="1" t="n">
        <v>46103</v>
      </c>
      <c r="D1109" t="inlineStr">
        <is>
          <t>KRONOBERGS LÄN</t>
        </is>
      </c>
      <c r="E1109" t="inlineStr">
        <is>
          <t>UPPVIDINGE</t>
        </is>
      </c>
      <c r="F1109" t="inlineStr">
        <is>
          <t>Sveaskog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4724-2025</t>
        </is>
      </c>
      <c r="B1110" s="1" t="n">
        <v>45688</v>
      </c>
      <c r="C1110" s="1" t="n">
        <v>46103</v>
      </c>
      <c r="D1110" t="inlineStr">
        <is>
          <t>KRONOBERGS LÄN</t>
        </is>
      </c>
      <c r="E1110" t="inlineStr">
        <is>
          <t>TINGSRYD</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6370-2024</t>
        </is>
      </c>
      <c r="B1111" s="1" t="n">
        <v>45338.50238425926</v>
      </c>
      <c r="C1111" s="1" t="n">
        <v>46103</v>
      </c>
      <c r="D1111" t="inlineStr">
        <is>
          <t>KRONOBERGS LÄN</t>
        </is>
      </c>
      <c r="E1111" t="inlineStr">
        <is>
          <t>ALVESTA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43833-2023</t>
        </is>
      </c>
      <c r="B1112" s="1" t="n">
        <v>45187</v>
      </c>
      <c r="C1112" s="1" t="n">
        <v>46103</v>
      </c>
      <c r="D1112" t="inlineStr">
        <is>
          <t>KRONOBERGS LÄN</t>
        </is>
      </c>
      <c r="E1112" t="inlineStr">
        <is>
          <t>LJUNGBY</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14596-2024</t>
        </is>
      </c>
      <c r="B1113" s="1" t="n">
        <v>45395.6982175926</v>
      </c>
      <c r="C1113" s="1" t="n">
        <v>46103</v>
      </c>
      <c r="D1113" t="inlineStr">
        <is>
          <t>KRONOBERGS LÄN</t>
        </is>
      </c>
      <c r="E1113" t="inlineStr">
        <is>
          <t>TINGSRYD</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383-2023</t>
        </is>
      </c>
      <c r="B1114" s="1" t="n">
        <v>44929</v>
      </c>
      <c r="C1114" s="1" t="n">
        <v>46103</v>
      </c>
      <c r="D1114" t="inlineStr">
        <is>
          <t>KRONOBERGS LÄN</t>
        </is>
      </c>
      <c r="E1114" t="inlineStr">
        <is>
          <t>LJUNGBY</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53415-2024</t>
        </is>
      </c>
      <c r="B1115" s="1" t="n">
        <v>45614.50907407407</v>
      </c>
      <c r="C1115" s="1" t="n">
        <v>46103</v>
      </c>
      <c r="D1115" t="inlineStr">
        <is>
          <t>KRONOBERGS LÄN</t>
        </is>
      </c>
      <c r="E1115" t="inlineStr">
        <is>
          <t>LJUNGBY</t>
        </is>
      </c>
      <c r="F1115" t="inlineStr">
        <is>
          <t>Sveaskog</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49001-2024</t>
        </is>
      </c>
      <c r="B1116" s="1" t="n">
        <v>45594.49429398148</v>
      </c>
      <c r="C1116" s="1" t="n">
        <v>46103</v>
      </c>
      <c r="D1116" t="inlineStr">
        <is>
          <t>KRONOBERGS LÄN</t>
        </is>
      </c>
      <c r="E1116" t="inlineStr">
        <is>
          <t>VÄXJÖ</t>
        </is>
      </c>
      <c r="F1116" t="inlineStr">
        <is>
          <t>Sveaskog</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49005-2024</t>
        </is>
      </c>
      <c r="B1117" s="1" t="n">
        <v>45594.49712962963</v>
      </c>
      <c r="C1117" s="1" t="n">
        <v>46103</v>
      </c>
      <c r="D1117" t="inlineStr">
        <is>
          <t>KRONOBERGS LÄN</t>
        </is>
      </c>
      <c r="E1117" t="inlineStr">
        <is>
          <t>VÄXJÖ</t>
        </is>
      </c>
      <c r="F1117" t="inlineStr">
        <is>
          <t>Sveaskog</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49009-2024</t>
        </is>
      </c>
      <c r="B1118" s="1" t="n">
        <v>45594.50039351852</v>
      </c>
      <c r="C1118" s="1" t="n">
        <v>46103</v>
      </c>
      <c r="D1118" t="inlineStr">
        <is>
          <t>KRONOBERGS LÄN</t>
        </is>
      </c>
      <c r="E1118" t="inlineStr">
        <is>
          <t>VÄXJÖ</t>
        </is>
      </c>
      <c r="F1118" t="inlineStr">
        <is>
          <t>Sveaskog</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49014-2024</t>
        </is>
      </c>
      <c r="B1119" s="1" t="n">
        <v>45594.50556712963</v>
      </c>
      <c r="C1119" s="1" t="n">
        <v>46103</v>
      </c>
      <c r="D1119" t="inlineStr">
        <is>
          <t>KRONOBERGS LÄN</t>
        </is>
      </c>
      <c r="E1119" t="inlineStr">
        <is>
          <t>VÄXJÖ</t>
        </is>
      </c>
      <c r="F1119" t="inlineStr">
        <is>
          <t>Sveaskog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49015-2024</t>
        </is>
      </c>
      <c r="B1120" s="1" t="n">
        <v>45594.50665509259</v>
      </c>
      <c r="C1120" s="1" t="n">
        <v>46103</v>
      </c>
      <c r="D1120" t="inlineStr">
        <is>
          <t>KRONOBERGS LÄN</t>
        </is>
      </c>
      <c r="E1120" t="inlineStr">
        <is>
          <t>VÄXJÖ</t>
        </is>
      </c>
      <c r="F1120" t="inlineStr">
        <is>
          <t>Sveaskog</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33240-2024</t>
        </is>
      </c>
      <c r="B1121" s="1" t="n">
        <v>45518.60223379629</v>
      </c>
      <c r="C1121" s="1" t="n">
        <v>46103</v>
      </c>
      <c r="D1121" t="inlineStr">
        <is>
          <t>KRONOBERGS LÄN</t>
        </is>
      </c>
      <c r="E1121" t="inlineStr">
        <is>
          <t>LESSEBO</t>
        </is>
      </c>
      <c r="G1121" t="n">
        <v>7.4</v>
      </c>
      <c r="H1121" t="n">
        <v>0</v>
      </c>
      <c r="I1121" t="n">
        <v>0</v>
      </c>
      <c r="J1121" t="n">
        <v>0</v>
      </c>
      <c r="K1121" t="n">
        <v>0</v>
      </c>
      <c r="L1121" t="n">
        <v>0</v>
      </c>
      <c r="M1121" t="n">
        <v>0</v>
      </c>
      <c r="N1121" t="n">
        <v>0</v>
      </c>
      <c r="O1121" t="n">
        <v>0</v>
      </c>
      <c r="P1121" t="n">
        <v>0</v>
      </c>
      <c r="Q1121" t="n">
        <v>0</v>
      </c>
      <c r="R1121" s="2" t="inlineStr"/>
    </row>
    <row r="1122" ht="15" customHeight="1">
      <c r="A1122" t="inlineStr">
        <is>
          <t>A 18605-2021</t>
        </is>
      </c>
      <c r="B1122" s="1" t="n">
        <v>44306.62743055556</v>
      </c>
      <c r="C1122" s="1" t="n">
        <v>46103</v>
      </c>
      <c r="D1122" t="inlineStr">
        <is>
          <t>KRONOBERGS LÄN</t>
        </is>
      </c>
      <c r="E1122" t="inlineStr">
        <is>
          <t>ALVESTA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30764-2022</t>
        </is>
      </c>
      <c r="B1123" s="1" t="n">
        <v>44764</v>
      </c>
      <c r="C1123" s="1" t="n">
        <v>46103</v>
      </c>
      <c r="D1123" t="inlineStr">
        <is>
          <t>KRONOBERGS LÄN</t>
        </is>
      </c>
      <c r="E1123" t="inlineStr">
        <is>
          <t>LJUNGBY</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28673-2023</t>
        </is>
      </c>
      <c r="B1124" s="1" t="n">
        <v>45103</v>
      </c>
      <c r="C1124" s="1" t="n">
        <v>46103</v>
      </c>
      <c r="D1124" t="inlineStr">
        <is>
          <t>KRONOBERGS LÄN</t>
        </is>
      </c>
      <c r="E1124" t="inlineStr">
        <is>
          <t>LJUNGBY</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42692-2023</t>
        </is>
      </c>
      <c r="B1125" s="1" t="n">
        <v>45181.59420138889</v>
      </c>
      <c r="C1125" s="1" t="n">
        <v>46103</v>
      </c>
      <c r="D1125" t="inlineStr">
        <is>
          <t>KRONOBERGS LÄN</t>
        </is>
      </c>
      <c r="E1125" t="inlineStr">
        <is>
          <t>MARKARYD</t>
        </is>
      </c>
      <c r="F1125" t="inlineStr">
        <is>
          <t>Sveaskog</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4320-2024</t>
        </is>
      </c>
      <c r="B1126" s="1" t="n">
        <v>45324.66358796296</v>
      </c>
      <c r="C1126" s="1" t="n">
        <v>46103</v>
      </c>
      <c r="D1126" t="inlineStr">
        <is>
          <t>KRONOBERGS LÄN</t>
        </is>
      </c>
      <c r="E1126" t="inlineStr">
        <is>
          <t>VÄXJÖ</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24774-2022</t>
        </is>
      </c>
      <c r="B1127" s="1" t="n">
        <v>44728</v>
      </c>
      <c r="C1127" s="1" t="n">
        <v>46103</v>
      </c>
      <c r="D1127" t="inlineStr">
        <is>
          <t>KRONOBERGS LÄN</t>
        </is>
      </c>
      <c r="E1127" t="inlineStr">
        <is>
          <t>TINGSRYD</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46662-2022</t>
        </is>
      </c>
      <c r="B1128" s="1" t="n">
        <v>44850</v>
      </c>
      <c r="C1128" s="1" t="n">
        <v>46103</v>
      </c>
      <c r="D1128" t="inlineStr">
        <is>
          <t>KRONOBERGS LÄN</t>
        </is>
      </c>
      <c r="E1128" t="inlineStr">
        <is>
          <t>LJUNGBY</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18621-2021</t>
        </is>
      </c>
      <c r="B1129" s="1" t="n">
        <v>44306.65480324074</v>
      </c>
      <c r="C1129" s="1" t="n">
        <v>46103</v>
      </c>
      <c r="D1129" t="inlineStr">
        <is>
          <t>KRONOBERGS LÄN</t>
        </is>
      </c>
      <c r="E1129" t="inlineStr">
        <is>
          <t>TINGSRYD</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62152-2023</t>
        </is>
      </c>
      <c r="B1130" s="1" t="n">
        <v>45267</v>
      </c>
      <c r="C1130" s="1" t="n">
        <v>46103</v>
      </c>
      <c r="D1130" t="inlineStr">
        <is>
          <t>KRONOBERGS LÄN</t>
        </is>
      </c>
      <c r="E1130" t="inlineStr">
        <is>
          <t>LESSEBO</t>
        </is>
      </c>
      <c r="F1130" t="inlineStr">
        <is>
          <t>Kommuner</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29450-2022</t>
        </is>
      </c>
      <c r="B1131" s="1" t="n">
        <v>44753.5284375</v>
      </c>
      <c r="C1131" s="1" t="n">
        <v>46103</v>
      </c>
      <c r="D1131" t="inlineStr">
        <is>
          <t>KRONOBERGS LÄN</t>
        </is>
      </c>
      <c r="E1131" t="inlineStr">
        <is>
          <t>TINGSRYD</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37377-2023</t>
        </is>
      </c>
      <c r="B1132" s="1" t="n">
        <v>45156.54523148148</v>
      </c>
      <c r="C1132" s="1" t="n">
        <v>46103</v>
      </c>
      <c r="D1132" t="inlineStr">
        <is>
          <t>KRONOBERGS LÄN</t>
        </is>
      </c>
      <c r="E1132" t="inlineStr">
        <is>
          <t>UPPVIDINGE</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35661-2023</t>
        </is>
      </c>
      <c r="B1133" s="1" t="n">
        <v>45147.59756944444</v>
      </c>
      <c r="C1133" s="1" t="n">
        <v>46103</v>
      </c>
      <c r="D1133" t="inlineStr">
        <is>
          <t>KRONOBERGS LÄN</t>
        </is>
      </c>
      <c r="E1133" t="inlineStr">
        <is>
          <t>TINGSRYD</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25503-2023</t>
        </is>
      </c>
      <c r="B1134" s="1" t="n">
        <v>45089</v>
      </c>
      <c r="C1134" s="1" t="n">
        <v>46103</v>
      </c>
      <c r="D1134" t="inlineStr">
        <is>
          <t>KRONOBERGS LÄN</t>
        </is>
      </c>
      <c r="E1134" t="inlineStr">
        <is>
          <t>UPPVIDINGE</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27713-2022</t>
        </is>
      </c>
      <c r="B1135" s="1" t="n">
        <v>44743</v>
      </c>
      <c r="C1135" s="1" t="n">
        <v>46103</v>
      </c>
      <c r="D1135" t="inlineStr">
        <is>
          <t>KRONOBERGS LÄN</t>
        </is>
      </c>
      <c r="E1135" t="inlineStr">
        <is>
          <t>LESSEBO</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27736-2022</t>
        </is>
      </c>
      <c r="B1136" s="1" t="n">
        <v>44743</v>
      </c>
      <c r="C1136" s="1" t="n">
        <v>46103</v>
      </c>
      <c r="D1136" t="inlineStr">
        <is>
          <t>KRONOBERGS LÄN</t>
        </is>
      </c>
      <c r="E1136" t="inlineStr">
        <is>
          <t>ALVESTA</t>
        </is>
      </c>
      <c r="G1136" t="n">
        <v>6.6</v>
      </c>
      <c r="H1136" t="n">
        <v>0</v>
      </c>
      <c r="I1136" t="n">
        <v>0</v>
      </c>
      <c r="J1136" t="n">
        <v>0</v>
      </c>
      <c r="K1136" t="n">
        <v>0</v>
      </c>
      <c r="L1136" t="n">
        <v>0</v>
      </c>
      <c r="M1136" t="n">
        <v>0</v>
      </c>
      <c r="N1136" t="n">
        <v>0</v>
      </c>
      <c r="O1136" t="n">
        <v>0</v>
      </c>
      <c r="P1136" t="n">
        <v>0</v>
      </c>
      <c r="Q1136" t="n">
        <v>0</v>
      </c>
      <c r="R1136" s="2" t="inlineStr"/>
    </row>
    <row r="1137" ht="15" customHeight="1">
      <c r="A1137" t="inlineStr">
        <is>
          <t>A 8354-2022</t>
        </is>
      </c>
      <c r="B1137" s="1" t="n">
        <v>44610</v>
      </c>
      <c r="C1137" s="1" t="n">
        <v>46103</v>
      </c>
      <c r="D1137" t="inlineStr">
        <is>
          <t>KRONOBERGS LÄN</t>
        </is>
      </c>
      <c r="E1137" t="inlineStr">
        <is>
          <t>UPPVIDINGE</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53768-2024</t>
        </is>
      </c>
      <c r="B1138" s="1" t="n">
        <v>45615.52596064815</v>
      </c>
      <c r="C1138" s="1" t="n">
        <v>46103</v>
      </c>
      <c r="D1138" t="inlineStr">
        <is>
          <t>KRONOBERGS LÄN</t>
        </is>
      </c>
      <c r="E1138" t="inlineStr">
        <is>
          <t>TINGSRYD</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2023-2025</t>
        </is>
      </c>
      <c r="B1139" s="1" t="n">
        <v>45672.47678240741</v>
      </c>
      <c r="C1139" s="1" t="n">
        <v>46103</v>
      </c>
      <c r="D1139" t="inlineStr">
        <is>
          <t>KRONOBERGS LÄN</t>
        </is>
      </c>
      <c r="E1139" t="inlineStr">
        <is>
          <t>VÄXJÖ</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24287-2023</t>
        </is>
      </c>
      <c r="B1140" s="1" t="n">
        <v>45079.91148148148</v>
      </c>
      <c r="C1140" s="1" t="n">
        <v>46103</v>
      </c>
      <c r="D1140" t="inlineStr">
        <is>
          <t>KRONOBERGS LÄN</t>
        </is>
      </c>
      <c r="E1140" t="inlineStr">
        <is>
          <t>MARKARYD</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15408-2021</t>
        </is>
      </c>
      <c r="B1141" s="1" t="n">
        <v>44285.33586805555</v>
      </c>
      <c r="C1141" s="1" t="n">
        <v>46103</v>
      </c>
      <c r="D1141" t="inlineStr">
        <is>
          <t>KRONOBERGS LÄN</t>
        </is>
      </c>
      <c r="E1141" t="inlineStr">
        <is>
          <t>UPPVIDINGE</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40963-2022</t>
        </is>
      </c>
      <c r="B1142" s="1" t="n">
        <v>44825.46571759259</v>
      </c>
      <c r="C1142" s="1" t="n">
        <v>46103</v>
      </c>
      <c r="D1142" t="inlineStr">
        <is>
          <t>KRONOBERGS LÄN</t>
        </is>
      </c>
      <c r="E1142" t="inlineStr">
        <is>
          <t>LJUNGBY</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2896-2022</t>
        </is>
      </c>
      <c r="B1143" s="1" t="n">
        <v>44581</v>
      </c>
      <c r="C1143" s="1" t="n">
        <v>46103</v>
      </c>
      <c r="D1143" t="inlineStr">
        <is>
          <t>KRONOBERGS LÄN</t>
        </is>
      </c>
      <c r="E1143" t="inlineStr">
        <is>
          <t>MARKARYD</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54819-2023</t>
        </is>
      </c>
      <c r="B1144" s="1" t="n">
        <v>45236.53990740741</v>
      </c>
      <c r="C1144" s="1" t="n">
        <v>46103</v>
      </c>
      <c r="D1144" t="inlineStr">
        <is>
          <t>KRONOBERGS LÄN</t>
        </is>
      </c>
      <c r="E1144" t="inlineStr">
        <is>
          <t>MARKARYD</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54872-2023</t>
        </is>
      </c>
      <c r="B1145" s="1" t="n">
        <v>45236.61423611111</v>
      </c>
      <c r="C1145" s="1" t="n">
        <v>46103</v>
      </c>
      <c r="D1145" t="inlineStr">
        <is>
          <t>KRONOBERGS LÄN</t>
        </is>
      </c>
      <c r="E1145" t="inlineStr">
        <is>
          <t>VÄXJÖ</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58864-2022</t>
        </is>
      </c>
      <c r="B1146" s="1" t="n">
        <v>44895</v>
      </c>
      <c r="C1146" s="1" t="n">
        <v>46103</v>
      </c>
      <c r="D1146" t="inlineStr">
        <is>
          <t>KRONOBERGS LÄN</t>
        </is>
      </c>
      <c r="E1146" t="inlineStr">
        <is>
          <t>TINGSRYD</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56456-2024</t>
        </is>
      </c>
      <c r="B1147" s="1" t="n">
        <v>45625.4474537037</v>
      </c>
      <c r="C1147" s="1" t="n">
        <v>46103</v>
      </c>
      <c r="D1147" t="inlineStr">
        <is>
          <t>KRONOBERGS LÄN</t>
        </is>
      </c>
      <c r="E1147" t="inlineStr">
        <is>
          <t>LESSEBO</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56459-2024</t>
        </is>
      </c>
      <c r="B1148" s="1" t="n">
        <v>45625.45034722222</v>
      </c>
      <c r="C1148" s="1" t="n">
        <v>46103</v>
      </c>
      <c r="D1148" t="inlineStr">
        <is>
          <t>KRONOBERGS LÄN</t>
        </is>
      </c>
      <c r="E1148" t="inlineStr">
        <is>
          <t>LESSEBO</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56471-2024</t>
        </is>
      </c>
      <c r="B1149" s="1" t="n">
        <v>45625.45663194444</v>
      </c>
      <c r="C1149" s="1" t="n">
        <v>46103</v>
      </c>
      <c r="D1149" t="inlineStr">
        <is>
          <t>KRONOBERGS LÄN</t>
        </is>
      </c>
      <c r="E1149" t="inlineStr">
        <is>
          <t>LESSEBO</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9755-2025</t>
        </is>
      </c>
      <c r="B1150" s="1" t="n">
        <v>45715</v>
      </c>
      <c r="C1150" s="1" t="n">
        <v>46103</v>
      </c>
      <c r="D1150" t="inlineStr">
        <is>
          <t>KRONOBERGS LÄN</t>
        </is>
      </c>
      <c r="E1150" t="inlineStr">
        <is>
          <t>VÄXJÖ</t>
        </is>
      </c>
      <c r="F1150" t="inlineStr">
        <is>
          <t>Kyrkan</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75-2023</t>
        </is>
      </c>
      <c r="B1151" s="1" t="n">
        <v>44928.45686342593</v>
      </c>
      <c r="C1151" s="1" t="n">
        <v>46103</v>
      </c>
      <c r="D1151" t="inlineStr">
        <is>
          <t>KRONOBERGS LÄN</t>
        </is>
      </c>
      <c r="E1151" t="inlineStr">
        <is>
          <t>LJUNGBY</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64052-2023</t>
        </is>
      </c>
      <c r="B1152" s="1" t="n">
        <v>45279</v>
      </c>
      <c r="C1152" s="1" t="n">
        <v>46103</v>
      </c>
      <c r="D1152" t="inlineStr">
        <is>
          <t>KRONOBERGS LÄN</t>
        </is>
      </c>
      <c r="E1152" t="inlineStr">
        <is>
          <t>LJUNGBY</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49006-2024</t>
        </is>
      </c>
      <c r="B1153" s="1" t="n">
        <v>45594.49760416667</v>
      </c>
      <c r="C1153" s="1" t="n">
        <v>46103</v>
      </c>
      <c r="D1153" t="inlineStr">
        <is>
          <t>KRONOBERGS LÄN</t>
        </is>
      </c>
      <c r="E1153" t="inlineStr">
        <is>
          <t>VÄXJÖ</t>
        </is>
      </c>
      <c r="F1153" t="inlineStr">
        <is>
          <t>Sveaskog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49010-2024</t>
        </is>
      </c>
      <c r="B1154" s="1" t="n">
        <v>45594.50193287037</v>
      </c>
      <c r="C1154" s="1" t="n">
        <v>46103</v>
      </c>
      <c r="D1154" t="inlineStr">
        <is>
          <t>KRONOBERGS LÄN</t>
        </is>
      </c>
      <c r="E1154" t="inlineStr">
        <is>
          <t>VÄXJÖ</t>
        </is>
      </c>
      <c r="F1154" t="inlineStr">
        <is>
          <t>Sveaskog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49013-2024</t>
        </is>
      </c>
      <c r="B1155" s="1" t="n">
        <v>45594.50355324074</v>
      </c>
      <c r="C1155" s="1" t="n">
        <v>46103</v>
      </c>
      <c r="D1155" t="inlineStr">
        <is>
          <t>KRONOBERGS LÄN</t>
        </is>
      </c>
      <c r="E1155" t="inlineStr">
        <is>
          <t>VÄXJÖ</t>
        </is>
      </c>
      <c r="F1155" t="inlineStr">
        <is>
          <t>Sveaskog</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15262-2024</t>
        </is>
      </c>
      <c r="B1156" s="1" t="n">
        <v>45400</v>
      </c>
      <c r="C1156" s="1" t="n">
        <v>46103</v>
      </c>
      <c r="D1156" t="inlineStr">
        <is>
          <t>KRONOBERGS LÄN</t>
        </is>
      </c>
      <c r="E1156" t="inlineStr">
        <is>
          <t>ALVESTA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27789-2023</t>
        </is>
      </c>
      <c r="B1157" s="1" t="n">
        <v>45098.44975694444</v>
      </c>
      <c r="C1157" s="1" t="n">
        <v>46103</v>
      </c>
      <c r="D1157" t="inlineStr">
        <is>
          <t>KRONOBERGS LÄN</t>
        </is>
      </c>
      <c r="E1157" t="inlineStr">
        <is>
          <t>UPPVIDINGE</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49026-2024</t>
        </is>
      </c>
      <c r="B1158" s="1" t="n">
        <v>45594.51657407408</v>
      </c>
      <c r="C1158" s="1" t="n">
        <v>46103</v>
      </c>
      <c r="D1158" t="inlineStr">
        <is>
          <t>KRONOBERGS LÄN</t>
        </is>
      </c>
      <c r="E1158" t="inlineStr">
        <is>
          <t>VÄXJÖ</t>
        </is>
      </c>
      <c r="F1158" t="inlineStr">
        <is>
          <t>Sveaskog</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40249-2024</t>
        </is>
      </c>
      <c r="B1159" s="1" t="n">
        <v>45554.61875</v>
      </c>
      <c r="C1159" s="1" t="n">
        <v>46103</v>
      </c>
      <c r="D1159" t="inlineStr">
        <is>
          <t>KRONOBERGS LÄN</t>
        </is>
      </c>
      <c r="E1159" t="inlineStr">
        <is>
          <t>VÄXJÖ</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31952-2023</t>
        </is>
      </c>
      <c r="B1160" s="1" t="n">
        <v>45119.36762731482</v>
      </c>
      <c r="C1160" s="1" t="n">
        <v>46103</v>
      </c>
      <c r="D1160" t="inlineStr">
        <is>
          <t>KRONOBERGS LÄN</t>
        </is>
      </c>
      <c r="E1160" t="inlineStr">
        <is>
          <t>MARKARYD</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19622-2025</t>
        </is>
      </c>
      <c r="B1161" s="1" t="n">
        <v>45770.625625</v>
      </c>
      <c r="C1161" s="1" t="n">
        <v>46103</v>
      </c>
      <c r="D1161" t="inlineStr">
        <is>
          <t>KRONOBERGS LÄN</t>
        </is>
      </c>
      <c r="E1161" t="inlineStr">
        <is>
          <t>UPPVIDINGE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21969-2023</t>
        </is>
      </c>
      <c r="B1162" s="1" t="n">
        <v>45068.66135416667</v>
      </c>
      <c r="C1162" s="1" t="n">
        <v>46103</v>
      </c>
      <c r="D1162" t="inlineStr">
        <is>
          <t>KRONOBERGS LÄN</t>
        </is>
      </c>
      <c r="E1162" t="inlineStr">
        <is>
          <t>LJUNGBY</t>
        </is>
      </c>
      <c r="F1162" t="inlineStr">
        <is>
          <t>Kommuner</t>
        </is>
      </c>
      <c r="G1162" t="n">
        <v>8.9</v>
      </c>
      <c r="H1162" t="n">
        <v>0</v>
      </c>
      <c r="I1162" t="n">
        <v>0</v>
      </c>
      <c r="J1162" t="n">
        <v>0</v>
      </c>
      <c r="K1162" t="n">
        <v>0</v>
      </c>
      <c r="L1162" t="n">
        <v>0</v>
      </c>
      <c r="M1162" t="n">
        <v>0</v>
      </c>
      <c r="N1162" t="n">
        <v>0</v>
      </c>
      <c r="O1162" t="n">
        <v>0</v>
      </c>
      <c r="P1162" t="n">
        <v>0</v>
      </c>
      <c r="Q1162" t="n">
        <v>0</v>
      </c>
      <c r="R1162" s="2" t="inlineStr"/>
    </row>
    <row r="1163" ht="15" customHeight="1">
      <c r="A1163" t="inlineStr">
        <is>
          <t>A 48937-2023</t>
        </is>
      </c>
      <c r="B1163" s="1" t="n">
        <v>45209</v>
      </c>
      <c r="C1163" s="1" t="n">
        <v>46103</v>
      </c>
      <c r="D1163" t="inlineStr">
        <is>
          <t>KRONOBERGS LÄN</t>
        </is>
      </c>
      <c r="E1163" t="inlineStr">
        <is>
          <t>ÄLMHULT</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11587-2022</t>
        </is>
      </c>
      <c r="B1164" s="1" t="n">
        <v>44631.53199074074</v>
      </c>
      <c r="C1164" s="1" t="n">
        <v>46103</v>
      </c>
      <c r="D1164" t="inlineStr">
        <is>
          <t>KRONOBERGS LÄN</t>
        </is>
      </c>
      <c r="E1164" t="inlineStr">
        <is>
          <t>TINGSRYD</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7089-2023</t>
        </is>
      </c>
      <c r="B1165" s="1" t="n">
        <v>44965</v>
      </c>
      <c r="C1165" s="1" t="n">
        <v>46103</v>
      </c>
      <c r="D1165" t="inlineStr">
        <is>
          <t>KRONOBERGS LÄN</t>
        </is>
      </c>
      <c r="E1165" t="inlineStr">
        <is>
          <t>TINGSRYD</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9742-2024</t>
        </is>
      </c>
      <c r="B1166" s="1" t="n">
        <v>45362</v>
      </c>
      <c r="C1166" s="1" t="n">
        <v>46103</v>
      </c>
      <c r="D1166" t="inlineStr">
        <is>
          <t>KRONOBERGS LÄN</t>
        </is>
      </c>
      <c r="E1166" t="inlineStr">
        <is>
          <t>TINGSRYD</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33481-2021</t>
        </is>
      </c>
      <c r="B1167" s="1" t="n">
        <v>44377</v>
      </c>
      <c r="C1167" s="1" t="n">
        <v>46103</v>
      </c>
      <c r="D1167" t="inlineStr">
        <is>
          <t>KRONOBERGS LÄN</t>
        </is>
      </c>
      <c r="E1167" t="inlineStr">
        <is>
          <t>LJUNGBY</t>
        </is>
      </c>
      <c r="G1167" t="n">
        <v>5.4</v>
      </c>
      <c r="H1167" t="n">
        <v>0</v>
      </c>
      <c r="I1167" t="n">
        <v>0</v>
      </c>
      <c r="J1167" t="n">
        <v>0</v>
      </c>
      <c r="K1167" t="n">
        <v>0</v>
      </c>
      <c r="L1167" t="n">
        <v>0</v>
      </c>
      <c r="M1167" t="n">
        <v>0</v>
      </c>
      <c r="N1167" t="n">
        <v>0</v>
      </c>
      <c r="O1167" t="n">
        <v>0</v>
      </c>
      <c r="P1167" t="n">
        <v>0</v>
      </c>
      <c r="Q1167" t="n">
        <v>0</v>
      </c>
      <c r="R1167" s="2" t="inlineStr"/>
    </row>
    <row r="1168" ht="15" customHeight="1">
      <c r="A1168" t="inlineStr">
        <is>
          <t>A 67618-2021</t>
        </is>
      </c>
      <c r="B1168" s="1" t="n">
        <v>44524</v>
      </c>
      <c r="C1168" s="1" t="n">
        <v>46103</v>
      </c>
      <c r="D1168" t="inlineStr">
        <is>
          <t>KRONOBERGS LÄN</t>
        </is>
      </c>
      <c r="E1168" t="inlineStr">
        <is>
          <t>UPPVIDINGE</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70671-2021</t>
        </is>
      </c>
      <c r="B1169" s="1" t="n">
        <v>44537</v>
      </c>
      <c r="C1169" s="1" t="n">
        <v>46103</v>
      </c>
      <c r="D1169" t="inlineStr">
        <is>
          <t>KRONOBERGS LÄN</t>
        </is>
      </c>
      <c r="E1169" t="inlineStr">
        <is>
          <t>VÄXJÖ</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16259-2021</t>
        </is>
      </c>
      <c r="B1170" s="1" t="n">
        <v>44292.58516203704</v>
      </c>
      <c r="C1170" s="1" t="n">
        <v>46103</v>
      </c>
      <c r="D1170" t="inlineStr">
        <is>
          <t>KRONOBERGS LÄN</t>
        </is>
      </c>
      <c r="E1170" t="inlineStr">
        <is>
          <t>ÄLMHULT</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24399-2023</t>
        </is>
      </c>
      <c r="B1171" s="1" t="n">
        <v>45082</v>
      </c>
      <c r="C1171" s="1" t="n">
        <v>46103</v>
      </c>
      <c r="D1171" t="inlineStr">
        <is>
          <t>KRONOBERGS LÄN</t>
        </is>
      </c>
      <c r="E1171" t="inlineStr">
        <is>
          <t>LJUNGBY</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24429-2023</t>
        </is>
      </c>
      <c r="B1172" s="1" t="n">
        <v>45082</v>
      </c>
      <c r="C1172" s="1" t="n">
        <v>46103</v>
      </c>
      <c r="D1172" t="inlineStr">
        <is>
          <t>KRONOBERGS LÄN</t>
        </is>
      </c>
      <c r="E1172" t="inlineStr">
        <is>
          <t>TINGSRYD</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21756-2023</t>
        </is>
      </c>
      <c r="B1173" s="1" t="n">
        <v>45065</v>
      </c>
      <c r="C1173" s="1" t="n">
        <v>46103</v>
      </c>
      <c r="D1173" t="inlineStr">
        <is>
          <t>KRONOBERGS LÄN</t>
        </is>
      </c>
      <c r="E1173" t="inlineStr">
        <is>
          <t>LJUNGBY</t>
        </is>
      </c>
      <c r="G1173" t="n">
        <v>6.7</v>
      </c>
      <c r="H1173" t="n">
        <v>0</v>
      </c>
      <c r="I1173" t="n">
        <v>0</v>
      </c>
      <c r="J1173" t="n">
        <v>0</v>
      </c>
      <c r="K1173" t="n">
        <v>0</v>
      </c>
      <c r="L1173" t="n">
        <v>0</v>
      </c>
      <c r="M1173" t="n">
        <v>0</v>
      </c>
      <c r="N1173" t="n">
        <v>0</v>
      </c>
      <c r="O1173" t="n">
        <v>0</v>
      </c>
      <c r="P1173" t="n">
        <v>0</v>
      </c>
      <c r="Q1173" t="n">
        <v>0</v>
      </c>
      <c r="R1173" s="2" t="inlineStr"/>
    </row>
    <row r="1174" ht="15" customHeight="1">
      <c r="A1174" t="inlineStr">
        <is>
          <t>A 34117-2024</t>
        </is>
      </c>
      <c r="B1174" s="1" t="n">
        <v>45524</v>
      </c>
      <c r="C1174" s="1" t="n">
        <v>46103</v>
      </c>
      <c r="D1174" t="inlineStr">
        <is>
          <t>KRONOBERGS LÄN</t>
        </is>
      </c>
      <c r="E1174" t="inlineStr">
        <is>
          <t>MARKARYD</t>
        </is>
      </c>
      <c r="F1174" t="inlineStr">
        <is>
          <t>Sveaskog</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43580-2023</t>
        </is>
      </c>
      <c r="B1175" s="1" t="n">
        <v>45181</v>
      </c>
      <c r="C1175" s="1" t="n">
        <v>46103</v>
      </c>
      <c r="D1175" t="inlineStr">
        <is>
          <t>KRONOBERGS LÄN</t>
        </is>
      </c>
      <c r="E1175" t="inlineStr">
        <is>
          <t>UPPVIDINGE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5889-2025</t>
        </is>
      </c>
      <c r="B1176" s="1" t="n">
        <v>45695.38024305556</v>
      </c>
      <c r="C1176" s="1" t="n">
        <v>46103</v>
      </c>
      <c r="D1176" t="inlineStr">
        <is>
          <t>KRONOBERGS LÄN</t>
        </is>
      </c>
      <c r="E1176" t="inlineStr">
        <is>
          <t>TINGSRYD</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68507-2021</t>
        </is>
      </c>
      <c r="B1177" s="1" t="n">
        <v>44529.46170138889</v>
      </c>
      <c r="C1177" s="1" t="n">
        <v>46103</v>
      </c>
      <c r="D1177" t="inlineStr">
        <is>
          <t>KRONOBERGS LÄN</t>
        </is>
      </c>
      <c r="E1177" t="inlineStr">
        <is>
          <t>LESSEBO</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30755-2022</t>
        </is>
      </c>
      <c r="B1178" s="1" t="n">
        <v>44764</v>
      </c>
      <c r="C1178" s="1" t="n">
        <v>46103</v>
      </c>
      <c r="D1178" t="inlineStr">
        <is>
          <t>KRONOBERGS LÄN</t>
        </is>
      </c>
      <c r="E1178" t="inlineStr">
        <is>
          <t>VÄXJÖ</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56925-2023</t>
        </is>
      </c>
      <c r="B1179" s="1" t="n">
        <v>45244.59032407407</v>
      </c>
      <c r="C1179" s="1" t="n">
        <v>46103</v>
      </c>
      <c r="D1179" t="inlineStr">
        <is>
          <t>KRONOBERGS LÄN</t>
        </is>
      </c>
      <c r="E1179" t="inlineStr">
        <is>
          <t>ÄLMHULT</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33005-2024</t>
        </is>
      </c>
      <c r="B1180" s="1" t="n">
        <v>45517.49451388889</v>
      </c>
      <c r="C1180" s="1" t="n">
        <v>46103</v>
      </c>
      <c r="D1180" t="inlineStr">
        <is>
          <t>KRONOBERGS LÄN</t>
        </is>
      </c>
      <c r="E1180" t="inlineStr">
        <is>
          <t>VÄXJÖ</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54636-2024</t>
        </is>
      </c>
      <c r="B1181" s="1" t="n">
        <v>45617.87607638889</v>
      </c>
      <c r="C1181" s="1" t="n">
        <v>46103</v>
      </c>
      <c r="D1181" t="inlineStr">
        <is>
          <t>KRONOBERGS LÄN</t>
        </is>
      </c>
      <c r="E1181" t="inlineStr">
        <is>
          <t>TINGSRYD</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61639-2023</t>
        </is>
      </c>
      <c r="B1182" s="1" t="n">
        <v>45265.56513888889</v>
      </c>
      <c r="C1182" s="1" t="n">
        <v>46103</v>
      </c>
      <c r="D1182" t="inlineStr">
        <is>
          <t>KRONOBERGS LÄN</t>
        </is>
      </c>
      <c r="E1182" t="inlineStr">
        <is>
          <t>MARKARYD</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29739-2023</t>
        </is>
      </c>
      <c r="B1183" s="1" t="n">
        <v>45107.45663194444</v>
      </c>
      <c r="C1183" s="1" t="n">
        <v>46103</v>
      </c>
      <c r="D1183" t="inlineStr">
        <is>
          <t>KRONOBERGS LÄN</t>
        </is>
      </c>
      <c r="E1183" t="inlineStr">
        <is>
          <t>TINGSRYD</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12950-2024</t>
        </is>
      </c>
      <c r="B1184" s="1" t="n">
        <v>45385</v>
      </c>
      <c r="C1184" s="1" t="n">
        <v>46103</v>
      </c>
      <c r="D1184" t="inlineStr">
        <is>
          <t>KRONOBERGS LÄN</t>
        </is>
      </c>
      <c r="E1184" t="inlineStr">
        <is>
          <t>UPPVIDINGE</t>
        </is>
      </c>
      <c r="F1184" t="inlineStr">
        <is>
          <t>Sveaskog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12952-2024</t>
        </is>
      </c>
      <c r="B1185" s="1" t="n">
        <v>45385.48532407408</v>
      </c>
      <c r="C1185" s="1" t="n">
        <v>46103</v>
      </c>
      <c r="D1185" t="inlineStr">
        <is>
          <t>KRONOBERGS LÄN</t>
        </is>
      </c>
      <c r="E1185" t="inlineStr">
        <is>
          <t>ALVESTA</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39505-2024</t>
        </is>
      </c>
      <c r="B1186" s="1" t="n">
        <v>45551</v>
      </c>
      <c r="C1186" s="1" t="n">
        <v>46103</v>
      </c>
      <c r="D1186" t="inlineStr">
        <is>
          <t>KRONOBERGS LÄN</t>
        </is>
      </c>
      <c r="E1186" t="inlineStr">
        <is>
          <t>LJUNGBY</t>
        </is>
      </c>
      <c r="F1186" t="inlineStr">
        <is>
          <t>Sveaskog</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32650-2022</t>
        </is>
      </c>
      <c r="B1187" s="1" t="n">
        <v>44783.50260416666</v>
      </c>
      <c r="C1187" s="1" t="n">
        <v>46103</v>
      </c>
      <c r="D1187" t="inlineStr">
        <is>
          <t>KRONOBERGS LÄN</t>
        </is>
      </c>
      <c r="E1187" t="inlineStr">
        <is>
          <t>ALVESTA</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57989-2024</t>
        </is>
      </c>
      <c r="B1188" s="1" t="n">
        <v>45631.62325231481</v>
      </c>
      <c r="C1188" s="1" t="n">
        <v>46103</v>
      </c>
      <c r="D1188" t="inlineStr">
        <is>
          <t>KRONOBERGS LÄN</t>
        </is>
      </c>
      <c r="E1188" t="inlineStr">
        <is>
          <t>TINGSRYD</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64797-2021</t>
        </is>
      </c>
      <c r="B1189" s="1" t="n">
        <v>44512.50164351852</v>
      </c>
      <c r="C1189" s="1" t="n">
        <v>46103</v>
      </c>
      <c r="D1189" t="inlineStr">
        <is>
          <t>KRONOBERGS LÄN</t>
        </is>
      </c>
      <c r="E1189" t="inlineStr">
        <is>
          <t>ALVESTA</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18376-2025</t>
        </is>
      </c>
      <c r="B1190" s="1" t="n">
        <v>45762.57465277778</v>
      </c>
      <c r="C1190" s="1" t="n">
        <v>46103</v>
      </c>
      <c r="D1190" t="inlineStr">
        <is>
          <t>KRONOBERGS LÄN</t>
        </is>
      </c>
      <c r="E1190" t="inlineStr">
        <is>
          <t>VÄXJÖ</t>
        </is>
      </c>
      <c r="F1190" t="inlineStr">
        <is>
          <t>Sveaskog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18381-2025</t>
        </is>
      </c>
      <c r="B1191" s="1" t="n">
        <v>45762.57912037037</v>
      </c>
      <c r="C1191" s="1" t="n">
        <v>46103</v>
      </c>
      <c r="D1191" t="inlineStr">
        <is>
          <t>KRONOBERGS LÄN</t>
        </is>
      </c>
      <c r="E1191" t="inlineStr">
        <is>
          <t>VÄXJÖ</t>
        </is>
      </c>
      <c r="F1191" t="inlineStr">
        <is>
          <t>Sveaskog</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58946-2023</t>
        </is>
      </c>
      <c r="B1192" s="1" t="n">
        <v>45252.57751157408</v>
      </c>
      <c r="C1192" s="1" t="n">
        <v>46103</v>
      </c>
      <c r="D1192" t="inlineStr">
        <is>
          <t>KRONOBERGS LÄN</t>
        </is>
      </c>
      <c r="E1192" t="inlineStr">
        <is>
          <t>TINGSRYD</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20382-2025</t>
        </is>
      </c>
      <c r="B1193" s="1" t="n">
        <v>45775.43115740741</v>
      </c>
      <c r="C1193" s="1" t="n">
        <v>46103</v>
      </c>
      <c r="D1193" t="inlineStr">
        <is>
          <t>KRONOBERGS LÄN</t>
        </is>
      </c>
      <c r="E1193" t="inlineStr">
        <is>
          <t>VÄXJÖ</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40674-2024</t>
        </is>
      </c>
      <c r="B1194" s="1" t="n">
        <v>45558.36578703704</v>
      </c>
      <c r="C1194" s="1" t="n">
        <v>46103</v>
      </c>
      <c r="D1194" t="inlineStr">
        <is>
          <t>KRONOBERGS LÄN</t>
        </is>
      </c>
      <c r="E1194" t="inlineStr">
        <is>
          <t>VÄXJÖ</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8225-2023</t>
        </is>
      </c>
      <c r="B1195" s="1" t="n">
        <v>44974.57127314815</v>
      </c>
      <c r="C1195" s="1" t="n">
        <v>46103</v>
      </c>
      <c r="D1195" t="inlineStr">
        <is>
          <t>KRONOBERGS LÄN</t>
        </is>
      </c>
      <c r="E1195" t="inlineStr">
        <is>
          <t>LJUNGBY</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33591-2022</t>
        </is>
      </c>
      <c r="B1196" s="1" t="n">
        <v>44789.46129629629</v>
      </c>
      <c r="C1196" s="1" t="n">
        <v>46103</v>
      </c>
      <c r="D1196" t="inlineStr">
        <is>
          <t>KRONOBERGS LÄN</t>
        </is>
      </c>
      <c r="E1196" t="inlineStr">
        <is>
          <t>UPPVIDINGE</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21164-2023</t>
        </is>
      </c>
      <c r="B1197" s="1" t="n">
        <v>45062</v>
      </c>
      <c r="C1197" s="1" t="n">
        <v>46103</v>
      </c>
      <c r="D1197" t="inlineStr">
        <is>
          <t>KRONOBERGS LÄN</t>
        </is>
      </c>
      <c r="E1197" t="inlineStr">
        <is>
          <t>ÄLMHULT</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20397-2023</t>
        </is>
      </c>
      <c r="B1198" s="1" t="n">
        <v>45056.60450231482</v>
      </c>
      <c r="C1198" s="1" t="n">
        <v>46103</v>
      </c>
      <c r="D1198" t="inlineStr">
        <is>
          <t>KRONOBERGS LÄN</t>
        </is>
      </c>
      <c r="E1198" t="inlineStr">
        <is>
          <t>VÄXJÖ</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24302-2024</t>
        </is>
      </c>
      <c r="B1199" s="1" t="n">
        <v>45457</v>
      </c>
      <c r="C1199" s="1" t="n">
        <v>46103</v>
      </c>
      <c r="D1199" t="inlineStr">
        <is>
          <t>KRONOBERGS LÄN</t>
        </is>
      </c>
      <c r="E1199" t="inlineStr">
        <is>
          <t>TINGSRYD</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24478-2024</t>
        </is>
      </c>
      <c r="B1200" s="1" t="n">
        <v>45459.32884259259</v>
      </c>
      <c r="C1200" s="1" t="n">
        <v>46103</v>
      </c>
      <c r="D1200" t="inlineStr">
        <is>
          <t>KRONOBERGS LÄN</t>
        </is>
      </c>
      <c r="E1200" t="inlineStr">
        <is>
          <t>LESSEBO</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19999-2023</t>
        </is>
      </c>
      <c r="B1201" s="1" t="n">
        <v>45054.62291666667</v>
      </c>
      <c r="C1201" s="1" t="n">
        <v>46103</v>
      </c>
      <c r="D1201" t="inlineStr">
        <is>
          <t>KRONOBERGS LÄN</t>
        </is>
      </c>
      <c r="E1201" t="inlineStr">
        <is>
          <t>MARKARYD</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18233-2025</t>
        </is>
      </c>
      <c r="B1202" s="1" t="n">
        <v>45761</v>
      </c>
      <c r="C1202" s="1" t="n">
        <v>46103</v>
      </c>
      <c r="D1202" t="inlineStr">
        <is>
          <t>KRONOBERGS LÄN</t>
        </is>
      </c>
      <c r="E1202" t="inlineStr">
        <is>
          <t>LJUNGBY</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1367-2023</t>
        </is>
      </c>
      <c r="B1203" s="1" t="n">
        <v>44936.63445601852</v>
      </c>
      <c r="C1203" s="1" t="n">
        <v>46103</v>
      </c>
      <c r="D1203" t="inlineStr">
        <is>
          <t>KRONOBERGS LÄN</t>
        </is>
      </c>
      <c r="E1203" t="inlineStr">
        <is>
          <t>LESSEBO</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3280-2025</t>
        </is>
      </c>
      <c r="B1204" s="1" t="n">
        <v>45679.60483796296</v>
      </c>
      <c r="C1204" s="1" t="n">
        <v>46103</v>
      </c>
      <c r="D1204" t="inlineStr">
        <is>
          <t>KRONOBERGS LÄN</t>
        </is>
      </c>
      <c r="E1204" t="inlineStr">
        <is>
          <t>VÄXJÖ</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62176-2022</t>
        </is>
      </c>
      <c r="B1205" s="1" t="n">
        <v>44922.50314814815</v>
      </c>
      <c r="C1205" s="1" t="n">
        <v>46103</v>
      </c>
      <c r="D1205" t="inlineStr">
        <is>
          <t>KRONOBERGS LÄN</t>
        </is>
      </c>
      <c r="E1205" t="inlineStr">
        <is>
          <t>UPPVIDINGE</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27533-2023</t>
        </is>
      </c>
      <c r="B1206" s="1" t="n">
        <v>45097</v>
      </c>
      <c r="C1206" s="1" t="n">
        <v>46103</v>
      </c>
      <c r="D1206" t="inlineStr">
        <is>
          <t>KRONOBERGS LÄN</t>
        </is>
      </c>
      <c r="E1206" t="inlineStr">
        <is>
          <t>LJUNGBY</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15130-2024</t>
        </is>
      </c>
      <c r="B1207" s="1" t="n">
        <v>45399</v>
      </c>
      <c r="C1207" s="1" t="n">
        <v>46103</v>
      </c>
      <c r="D1207" t="inlineStr">
        <is>
          <t>KRONOBERGS LÄN</t>
        </is>
      </c>
      <c r="E1207" t="inlineStr">
        <is>
          <t>TINGSRYD</t>
        </is>
      </c>
      <c r="G1207" t="n">
        <v>6.2</v>
      </c>
      <c r="H1207" t="n">
        <v>0</v>
      </c>
      <c r="I1207" t="n">
        <v>0</v>
      </c>
      <c r="J1207" t="n">
        <v>0</v>
      </c>
      <c r="K1207" t="n">
        <v>0</v>
      </c>
      <c r="L1207" t="n">
        <v>0</v>
      </c>
      <c r="M1207" t="n">
        <v>0</v>
      </c>
      <c r="N1207" t="n">
        <v>0</v>
      </c>
      <c r="O1207" t="n">
        <v>0</v>
      </c>
      <c r="P1207" t="n">
        <v>0</v>
      </c>
      <c r="Q1207" t="n">
        <v>0</v>
      </c>
      <c r="R1207" s="2" t="inlineStr"/>
    </row>
    <row r="1208" ht="15" customHeight="1">
      <c r="A1208" t="inlineStr">
        <is>
          <t>A 15132-2024</t>
        </is>
      </c>
      <c r="B1208" s="1" t="n">
        <v>45399</v>
      </c>
      <c r="C1208" s="1" t="n">
        <v>46103</v>
      </c>
      <c r="D1208" t="inlineStr">
        <is>
          <t>KRONOBERGS LÄN</t>
        </is>
      </c>
      <c r="E1208" t="inlineStr">
        <is>
          <t>TINGSRYD</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6106-2025</t>
        </is>
      </c>
      <c r="B1209" s="1" t="n">
        <v>45697.97704861111</v>
      </c>
      <c r="C1209" s="1" t="n">
        <v>46103</v>
      </c>
      <c r="D1209" t="inlineStr">
        <is>
          <t>KRONOBERGS LÄN</t>
        </is>
      </c>
      <c r="E1209" t="inlineStr">
        <is>
          <t>UPPVIDINGE</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53296-2023</t>
        </is>
      </c>
      <c r="B1210" s="1" t="n">
        <v>45229.58863425926</v>
      </c>
      <c r="C1210" s="1" t="n">
        <v>46103</v>
      </c>
      <c r="D1210" t="inlineStr">
        <is>
          <t>KRONOBERGS LÄN</t>
        </is>
      </c>
      <c r="E1210" t="inlineStr">
        <is>
          <t>UPPVIDINGE</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15744-2023</t>
        </is>
      </c>
      <c r="B1211" s="1" t="n">
        <v>45020</v>
      </c>
      <c r="C1211" s="1" t="n">
        <v>46103</v>
      </c>
      <c r="D1211" t="inlineStr">
        <is>
          <t>KRONOBERGS LÄN</t>
        </is>
      </c>
      <c r="E1211" t="inlineStr">
        <is>
          <t>UPPVIDINGE</t>
        </is>
      </c>
      <c r="F1211" t="inlineStr">
        <is>
          <t>Kyrkan</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28676-2023</t>
        </is>
      </c>
      <c r="B1212" s="1" t="n">
        <v>45103.67451388889</v>
      </c>
      <c r="C1212" s="1" t="n">
        <v>46103</v>
      </c>
      <c r="D1212" t="inlineStr">
        <is>
          <t>KRONOBERGS LÄN</t>
        </is>
      </c>
      <c r="E1212" t="inlineStr">
        <is>
          <t>LJUNGBY</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7539-2024</t>
        </is>
      </c>
      <c r="B1213" s="1" t="n">
        <v>45348</v>
      </c>
      <c r="C1213" s="1" t="n">
        <v>46103</v>
      </c>
      <c r="D1213" t="inlineStr">
        <is>
          <t>KRONOBERGS LÄN</t>
        </is>
      </c>
      <c r="E1213" t="inlineStr">
        <is>
          <t>ÄLMHULT</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58571-2024</t>
        </is>
      </c>
      <c r="B1214" s="1" t="n">
        <v>45635.47998842593</v>
      </c>
      <c r="C1214" s="1" t="n">
        <v>46103</v>
      </c>
      <c r="D1214" t="inlineStr">
        <is>
          <t>KRONOBERGS LÄN</t>
        </is>
      </c>
      <c r="E1214" t="inlineStr">
        <is>
          <t>TINGSRYD</t>
        </is>
      </c>
      <c r="F1214" t="inlineStr">
        <is>
          <t>Övriga Aktiebolag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15576-2025</t>
        </is>
      </c>
      <c r="B1215" s="1" t="n">
        <v>45747</v>
      </c>
      <c r="C1215" s="1" t="n">
        <v>46103</v>
      </c>
      <c r="D1215" t="inlineStr">
        <is>
          <t>KRONOBERGS LÄN</t>
        </is>
      </c>
      <c r="E1215" t="inlineStr">
        <is>
          <t>LJUNGBY</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24219-2024</t>
        </is>
      </c>
      <c r="B1216" s="1" t="n">
        <v>45457</v>
      </c>
      <c r="C1216" s="1" t="n">
        <v>46103</v>
      </c>
      <c r="D1216" t="inlineStr">
        <is>
          <t>KRONOBERGS LÄN</t>
        </is>
      </c>
      <c r="E1216" t="inlineStr">
        <is>
          <t>ÄLMHULT</t>
        </is>
      </c>
      <c r="G1216" t="n">
        <v>8.9</v>
      </c>
      <c r="H1216" t="n">
        <v>0</v>
      </c>
      <c r="I1216" t="n">
        <v>0</v>
      </c>
      <c r="J1216" t="n">
        <v>0</v>
      </c>
      <c r="K1216" t="n">
        <v>0</v>
      </c>
      <c r="L1216" t="n">
        <v>0</v>
      </c>
      <c r="M1216" t="n">
        <v>0</v>
      </c>
      <c r="N1216" t="n">
        <v>0</v>
      </c>
      <c r="O1216" t="n">
        <v>0</v>
      </c>
      <c r="P1216" t="n">
        <v>0</v>
      </c>
      <c r="Q1216" t="n">
        <v>0</v>
      </c>
      <c r="R1216" s="2" t="inlineStr"/>
    </row>
    <row r="1217" ht="15" customHeight="1">
      <c r="A1217" t="inlineStr">
        <is>
          <t>A 20075-2023</t>
        </is>
      </c>
      <c r="B1217" s="1" t="n">
        <v>45054.85400462963</v>
      </c>
      <c r="C1217" s="1" t="n">
        <v>46103</v>
      </c>
      <c r="D1217" t="inlineStr">
        <is>
          <t>KRONOBERGS LÄN</t>
        </is>
      </c>
      <c r="E1217" t="inlineStr">
        <is>
          <t>LJUNGBY</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20478-2023</t>
        </is>
      </c>
      <c r="B1218" s="1" t="n">
        <v>45057</v>
      </c>
      <c r="C1218" s="1" t="n">
        <v>46103</v>
      </c>
      <c r="D1218" t="inlineStr">
        <is>
          <t>KRONOBERGS LÄN</t>
        </is>
      </c>
      <c r="E1218" t="inlineStr">
        <is>
          <t>VÄXJÖ</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30056-2023</t>
        </is>
      </c>
      <c r="B1219" s="1" t="n">
        <v>45110</v>
      </c>
      <c r="C1219" s="1" t="n">
        <v>46103</v>
      </c>
      <c r="D1219" t="inlineStr">
        <is>
          <t>KRONOBERGS LÄN</t>
        </is>
      </c>
      <c r="E1219" t="inlineStr">
        <is>
          <t>TINGSRYD</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13579-2024</t>
        </is>
      </c>
      <c r="B1220" s="1" t="n">
        <v>45389</v>
      </c>
      <c r="C1220" s="1" t="n">
        <v>46103</v>
      </c>
      <c r="D1220" t="inlineStr">
        <is>
          <t>KRONOBERGS LÄN</t>
        </is>
      </c>
      <c r="E1220" t="inlineStr">
        <is>
          <t>UPPVIDINGE</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27756-2023</t>
        </is>
      </c>
      <c r="B1221" s="1" t="n">
        <v>45098</v>
      </c>
      <c r="C1221" s="1" t="n">
        <v>46103</v>
      </c>
      <c r="D1221" t="inlineStr">
        <is>
          <t>KRONOBERGS LÄN</t>
        </is>
      </c>
      <c r="E1221" t="inlineStr">
        <is>
          <t>ÄLMHULT</t>
        </is>
      </c>
      <c r="G1221" t="n">
        <v>1.6</v>
      </c>
      <c r="H1221" t="n">
        <v>0</v>
      </c>
      <c r="I1221" t="n">
        <v>0</v>
      </c>
      <c r="J1221" t="n">
        <v>0</v>
      </c>
      <c r="K1221" t="n">
        <v>0</v>
      </c>
      <c r="L1221" t="n">
        <v>0</v>
      </c>
      <c r="M1221" t="n">
        <v>0</v>
      </c>
      <c r="N1221" t="n">
        <v>0</v>
      </c>
      <c r="O1221" t="n">
        <v>0</v>
      </c>
      <c r="P1221" t="n">
        <v>0</v>
      </c>
      <c r="Q1221" t="n">
        <v>0</v>
      </c>
      <c r="R1221" s="2" t="inlineStr"/>
      <c r="U1221">
        <f>HYPERLINK("https://klasma.github.io/Logging_0765/knärot/A 27756-2023 karta knärot.png", "A 27756-2023")</f>
        <v/>
      </c>
      <c r="V1221">
        <f>HYPERLINK("https://klasma.github.io/Logging_0765/klagomål/A 27756-2023 FSC-klagomål.docx", "A 27756-2023")</f>
        <v/>
      </c>
      <c r="W1221">
        <f>HYPERLINK("https://klasma.github.io/Logging_0765/klagomålsmail/A 27756-2023 FSC-klagomål mail.docx", "A 27756-2023")</f>
        <v/>
      </c>
      <c r="X1221">
        <f>HYPERLINK("https://klasma.github.io/Logging_0765/tillsyn/A 27756-2023 tillsynsbegäran.docx", "A 27756-2023")</f>
        <v/>
      </c>
      <c r="Y1221">
        <f>HYPERLINK("https://klasma.github.io/Logging_0765/tillsynsmail/A 27756-2023 tillsynsbegäran mail.docx", "A 27756-2023")</f>
        <v/>
      </c>
    </row>
    <row r="1222" ht="15" customHeight="1">
      <c r="A1222" t="inlineStr">
        <is>
          <t>A 4473-2023</t>
        </is>
      </c>
      <c r="B1222" s="1" t="n">
        <v>44956</v>
      </c>
      <c r="C1222" s="1" t="n">
        <v>46103</v>
      </c>
      <c r="D1222" t="inlineStr">
        <is>
          <t>KRONOBERGS LÄN</t>
        </is>
      </c>
      <c r="E1222" t="inlineStr">
        <is>
          <t>MARKARYD</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4474-2023</t>
        </is>
      </c>
      <c r="B1223" s="1" t="n">
        <v>44956</v>
      </c>
      <c r="C1223" s="1" t="n">
        <v>46103</v>
      </c>
      <c r="D1223" t="inlineStr">
        <is>
          <t>KRONOBERGS LÄN</t>
        </is>
      </c>
      <c r="E1223" t="inlineStr">
        <is>
          <t>MARKARYD</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9033-2025</t>
        </is>
      </c>
      <c r="B1224" s="1" t="n">
        <v>45713</v>
      </c>
      <c r="C1224" s="1" t="n">
        <v>46103</v>
      </c>
      <c r="D1224" t="inlineStr">
        <is>
          <t>KRONOBERGS LÄN</t>
        </is>
      </c>
      <c r="E1224" t="inlineStr">
        <is>
          <t>LJUNGBY</t>
        </is>
      </c>
      <c r="F1224" t="inlineStr">
        <is>
          <t>Sveaskog</t>
        </is>
      </c>
      <c r="G1224" t="n">
        <v>6.6</v>
      </c>
      <c r="H1224" t="n">
        <v>0</v>
      </c>
      <c r="I1224" t="n">
        <v>0</v>
      </c>
      <c r="J1224" t="n">
        <v>0</v>
      </c>
      <c r="K1224" t="n">
        <v>0</v>
      </c>
      <c r="L1224" t="n">
        <v>0</v>
      </c>
      <c r="M1224" t="n">
        <v>0</v>
      </c>
      <c r="N1224" t="n">
        <v>0</v>
      </c>
      <c r="O1224" t="n">
        <v>0</v>
      </c>
      <c r="P1224" t="n">
        <v>0</v>
      </c>
      <c r="Q1224" t="n">
        <v>0</v>
      </c>
      <c r="R1224" s="2" t="inlineStr"/>
    </row>
    <row r="1225" ht="15" customHeight="1">
      <c r="A1225" t="inlineStr">
        <is>
          <t>A 25290-2023</t>
        </is>
      </c>
      <c r="B1225" s="1" t="n">
        <v>45086.72387731481</v>
      </c>
      <c r="C1225" s="1" t="n">
        <v>46103</v>
      </c>
      <c r="D1225" t="inlineStr">
        <is>
          <t>KRONOBERGS LÄN</t>
        </is>
      </c>
      <c r="E1225" t="inlineStr">
        <is>
          <t>TINGSRYD</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50871-2023</t>
        </is>
      </c>
      <c r="B1226" s="1" t="n">
        <v>45218.36541666667</v>
      </c>
      <c r="C1226" s="1" t="n">
        <v>46103</v>
      </c>
      <c r="D1226" t="inlineStr">
        <is>
          <t>KRONOBERGS LÄN</t>
        </is>
      </c>
      <c r="E1226" t="inlineStr">
        <is>
          <t>ALVESTA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10566-2023</t>
        </is>
      </c>
      <c r="B1227" s="1" t="n">
        <v>44988.31290509259</v>
      </c>
      <c r="C1227" s="1" t="n">
        <v>46103</v>
      </c>
      <c r="D1227" t="inlineStr">
        <is>
          <t>KRONOBERGS LÄN</t>
        </is>
      </c>
      <c r="E1227" t="inlineStr">
        <is>
          <t>VÄXJÖ</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50921-2023</t>
        </is>
      </c>
      <c r="B1228" s="1" t="n">
        <v>45218.43747685185</v>
      </c>
      <c r="C1228" s="1" t="n">
        <v>46103</v>
      </c>
      <c r="D1228" t="inlineStr">
        <is>
          <t>KRONOBERGS LÄN</t>
        </is>
      </c>
      <c r="E1228" t="inlineStr">
        <is>
          <t>MARKARYD</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50950-2023</t>
        </is>
      </c>
      <c r="B1229" s="1" t="n">
        <v>45218.47658564815</v>
      </c>
      <c r="C1229" s="1" t="n">
        <v>46103</v>
      </c>
      <c r="D1229" t="inlineStr">
        <is>
          <t>KRONOBERGS LÄN</t>
        </is>
      </c>
      <c r="E1229" t="inlineStr">
        <is>
          <t>LJUNGBY</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2293-2024</t>
        </is>
      </c>
      <c r="B1230" s="1" t="n">
        <v>45310.42872685185</v>
      </c>
      <c r="C1230" s="1" t="n">
        <v>46103</v>
      </c>
      <c r="D1230" t="inlineStr">
        <is>
          <t>KRONOBERGS LÄN</t>
        </is>
      </c>
      <c r="E1230" t="inlineStr">
        <is>
          <t>TINGSRYD</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35377-2021</t>
        </is>
      </c>
      <c r="B1231" s="1" t="n">
        <v>44385</v>
      </c>
      <c r="C1231" s="1" t="n">
        <v>46103</v>
      </c>
      <c r="D1231" t="inlineStr">
        <is>
          <t>KRONOBERGS LÄN</t>
        </is>
      </c>
      <c r="E1231" t="inlineStr">
        <is>
          <t>ALVESTA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36390-2023</t>
        </is>
      </c>
      <c r="B1232" s="1" t="n">
        <v>45152.53986111111</v>
      </c>
      <c r="C1232" s="1" t="n">
        <v>46103</v>
      </c>
      <c r="D1232" t="inlineStr">
        <is>
          <t>KRONOBERGS LÄN</t>
        </is>
      </c>
      <c r="E1232" t="inlineStr">
        <is>
          <t>VÄXJÖ</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5093-2024</t>
        </is>
      </c>
      <c r="B1233" s="1" t="n">
        <v>45330</v>
      </c>
      <c r="C1233" s="1" t="n">
        <v>46103</v>
      </c>
      <c r="D1233" t="inlineStr">
        <is>
          <t>KRONOBERGS LÄN</t>
        </is>
      </c>
      <c r="E1233" t="inlineStr">
        <is>
          <t>VÄXJÖ</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10955-2023</t>
        </is>
      </c>
      <c r="B1234" s="1" t="n">
        <v>44991</v>
      </c>
      <c r="C1234" s="1" t="n">
        <v>46103</v>
      </c>
      <c r="D1234" t="inlineStr">
        <is>
          <t>KRONOBERGS LÄN</t>
        </is>
      </c>
      <c r="E1234" t="inlineStr">
        <is>
          <t>VÄXJÖ</t>
        </is>
      </c>
      <c r="G1234" t="n">
        <v>24.7</v>
      </c>
      <c r="H1234" t="n">
        <v>0</v>
      </c>
      <c r="I1234" t="n">
        <v>0</v>
      </c>
      <c r="J1234" t="n">
        <v>0</v>
      </c>
      <c r="K1234" t="n">
        <v>0</v>
      </c>
      <c r="L1234" t="n">
        <v>0</v>
      </c>
      <c r="M1234" t="n">
        <v>0</v>
      </c>
      <c r="N1234" t="n">
        <v>0</v>
      </c>
      <c r="O1234" t="n">
        <v>0</v>
      </c>
      <c r="P1234" t="n">
        <v>0</v>
      </c>
      <c r="Q1234" t="n">
        <v>0</v>
      </c>
      <c r="R1234" s="2" t="inlineStr"/>
    </row>
    <row r="1235" ht="15" customHeight="1">
      <c r="A1235" t="inlineStr">
        <is>
          <t>A 3879-2025</t>
        </is>
      </c>
      <c r="B1235" s="1" t="n">
        <v>45684.34594907407</v>
      </c>
      <c r="C1235" s="1" t="n">
        <v>46103</v>
      </c>
      <c r="D1235" t="inlineStr">
        <is>
          <t>KRONOBERGS LÄN</t>
        </is>
      </c>
      <c r="E1235" t="inlineStr">
        <is>
          <t>LJUNGBY</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1655-2023</t>
        </is>
      </c>
      <c r="B1236" s="1" t="n">
        <v>44938.32413194444</v>
      </c>
      <c r="C1236" s="1" t="n">
        <v>46103</v>
      </c>
      <c r="D1236" t="inlineStr">
        <is>
          <t>KRONOBERGS LÄN</t>
        </is>
      </c>
      <c r="E1236" t="inlineStr">
        <is>
          <t>ALVESTA</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57932-2022</t>
        </is>
      </c>
      <c r="B1237" s="1" t="n">
        <v>44900.38261574074</v>
      </c>
      <c r="C1237" s="1" t="n">
        <v>46103</v>
      </c>
      <c r="D1237" t="inlineStr">
        <is>
          <t>KRONOBERGS LÄN</t>
        </is>
      </c>
      <c r="E1237" t="inlineStr">
        <is>
          <t>VÄXJÖ</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3879-2024</t>
        </is>
      </c>
      <c r="B1238" s="1" t="n">
        <v>45322.43651620371</v>
      </c>
      <c r="C1238" s="1" t="n">
        <v>46103</v>
      </c>
      <c r="D1238" t="inlineStr">
        <is>
          <t>KRONOBERGS LÄN</t>
        </is>
      </c>
      <c r="E1238" t="inlineStr">
        <is>
          <t>VÄXJÖ</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10856-2023</t>
        </is>
      </c>
      <c r="B1239" s="1" t="n">
        <v>44991.37282407407</v>
      </c>
      <c r="C1239" s="1" t="n">
        <v>46103</v>
      </c>
      <c r="D1239" t="inlineStr">
        <is>
          <t>KRONOBERGS LÄN</t>
        </is>
      </c>
      <c r="E1239" t="inlineStr">
        <is>
          <t>TINGSRYD</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10861-2023</t>
        </is>
      </c>
      <c r="B1240" s="1" t="n">
        <v>44991.38533564815</v>
      </c>
      <c r="C1240" s="1" t="n">
        <v>46103</v>
      </c>
      <c r="D1240" t="inlineStr">
        <is>
          <t>KRONOBERGS LÄN</t>
        </is>
      </c>
      <c r="E1240" t="inlineStr">
        <is>
          <t>ALVESTA</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52757-2024</t>
        </is>
      </c>
      <c r="B1241" s="1" t="n">
        <v>45610.50424768519</v>
      </c>
      <c r="C1241" s="1" t="n">
        <v>46103</v>
      </c>
      <c r="D1241" t="inlineStr">
        <is>
          <t>KRONOBERGS LÄN</t>
        </is>
      </c>
      <c r="E1241" t="inlineStr">
        <is>
          <t>ÄLMHULT</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60621-2021</t>
        </is>
      </c>
      <c r="B1242" s="1" t="n">
        <v>44496.59342592592</v>
      </c>
      <c r="C1242" s="1" t="n">
        <v>46103</v>
      </c>
      <c r="D1242" t="inlineStr">
        <is>
          <t>KRONOBERGS LÄN</t>
        </is>
      </c>
      <c r="E1242" t="inlineStr">
        <is>
          <t>ÄLMHULT</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52709-2022</t>
        </is>
      </c>
      <c r="B1243" s="1" t="n">
        <v>44874</v>
      </c>
      <c r="C1243" s="1" t="n">
        <v>46103</v>
      </c>
      <c r="D1243" t="inlineStr">
        <is>
          <t>KRONOBERGS LÄN</t>
        </is>
      </c>
      <c r="E1243" t="inlineStr">
        <is>
          <t>LJUNGBY</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30966-2023</t>
        </is>
      </c>
      <c r="B1244" s="1" t="n">
        <v>45113.48390046296</v>
      </c>
      <c r="C1244" s="1" t="n">
        <v>46103</v>
      </c>
      <c r="D1244" t="inlineStr">
        <is>
          <t>KRONOBERGS LÄN</t>
        </is>
      </c>
      <c r="E1244" t="inlineStr">
        <is>
          <t>LESSEBO</t>
        </is>
      </c>
      <c r="G1244" t="n">
        <v>7</v>
      </c>
      <c r="H1244" t="n">
        <v>0</v>
      </c>
      <c r="I1244" t="n">
        <v>0</v>
      </c>
      <c r="J1244" t="n">
        <v>0</v>
      </c>
      <c r="K1244" t="n">
        <v>0</v>
      </c>
      <c r="L1244" t="n">
        <v>0</v>
      </c>
      <c r="M1244" t="n">
        <v>0</v>
      </c>
      <c r="N1244" t="n">
        <v>0</v>
      </c>
      <c r="O1244" t="n">
        <v>0</v>
      </c>
      <c r="P1244" t="n">
        <v>0</v>
      </c>
      <c r="Q1244" t="n">
        <v>0</v>
      </c>
      <c r="R1244" s="2" t="inlineStr"/>
    </row>
    <row r="1245" ht="15" customHeight="1">
      <c r="A1245" t="inlineStr">
        <is>
          <t>A 25594-2023</t>
        </is>
      </c>
      <c r="B1245" s="1" t="n">
        <v>45089.63690972222</v>
      </c>
      <c r="C1245" s="1" t="n">
        <v>46103</v>
      </c>
      <c r="D1245" t="inlineStr">
        <is>
          <t>KRONOBERGS LÄN</t>
        </is>
      </c>
      <c r="E1245" t="inlineStr">
        <is>
          <t>TINGSRYD</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760-2022</t>
        </is>
      </c>
      <c r="B1246" s="1" t="n">
        <v>44569</v>
      </c>
      <c r="C1246" s="1" t="n">
        <v>46103</v>
      </c>
      <c r="D1246" t="inlineStr">
        <is>
          <t>KRONOBERGS LÄN</t>
        </is>
      </c>
      <c r="E1246" t="inlineStr">
        <is>
          <t>ALVESTA</t>
        </is>
      </c>
      <c r="G1246" t="n">
        <v>0.1</v>
      </c>
      <c r="H1246" t="n">
        <v>0</v>
      </c>
      <c r="I1246" t="n">
        <v>0</v>
      </c>
      <c r="J1246" t="n">
        <v>0</v>
      </c>
      <c r="K1246" t="n">
        <v>0</v>
      </c>
      <c r="L1246" t="n">
        <v>0</v>
      </c>
      <c r="M1246" t="n">
        <v>0</v>
      </c>
      <c r="N1246" t="n">
        <v>0</v>
      </c>
      <c r="O1246" t="n">
        <v>0</v>
      </c>
      <c r="P1246" t="n">
        <v>0</v>
      </c>
      <c r="Q1246" t="n">
        <v>0</v>
      </c>
      <c r="R1246" s="2" t="inlineStr"/>
    </row>
    <row r="1247" ht="15" customHeight="1">
      <c r="A1247" t="inlineStr">
        <is>
          <t>A 26221-2023</t>
        </is>
      </c>
      <c r="B1247" s="1" t="n">
        <v>45091</v>
      </c>
      <c r="C1247" s="1" t="n">
        <v>46103</v>
      </c>
      <c r="D1247" t="inlineStr">
        <is>
          <t>KRONOBERGS LÄN</t>
        </is>
      </c>
      <c r="E1247" t="inlineStr">
        <is>
          <t>TINGSRYD</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13113-2025</t>
        </is>
      </c>
      <c r="B1248" s="1" t="n">
        <v>45734</v>
      </c>
      <c r="C1248" s="1" t="n">
        <v>46103</v>
      </c>
      <c r="D1248" t="inlineStr">
        <is>
          <t>KRONOBERGS LÄN</t>
        </is>
      </c>
      <c r="E1248" t="inlineStr">
        <is>
          <t>ÄLMHULT</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13229-2025</t>
        </is>
      </c>
      <c r="B1249" s="1" t="n">
        <v>45735.46643518518</v>
      </c>
      <c r="C1249" s="1" t="n">
        <v>46103</v>
      </c>
      <c r="D1249" t="inlineStr">
        <is>
          <t>KRONOBERGS LÄN</t>
        </is>
      </c>
      <c r="E1249" t="inlineStr">
        <is>
          <t>LJUNGBY</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9344-2025</t>
        </is>
      </c>
      <c r="B1250" s="1" t="n">
        <v>45714.84204861111</v>
      </c>
      <c r="C1250" s="1" t="n">
        <v>46103</v>
      </c>
      <c r="D1250" t="inlineStr">
        <is>
          <t>KRONOBERGS LÄN</t>
        </is>
      </c>
      <c r="E1250" t="inlineStr">
        <is>
          <t>LJUNGBY</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13280-2025</t>
        </is>
      </c>
      <c r="B1251" s="1" t="n">
        <v>45735.55299768518</v>
      </c>
      <c r="C1251" s="1" t="n">
        <v>46103</v>
      </c>
      <c r="D1251" t="inlineStr">
        <is>
          <t>KRONOBERGS LÄN</t>
        </is>
      </c>
      <c r="E1251" t="inlineStr">
        <is>
          <t>ÄLMHULT</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13281-2025</t>
        </is>
      </c>
      <c r="B1252" s="1" t="n">
        <v>45735.555</v>
      </c>
      <c r="C1252" s="1" t="n">
        <v>46103</v>
      </c>
      <c r="D1252" t="inlineStr">
        <is>
          <t>KRONOBERGS LÄN</t>
        </is>
      </c>
      <c r="E1252" t="inlineStr">
        <is>
          <t>ÄLMHULT</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14952-2024</t>
        </is>
      </c>
      <c r="B1253" s="1" t="n">
        <v>45398.79873842592</v>
      </c>
      <c r="C1253" s="1" t="n">
        <v>46103</v>
      </c>
      <c r="D1253" t="inlineStr">
        <is>
          <t>KRONOBERGS LÄN</t>
        </is>
      </c>
      <c r="E1253" t="inlineStr">
        <is>
          <t>UPPVIDINGE</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9001-2023</t>
        </is>
      </c>
      <c r="B1254" s="1" t="n">
        <v>44979.57680555555</v>
      </c>
      <c r="C1254" s="1" t="n">
        <v>46103</v>
      </c>
      <c r="D1254" t="inlineStr">
        <is>
          <t>KRONOBERGS LÄN</t>
        </is>
      </c>
      <c r="E1254" t="inlineStr">
        <is>
          <t>VÄXJÖ</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44492-2021</t>
        </is>
      </c>
      <c r="B1255" s="1" t="n">
        <v>44435</v>
      </c>
      <c r="C1255" s="1" t="n">
        <v>46103</v>
      </c>
      <c r="D1255" t="inlineStr">
        <is>
          <t>KRONOBERGS LÄN</t>
        </is>
      </c>
      <c r="E1255" t="inlineStr">
        <is>
          <t>TINGSRYD</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14883-2022</t>
        </is>
      </c>
      <c r="B1256" s="1" t="n">
        <v>44656</v>
      </c>
      <c r="C1256" s="1" t="n">
        <v>46103</v>
      </c>
      <c r="D1256" t="inlineStr">
        <is>
          <t>KRONOBERGS LÄN</t>
        </is>
      </c>
      <c r="E1256" t="inlineStr">
        <is>
          <t>VÄXJÖ</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44839-2024</t>
        </is>
      </c>
      <c r="B1257" s="1" t="n">
        <v>45574.71269675926</v>
      </c>
      <c r="C1257" s="1" t="n">
        <v>46103</v>
      </c>
      <c r="D1257" t="inlineStr">
        <is>
          <t>KRONOBERGS LÄN</t>
        </is>
      </c>
      <c r="E1257" t="inlineStr">
        <is>
          <t>TINGSRYD</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48265-2023</t>
        </is>
      </c>
      <c r="B1258" s="1" t="n">
        <v>45205.54072916666</v>
      </c>
      <c r="C1258" s="1" t="n">
        <v>46103</v>
      </c>
      <c r="D1258" t="inlineStr">
        <is>
          <t>KRONOBERGS LÄN</t>
        </is>
      </c>
      <c r="E1258" t="inlineStr">
        <is>
          <t>ÄLMHULT</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12688-2024</t>
        </is>
      </c>
      <c r="B1259" s="1" t="n">
        <v>45384.42409722223</v>
      </c>
      <c r="C1259" s="1" t="n">
        <v>46103</v>
      </c>
      <c r="D1259" t="inlineStr">
        <is>
          <t>KRONOBERGS LÄN</t>
        </is>
      </c>
      <c r="E1259" t="inlineStr">
        <is>
          <t>UPPVIDINGE</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7251-2023</t>
        </is>
      </c>
      <c r="B1260" s="1" t="n">
        <v>44970.630625</v>
      </c>
      <c r="C1260" s="1" t="n">
        <v>46103</v>
      </c>
      <c r="D1260" t="inlineStr">
        <is>
          <t>KRONOBERGS LÄN</t>
        </is>
      </c>
      <c r="E1260" t="inlineStr">
        <is>
          <t>VÄXJÖ</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16990-2023</t>
        </is>
      </c>
      <c r="B1261" s="1" t="n">
        <v>45033</v>
      </c>
      <c r="C1261" s="1" t="n">
        <v>46103</v>
      </c>
      <c r="D1261" t="inlineStr">
        <is>
          <t>KRONOBERGS LÄN</t>
        </is>
      </c>
      <c r="E1261" t="inlineStr">
        <is>
          <t>VÄXJÖ</t>
        </is>
      </c>
      <c r="F1261" t="inlineStr">
        <is>
          <t>Övriga Aktiebolag</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24556-2024</t>
        </is>
      </c>
      <c r="B1262" s="1" t="n">
        <v>45460.43055555555</v>
      </c>
      <c r="C1262" s="1" t="n">
        <v>46103</v>
      </c>
      <c r="D1262" t="inlineStr">
        <is>
          <t>KRONOBERGS LÄN</t>
        </is>
      </c>
      <c r="E1262" t="inlineStr">
        <is>
          <t>VÄXJÖ</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6880-2023</t>
        </is>
      </c>
      <c r="B1263" s="1" t="n">
        <v>44967</v>
      </c>
      <c r="C1263" s="1" t="n">
        <v>46103</v>
      </c>
      <c r="D1263" t="inlineStr">
        <is>
          <t>KRONOBERGS LÄN</t>
        </is>
      </c>
      <c r="E1263" t="inlineStr">
        <is>
          <t>TINGSRYD</t>
        </is>
      </c>
      <c r="F1263" t="inlineStr">
        <is>
          <t>Övriga Aktiebolag</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42758-2023</t>
        </is>
      </c>
      <c r="B1264" s="1" t="n">
        <v>45181</v>
      </c>
      <c r="C1264" s="1" t="n">
        <v>46103</v>
      </c>
      <c r="D1264" t="inlineStr">
        <is>
          <t>KRONOBERGS LÄN</t>
        </is>
      </c>
      <c r="E1264" t="inlineStr">
        <is>
          <t>VÄXJÖ</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33075-2024</t>
        </is>
      </c>
      <c r="B1265" s="1" t="n">
        <v>45517.66657407407</v>
      </c>
      <c r="C1265" s="1" t="n">
        <v>46103</v>
      </c>
      <c r="D1265" t="inlineStr">
        <is>
          <t>KRONOBERGS LÄN</t>
        </is>
      </c>
      <c r="E1265" t="inlineStr">
        <is>
          <t>VÄXJÖ</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3624-2022</t>
        </is>
      </c>
      <c r="B1266" s="1" t="n">
        <v>44586.42520833333</v>
      </c>
      <c r="C1266" s="1" t="n">
        <v>46103</v>
      </c>
      <c r="D1266" t="inlineStr">
        <is>
          <t>KRONOBERGS LÄN</t>
        </is>
      </c>
      <c r="E1266" t="inlineStr">
        <is>
          <t>TINGSRYD</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32759-2022</t>
        </is>
      </c>
      <c r="B1267" s="1" t="n">
        <v>44783.91359953704</v>
      </c>
      <c r="C1267" s="1" t="n">
        <v>46103</v>
      </c>
      <c r="D1267" t="inlineStr">
        <is>
          <t>KRONOBERGS LÄN</t>
        </is>
      </c>
      <c r="E1267" t="inlineStr">
        <is>
          <t>ALVESTA</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13582-2024</t>
        </is>
      </c>
      <c r="B1268" s="1" t="n">
        <v>45389.73820601852</v>
      </c>
      <c r="C1268" s="1" t="n">
        <v>46103</v>
      </c>
      <c r="D1268" t="inlineStr">
        <is>
          <t>KRONOBERGS LÄN</t>
        </is>
      </c>
      <c r="E1268" t="inlineStr">
        <is>
          <t>UPPVIDINGE</t>
        </is>
      </c>
      <c r="G1268" t="n">
        <v>7.5</v>
      </c>
      <c r="H1268" t="n">
        <v>0</v>
      </c>
      <c r="I1268" t="n">
        <v>0</v>
      </c>
      <c r="J1268" t="n">
        <v>0</v>
      </c>
      <c r="K1268" t="n">
        <v>0</v>
      </c>
      <c r="L1268" t="n">
        <v>0</v>
      </c>
      <c r="M1268" t="n">
        <v>0</v>
      </c>
      <c r="N1268" t="n">
        <v>0</v>
      </c>
      <c r="O1268" t="n">
        <v>0</v>
      </c>
      <c r="P1268" t="n">
        <v>0</v>
      </c>
      <c r="Q1268" t="n">
        <v>0</v>
      </c>
      <c r="R1268" s="2" t="inlineStr"/>
    </row>
    <row r="1269" ht="15" customHeight="1">
      <c r="A1269" t="inlineStr">
        <is>
          <t>A 44827-2022</t>
        </is>
      </c>
      <c r="B1269" s="1" t="n">
        <v>44839</v>
      </c>
      <c r="C1269" s="1" t="n">
        <v>46103</v>
      </c>
      <c r="D1269" t="inlineStr">
        <is>
          <t>KRONOBERGS LÄN</t>
        </is>
      </c>
      <c r="E1269" t="inlineStr">
        <is>
          <t>MARKARYD</t>
        </is>
      </c>
      <c r="F1269" t="inlineStr">
        <is>
          <t>Kyrkan</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35224-2024</t>
        </is>
      </c>
      <c r="B1270" s="1" t="n">
        <v>45530.50984953704</v>
      </c>
      <c r="C1270" s="1" t="n">
        <v>46103</v>
      </c>
      <c r="D1270" t="inlineStr">
        <is>
          <t>KRONOBERGS LÄN</t>
        </is>
      </c>
      <c r="E1270" t="inlineStr">
        <is>
          <t>ALVESTA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17702-2021</t>
        </is>
      </c>
      <c r="B1271" s="1" t="n">
        <v>44300</v>
      </c>
      <c r="C1271" s="1" t="n">
        <v>46103</v>
      </c>
      <c r="D1271" t="inlineStr">
        <is>
          <t>KRONOBERGS LÄN</t>
        </is>
      </c>
      <c r="E1271" t="inlineStr">
        <is>
          <t>LESSEBO</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14737-2024</t>
        </is>
      </c>
      <c r="B1272" s="1" t="n">
        <v>45397.59635416666</v>
      </c>
      <c r="C1272" s="1" t="n">
        <v>46103</v>
      </c>
      <c r="D1272" t="inlineStr">
        <is>
          <t>KRONOBERGS LÄN</t>
        </is>
      </c>
      <c r="E1272" t="inlineStr">
        <is>
          <t>VÄXJÖ</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1926-2023</t>
        </is>
      </c>
      <c r="B1273" s="1" t="n">
        <v>44939.42466435185</v>
      </c>
      <c r="C1273" s="1" t="n">
        <v>46103</v>
      </c>
      <c r="D1273" t="inlineStr">
        <is>
          <t>KRONOBERGS LÄN</t>
        </is>
      </c>
      <c r="E1273" t="inlineStr">
        <is>
          <t>TINGSRYD</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33352-2023</t>
        </is>
      </c>
      <c r="B1274" s="1" t="n">
        <v>45117</v>
      </c>
      <c r="C1274" s="1" t="n">
        <v>46103</v>
      </c>
      <c r="D1274" t="inlineStr">
        <is>
          <t>KRONOBERGS LÄN</t>
        </is>
      </c>
      <c r="E1274" t="inlineStr">
        <is>
          <t>TINGSRYD</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33360-2023</t>
        </is>
      </c>
      <c r="B1275" s="1" t="n">
        <v>45117</v>
      </c>
      <c r="C1275" s="1" t="n">
        <v>46103</v>
      </c>
      <c r="D1275" t="inlineStr">
        <is>
          <t>KRONOBERGS LÄN</t>
        </is>
      </c>
      <c r="E1275" t="inlineStr">
        <is>
          <t>TINGSRYD</t>
        </is>
      </c>
      <c r="G1275" t="n">
        <v>4.6</v>
      </c>
      <c r="H1275" t="n">
        <v>0</v>
      </c>
      <c r="I1275" t="n">
        <v>0</v>
      </c>
      <c r="J1275" t="n">
        <v>0</v>
      </c>
      <c r="K1275" t="n">
        <v>0</v>
      </c>
      <c r="L1275" t="n">
        <v>0</v>
      </c>
      <c r="M1275" t="n">
        <v>0</v>
      </c>
      <c r="N1275" t="n">
        <v>0</v>
      </c>
      <c r="O1275" t="n">
        <v>0</v>
      </c>
      <c r="P1275" t="n">
        <v>0</v>
      </c>
      <c r="Q1275" t="n">
        <v>0</v>
      </c>
      <c r="R1275" s="2" t="inlineStr"/>
    </row>
    <row r="1276" ht="15" customHeight="1">
      <c r="A1276" t="inlineStr">
        <is>
          <t>A 69748-2021</t>
        </is>
      </c>
      <c r="B1276" s="1" t="n">
        <v>44532</v>
      </c>
      <c r="C1276" s="1" t="n">
        <v>46103</v>
      </c>
      <c r="D1276" t="inlineStr">
        <is>
          <t>KRONOBERGS LÄN</t>
        </is>
      </c>
      <c r="E1276" t="inlineStr">
        <is>
          <t>VÄXJÖ</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20411-2025</t>
        </is>
      </c>
      <c r="B1277" s="1" t="n">
        <v>45775.45998842592</v>
      </c>
      <c r="C1277" s="1" t="n">
        <v>46103</v>
      </c>
      <c r="D1277" t="inlineStr">
        <is>
          <t>KRONOBERGS LÄN</t>
        </is>
      </c>
      <c r="E1277" t="inlineStr">
        <is>
          <t>VÄXJÖ</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22441-2022</t>
        </is>
      </c>
      <c r="B1278" s="1" t="n">
        <v>44713.535</v>
      </c>
      <c r="C1278" s="1" t="n">
        <v>46103</v>
      </c>
      <c r="D1278" t="inlineStr">
        <is>
          <t>KRONOBERGS LÄN</t>
        </is>
      </c>
      <c r="E1278" t="inlineStr">
        <is>
          <t>VÄXJÖ</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50803-2024</t>
        </is>
      </c>
      <c r="B1279" s="1" t="n">
        <v>45602</v>
      </c>
      <c r="C1279" s="1" t="n">
        <v>46103</v>
      </c>
      <c r="D1279" t="inlineStr">
        <is>
          <t>KRONOBERGS LÄN</t>
        </is>
      </c>
      <c r="E1279" t="inlineStr">
        <is>
          <t>LJUNGBY</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17065-2023</t>
        </is>
      </c>
      <c r="B1280" s="1" t="n">
        <v>45034</v>
      </c>
      <c r="C1280" s="1" t="n">
        <v>46103</v>
      </c>
      <c r="D1280" t="inlineStr">
        <is>
          <t>KRONOBERGS LÄN</t>
        </is>
      </c>
      <c r="E1280" t="inlineStr">
        <is>
          <t>TINGSRYD</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59089-2024</t>
        </is>
      </c>
      <c r="B1281" s="1" t="n">
        <v>45637.31768518518</v>
      </c>
      <c r="C1281" s="1" t="n">
        <v>46103</v>
      </c>
      <c r="D1281" t="inlineStr">
        <is>
          <t>KRONOBERGS LÄN</t>
        </is>
      </c>
      <c r="E1281" t="inlineStr">
        <is>
          <t>TINGSRYD</t>
        </is>
      </c>
      <c r="F1281" t="inlineStr">
        <is>
          <t>Övriga Aktiebolag</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9895-2023</t>
        </is>
      </c>
      <c r="B1282" s="1" t="n">
        <v>44985</v>
      </c>
      <c r="C1282" s="1" t="n">
        <v>46103</v>
      </c>
      <c r="D1282" t="inlineStr">
        <is>
          <t>KRONOBERGS LÄN</t>
        </is>
      </c>
      <c r="E1282" t="inlineStr">
        <is>
          <t>LJUNGBY</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6809-2022</t>
        </is>
      </c>
      <c r="B1283" s="1" t="n">
        <v>44602.57952546296</v>
      </c>
      <c r="C1283" s="1" t="n">
        <v>46103</v>
      </c>
      <c r="D1283" t="inlineStr">
        <is>
          <t>KRONOBERGS LÄN</t>
        </is>
      </c>
      <c r="E1283" t="inlineStr">
        <is>
          <t>VÄXJÖ</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6559-2022</t>
        </is>
      </c>
      <c r="B1284" s="1" t="n">
        <v>44601.58469907408</v>
      </c>
      <c r="C1284" s="1" t="n">
        <v>46103</v>
      </c>
      <c r="D1284" t="inlineStr">
        <is>
          <t>KRONOBERGS LÄN</t>
        </is>
      </c>
      <c r="E1284" t="inlineStr">
        <is>
          <t>MARKARYD</t>
        </is>
      </c>
      <c r="F1284" t="inlineStr">
        <is>
          <t>Kommuner</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9987-2023</t>
        </is>
      </c>
      <c r="B1285" s="1" t="n">
        <v>44985</v>
      </c>
      <c r="C1285" s="1" t="n">
        <v>46103</v>
      </c>
      <c r="D1285" t="inlineStr">
        <is>
          <t>KRONOBERGS LÄN</t>
        </is>
      </c>
      <c r="E1285" t="inlineStr">
        <is>
          <t>ALVESTA</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9629-2022</t>
        </is>
      </c>
      <c r="B1286" s="1" t="n">
        <v>44617</v>
      </c>
      <c r="C1286" s="1" t="n">
        <v>46103</v>
      </c>
      <c r="D1286" t="inlineStr">
        <is>
          <t>KRONOBERGS LÄN</t>
        </is>
      </c>
      <c r="E1286" t="inlineStr">
        <is>
          <t>LJUNGBY</t>
        </is>
      </c>
      <c r="F1286" t="inlineStr">
        <is>
          <t>Kyrkan</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60041-2024</t>
        </is>
      </c>
      <c r="B1287" s="1" t="n">
        <v>45642.47061342592</v>
      </c>
      <c r="C1287" s="1" t="n">
        <v>46103</v>
      </c>
      <c r="D1287" t="inlineStr">
        <is>
          <t>KRONOBERGS LÄN</t>
        </is>
      </c>
      <c r="E1287" t="inlineStr">
        <is>
          <t>UPPVIDINGE</t>
        </is>
      </c>
      <c r="F1287" t="inlineStr">
        <is>
          <t>Sveaskog</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6275-2025</t>
        </is>
      </c>
      <c r="B1288" s="1" t="n">
        <v>45698</v>
      </c>
      <c r="C1288" s="1" t="n">
        <v>46103</v>
      </c>
      <c r="D1288" t="inlineStr">
        <is>
          <t>KRONOBERGS LÄN</t>
        </is>
      </c>
      <c r="E1288" t="inlineStr">
        <is>
          <t>LJUNGBY</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62164-2021</t>
        </is>
      </c>
      <c r="B1289" s="1" t="n">
        <v>44502.76005787037</v>
      </c>
      <c r="C1289" s="1" t="n">
        <v>46103</v>
      </c>
      <c r="D1289" t="inlineStr">
        <is>
          <t>KRONOBERGS LÄN</t>
        </is>
      </c>
      <c r="E1289" t="inlineStr">
        <is>
          <t>VÄXJÖ</t>
        </is>
      </c>
      <c r="F1289" t="inlineStr">
        <is>
          <t>Sveaskog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12044-2024</t>
        </is>
      </c>
      <c r="B1290" s="1" t="n">
        <v>45377.44168981481</v>
      </c>
      <c r="C1290" s="1" t="n">
        <v>46103</v>
      </c>
      <c r="D1290" t="inlineStr">
        <is>
          <t>KRONOBERGS LÄN</t>
        </is>
      </c>
      <c r="E1290" t="inlineStr">
        <is>
          <t>TINGSRYD</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59320-2024</t>
        </is>
      </c>
      <c r="B1291" s="1" t="n">
        <v>45637.7069212963</v>
      </c>
      <c r="C1291" s="1" t="n">
        <v>46103</v>
      </c>
      <c r="D1291" t="inlineStr">
        <is>
          <t>KRONOBERGS LÄN</t>
        </is>
      </c>
      <c r="E1291" t="inlineStr">
        <is>
          <t>LESSEBO</t>
        </is>
      </c>
      <c r="F1291" t="inlineStr">
        <is>
          <t>Sveaskog</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58268-2022</t>
        </is>
      </c>
      <c r="B1292" s="1" t="n">
        <v>44901.46834490741</v>
      </c>
      <c r="C1292" s="1" t="n">
        <v>46103</v>
      </c>
      <c r="D1292" t="inlineStr">
        <is>
          <t>KRONOBERGS LÄN</t>
        </is>
      </c>
      <c r="E1292" t="inlineStr">
        <is>
          <t>ALVESTA</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16854-2023</t>
        </is>
      </c>
      <c r="B1293" s="1" t="n">
        <v>45033.46269675926</v>
      </c>
      <c r="C1293" s="1" t="n">
        <v>46103</v>
      </c>
      <c r="D1293" t="inlineStr">
        <is>
          <t>KRONOBERGS LÄN</t>
        </is>
      </c>
      <c r="E1293" t="inlineStr">
        <is>
          <t>TINGSRYD</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47242-2022</t>
        </is>
      </c>
      <c r="B1294" s="1" t="n">
        <v>44852</v>
      </c>
      <c r="C1294" s="1" t="n">
        <v>46103</v>
      </c>
      <c r="D1294" t="inlineStr">
        <is>
          <t>KRONOBERGS LÄN</t>
        </is>
      </c>
      <c r="E1294" t="inlineStr">
        <is>
          <t>LJUNGBY</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7408-2023</t>
        </is>
      </c>
      <c r="B1295" s="1" t="n">
        <v>44971</v>
      </c>
      <c r="C1295" s="1" t="n">
        <v>46103</v>
      </c>
      <c r="D1295" t="inlineStr">
        <is>
          <t>KRONOBERGS LÄN</t>
        </is>
      </c>
      <c r="E1295" t="inlineStr">
        <is>
          <t>TINGSRYD</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18234-2025</t>
        </is>
      </c>
      <c r="B1296" s="1" t="n">
        <v>45761.93627314815</v>
      </c>
      <c r="C1296" s="1" t="n">
        <v>46103</v>
      </c>
      <c r="D1296" t="inlineStr">
        <is>
          <t>KRONOBERGS LÄN</t>
        </is>
      </c>
      <c r="E1296" t="inlineStr">
        <is>
          <t>UPPVIDINGE</t>
        </is>
      </c>
      <c r="F1296" t="inlineStr">
        <is>
          <t>Sveaskog</t>
        </is>
      </c>
      <c r="G1296" t="n">
        <v>9.5</v>
      </c>
      <c r="H1296" t="n">
        <v>0</v>
      </c>
      <c r="I1296" t="n">
        <v>0</v>
      </c>
      <c r="J1296" t="n">
        <v>0</v>
      </c>
      <c r="K1296" t="n">
        <v>0</v>
      </c>
      <c r="L1296" t="n">
        <v>0</v>
      </c>
      <c r="M1296" t="n">
        <v>0</v>
      </c>
      <c r="N1296" t="n">
        <v>0</v>
      </c>
      <c r="O1296" t="n">
        <v>0</v>
      </c>
      <c r="P1296" t="n">
        <v>0</v>
      </c>
      <c r="Q1296" t="n">
        <v>0</v>
      </c>
      <c r="R1296" s="2" t="inlineStr"/>
    </row>
    <row r="1297" ht="15" customHeight="1">
      <c r="A1297" t="inlineStr">
        <is>
          <t>A 18235-2025</t>
        </is>
      </c>
      <c r="B1297" s="1" t="n">
        <v>45761</v>
      </c>
      <c r="C1297" s="1" t="n">
        <v>46103</v>
      </c>
      <c r="D1297" t="inlineStr">
        <is>
          <t>KRONOBERGS LÄN</t>
        </is>
      </c>
      <c r="E1297" t="inlineStr">
        <is>
          <t>UPPVIDINGE</t>
        </is>
      </c>
      <c r="F1297" t="inlineStr">
        <is>
          <t>Sveaskog</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6664-2025</t>
        </is>
      </c>
      <c r="B1298" s="1" t="n">
        <v>45700.4577199074</v>
      </c>
      <c r="C1298" s="1" t="n">
        <v>46103</v>
      </c>
      <c r="D1298" t="inlineStr">
        <is>
          <t>KRONOBERGS LÄN</t>
        </is>
      </c>
      <c r="E1298" t="inlineStr">
        <is>
          <t>TINGSRYD</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44299-2023</t>
        </is>
      </c>
      <c r="B1299" s="1" t="n">
        <v>45188</v>
      </c>
      <c r="C1299" s="1" t="n">
        <v>46103</v>
      </c>
      <c r="D1299" t="inlineStr">
        <is>
          <t>KRONOBERGS LÄN</t>
        </is>
      </c>
      <c r="E1299" t="inlineStr">
        <is>
          <t>TINGSRYD</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44304-2023</t>
        </is>
      </c>
      <c r="B1300" s="1" t="n">
        <v>45188</v>
      </c>
      <c r="C1300" s="1" t="n">
        <v>46103</v>
      </c>
      <c r="D1300" t="inlineStr">
        <is>
          <t>KRONOBERGS LÄN</t>
        </is>
      </c>
      <c r="E1300" t="inlineStr">
        <is>
          <t>LJUNGBY</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32760-2022</t>
        </is>
      </c>
      <c r="B1301" s="1" t="n">
        <v>44783.91583333333</v>
      </c>
      <c r="C1301" s="1" t="n">
        <v>46103</v>
      </c>
      <c r="D1301" t="inlineStr">
        <is>
          <t>KRONOBERGS LÄN</t>
        </is>
      </c>
      <c r="E1301" t="inlineStr">
        <is>
          <t>ALVESTA</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41227-2022</t>
        </is>
      </c>
      <c r="B1302" s="1" t="n">
        <v>44826.33715277778</v>
      </c>
      <c r="C1302" s="1" t="n">
        <v>46103</v>
      </c>
      <c r="D1302" t="inlineStr">
        <is>
          <t>KRONOBERGS LÄN</t>
        </is>
      </c>
      <c r="E1302" t="inlineStr">
        <is>
          <t>ÄLMHULT</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4463-2025</t>
        </is>
      </c>
      <c r="B1303" s="1" t="n">
        <v>45686.60481481482</v>
      </c>
      <c r="C1303" s="1" t="n">
        <v>46103</v>
      </c>
      <c r="D1303" t="inlineStr">
        <is>
          <t>KRONOBERGS LÄN</t>
        </is>
      </c>
      <c r="E1303" t="inlineStr">
        <is>
          <t>VÄXJÖ</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5730-2023</t>
        </is>
      </c>
      <c r="B1304" s="1" t="n">
        <v>44962</v>
      </c>
      <c r="C1304" s="1" t="n">
        <v>46103</v>
      </c>
      <c r="D1304" t="inlineStr">
        <is>
          <t>KRONOBERGS LÄN</t>
        </is>
      </c>
      <c r="E1304" t="inlineStr">
        <is>
          <t>ÄLMHULT</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42002-2024</t>
        </is>
      </c>
      <c r="B1305" s="1" t="n">
        <v>45561.66087962963</v>
      </c>
      <c r="C1305" s="1" t="n">
        <v>46103</v>
      </c>
      <c r="D1305" t="inlineStr">
        <is>
          <t>KRONOBERGS LÄN</t>
        </is>
      </c>
      <c r="E1305" t="inlineStr">
        <is>
          <t>VÄXJÖ</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7374-2024</t>
        </is>
      </c>
      <c r="B1306" s="1" t="n">
        <v>45345</v>
      </c>
      <c r="C1306" s="1" t="n">
        <v>46103</v>
      </c>
      <c r="D1306" t="inlineStr">
        <is>
          <t>KRONOBERGS LÄN</t>
        </is>
      </c>
      <c r="E1306" t="inlineStr">
        <is>
          <t>LJUNGBY</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56821-2022</t>
        </is>
      </c>
      <c r="B1307" s="1" t="n">
        <v>44894</v>
      </c>
      <c r="C1307" s="1" t="n">
        <v>46103</v>
      </c>
      <c r="D1307" t="inlineStr">
        <is>
          <t>KRONOBERGS LÄN</t>
        </is>
      </c>
      <c r="E1307" t="inlineStr">
        <is>
          <t>VÄXJÖ</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40304-2021</t>
        </is>
      </c>
      <c r="B1308" s="1" t="n">
        <v>44419</v>
      </c>
      <c r="C1308" s="1" t="n">
        <v>46103</v>
      </c>
      <c r="D1308" t="inlineStr">
        <is>
          <t>KRONOBERGS LÄN</t>
        </is>
      </c>
      <c r="E1308" t="inlineStr">
        <is>
          <t>ALVESTA</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54614-2024</t>
        </is>
      </c>
      <c r="B1309" s="1" t="n">
        <v>45617.72069444445</v>
      </c>
      <c r="C1309" s="1" t="n">
        <v>46103</v>
      </c>
      <c r="D1309" t="inlineStr">
        <is>
          <t>KRONOBERGS LÄN</t>
        </is>
      </c>
      <c r="E1309" t="inlineStr">
        <is>
          <t>LJUNGBY</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26516-2024</t>
        </is>
      </c>
      <c r="B1310" s="1" t="n">
        <v>45469.59653935185</v>
      </c>
      <c r="C1310" s="1" t="n">
        <v>46103</v>
      </c>
      <c r="D1310" t="inlineStr">
        <is>
          <t>KRONOBERGS LÄN</t>
        </is>
      </c>
      <c r="E1310" t="inlineStr">
        <is>
          <t>ÄLMHULT</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17932-2024</t>
        </is>
      </c>
      <c r="B1311" s="1" t="n">
        <v>45419</v>
      </c>
      <c r="C1311" s="1" t="n">
        <v>46103</v>
      </c>
      <c r="D1311" t="inlineStr">
        <is>
          <t>KRONOBERGS LÄN</t>
        </is>
      </c>
      <c r="E1311" t="inlineStr">
        <is>
          <t>MARKARYD</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9960-2022</t>
        </is>
      </c>
      <c r="B1312" s="1" t="n">
        <v>44620</v>
      </c>
      <c r="C1312" s="1" t="n">
        <v>46103</v>
      </c>
      <c r="D1312" t="inlineStr">
        <is>
          <t>KRONOBERGS LÄN</t>
        </is>
      </c>
      <c r="E1312" t="inlineStr">
        <is>
          <t>VÄXJÖ</t>
        </is>
      </c>
      <c r="G1312" t="n">
        <v>12.2</v>
      </c>
      <c r="H1312" t="n">
        <v>0</v>
      </c>
      <c r="I1312" t="n">
        <v>0</v>
      </c>
      <c r="J1312" t="n">
        <v>0</v>
      </c>
      <c r="K1312" t="n">
        <v>0</v>
      </c>
      <c r="L1312" t="n">
        <v>0</v>
      </c>
      <c r="M1312" t="n">
        <v>0</v>
      </c>
      <c r="N1312" t="n">
        <v>0</v>
      </c>
      <c r="O1312" t="n">
        <v>0</v>
      </c>
      <c r="P1312" t="n">
        <v>0</v>
      </c>
      <c r="Q1312" t="n">
        <v>0</v>
      </c>
      <c r="R1312" s="2" t="inlineStr"/>
    </row>
    <row r="1313" ht="15" customHeight="1">
      <c r="A1313" t="inlineStr">
        <is>
          <t>A 19209-2024</t>
        </is>
      </c>
      <c r="B1313" s="1" t="n">
        <v>45428.54546296296</v>
      </c>
      <c r="C1313" s="1" t="n">
        <v>46103</v>
      </c>
      <c r="D1313" t="inlineStr">
        <is>
          <t>KRONOBERGS LÄN</t>
        </is>
      </c>
      <c r="E1313" t="inlineStr">
        <is>
          <t>UPPVIDINGE</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5061-2023</t>
        </is>
      </c>
      <c r="B1314" s="1" t="n">
        <v>44958</v>
      </c>
      <c r="C1314" s="1" t="n">
        <v>46103</v>
      </c>
      <c r="D1314" t="inlineStr">
        <is>
          <t>KRONOBERGS LÄN</t>
        </is>
      </c>
      <c r="E1314" t="inlineStr">
        <is>
          <t>ALVESTA</t>
        </is>
      </c>
      <c r="F1314" t="inlineStr">
        <is>
          <t>Kommuner</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8329-2022</t>
        </is>
      </c>
      <c r="B1315" s="1" t="n">
        <v>44610.53254629629</v>
      </c>
      <c r="C1315" s="1" t="n">
        <v>46103</v>
      </c>
      <c r="D1315" t="inlineStr">
        <is>
          <t>KRONOBERGS LÄN</t>
        </is>
      </c>
      <c r="E1315" t="inlineStr">
        <is>
          <t>ÄLMHULT</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6338-2024</t>
        </is>
      </c>
      <c r="B1316" s="1" t="n">
        <v>45338</v>
      </c>
      <c r="C1316" s="1" t="n">
        <v>46103</v>
      </c>
      <c r="D1316" t="inlineStr">
        <is>
          <t>KRONOBERGS LÄN</t>
        </is>
      </c>
      <c r="E1316" t="inlineStr">
        <is>
          <t>UPPVIDINGE</t>
        </is>
      </c>
      <c r="F1316" t="inlineStr">
        <is>
          <t>Sveaskog</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6340-2024</t>
        </is>
      </c>
      <c r="B1317" s="1" t="n">
        <v>45338.43268518519</v>
      </c>
      <c r="C1317" s="1" t="n">
        <v>46103</v>
      </c>
      <c r="D1317" t="inlineStr">
        <is>
          <t>KRONOBERGS LÄN</t>
        </is>
      </c>
      <c r="E1317" t="inlineStr">
        <is>
          <t>UPPVIDINGE</t>
        </is>
      </c>
      <c r="F1317" t="inlineStr">
        <is>
          <t>Sveaskog</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19211-2024</t>
        </is>
      </c>
      <c r="B1318" s="1" t="n">
        <v>45428.54791666667</v>
      </c>
      <c r="C1318" s="1" t="n">
        <v>46103</v>
      </c>
      <c r="D1318" t="inlineStr">
        <is>
          <t>KRONOBERGS LÄN</t>
        </is>
      </c>
      <c r="E1318" t="inlineStr">
        <is>
          <t>UPPVIDINGE</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14868-2025</t>
        </is>
      </c>
      <c r="B1319" s="1" t="n">
        <v>45743</v>
      </c>
      <c r="C1319" s="1" t="n">
        <v>46103</v>
      </c>
      <c r="D1319" t="inlineStr">
        <is>
          <t>KRONOBERGS LÄN</t>
        </is>
      </c>
      <c r="E1319" t="inlineStr">
        <is>
          <t>VÄXJÖ</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54682-2022</t>
        </is>
      </c>
      <c r="B1320" s="1" t="n">
        <v>44883</v>
      </c>
      <c r="C1320" s="1" t="n">
        <v>46103</v>
      </c>
      <c r="D1320" t="inlineStr">
        <is>
          <t>KRONOBERGS LÄN</t>
        </is>
      </c>
      <c r="E1320" t="inlineStr">
        <is>
          <t>LJUNGBY</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19501-2021</t>
        </is>
      </c>
      <c r="B1321" s="1" t="n">
        <v>44308</v>
      </c>
      <c r="C1321" s="1" t="n">
        <v>46103</v>
      </c>
      <c r="D1321" t="inlineStr">
        <is>
          <t>KRONOBERGS LÄN</t>
        </is>
      </c>
      <c r="E1321" t="inlineStr">
        <is>
          <t>VÄXJÖ</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17026-2022</t>
        </is>
      </c>
      <c r="B1322" s="1" t="n">
        <v>44676</v>
      </c>
      <c r="C1322" s="1" t="n">
        <v>46103</v>
      </c>
      <c r="D1322" t="inlineStr">
        <is>
          <t>KRONOBERGS LÄN</t>
        </is>
      </c>
      <c r="E1322" t="inlineStr">
        <is>
          <t>TINGSRYD</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30699-2023</t>
        </is>
      </c>
      <c r="B1323" s="1" t="n">
        <v>45103</v>
      </c>
      <c r="C1323" s="1" t="n">
        <v>46103</v>
      </c>
      <c r="D1323" t="inlineStr">
        <is>
          <t>KRONOBERGS LÄN</t>
        </is>
      </c>
      <c r="E1323" t="inlineStr">
        <is>
          <t>ALVESTA</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31766-2023</t>
        </is>
      </c>
      <c r="B1324" s="1" t="n">
        <v>45118.36900462963</v>
      </c>
      <c r="C1324" s="1" t="n">
        <v>46103</v>
      </c>
      <c r="D1324" t="inlineStr">
        <is>
          <t>KRONOBERGS LÄN</t>
        </is>
      </c>
      <c r="E1324" t="inlineStr">
        <is>
          <t>UPPVIDINGE</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59509-2023</t>
        </is>
      </c>
      <c r="B1325" s="1" t="n">
        <v>45254.48099537037</v>
      </c>
      <c r="C1325" s="1" t="n">
        <v>46103</v>
      </c>
      <c r="D1325" t="inlineStr">
        <is>
          <t>KRONOBERGS LÄN</t>
        </is>
      </c>
      <c r="E1325" t="inlineStr">
        <is>
          <t>ÄLMHULT</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1336-2024</t>
        </is>
      </c>
      <c r="B1326" s="1" t="n">
        <v>45303</v>
      </c>
      <c r="C1326" s="1" t="n">
        <v>46103</v>
      </c>
      <c r="D1326" t="inlineStr">
        <is>
          <t>KRONOBERGS LÄN</t>
        </is>
      </c>
      <c r="E1326" t="inlineStr">
        <is>
          <t>TINGSRYD</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37694-2024</t>
        </is>
      </c>
      <c r="B1327" s="1" t="n">
        <v>45541.6099537037</v>
      </c>
      <c r="C1327" s="1" t="n">
        <v>46103</v>
      </c>
      <c r="D1327" t="inlineStr">
        <is>
          <t>KRONOBERGS LÄN</t>
        </is>
      </c>
      <c r="E1327" t="inlineStr">
        <is>
          <t>VÄXJÖ</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37755-2024</t>
        </is>
      </c>
      <c r="B1328" s="1" t="n">
        <v>45541.73261574074</v>
      </c>
      <c r="C1328" s="1" t="n">
        <v>46103</v>
      </c>
      <c r="D1328" t="inlineStr">
        <is>
          <t>KRONOBERGS LÄN</t>
        </is>
      </c>
      <c r="E1328" t="inlineStr">
        <is>
          <t>VÄXJÖ</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32612-2022</t>
        </is>
      </c>
      <c r="B1329" s="1" t="n">
        <v>44783</v>
      </c>
      <c r="C1329" s="1" t="n">
        <v>46103</v>
      </c>
      <c r="D1329" t="inlineStr">
        <is>
          <t>KRONOBERGS LÄN</t>
        </is>
      </c>
      <c r="E1329" t="inlineStr">
        <is>
          <t>TINGSRYD</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22131-2024</t>
        </is>
      </c>
      <c r="B1330" s="1" t="n">
        <v>45444.36789351852</v>
      </c>
      <c r="C1330" s="1" t="n">
        <v>46103</v>
      </c>
      <c r="D1330" t="inlineStr">
        <is>
          <t>KRONOBERGS LÄN</t>
        </is>
      </c>
      <c r="E1330" t="inlineStr">
        <is>
          <t>MARKARYD</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11356-2024</t>
        </is>
      </c>
      <c r="B1331" s="1" t="n">
        <v>45372.36653935185</v>
      </c>
      <c r="C1331" s="1" t="n">
        <v>46103</v>
      </c>
      <c r="D1331" t="inlineStr">
        <is>
          <t>KRONOBERGS LÄN</t>
        </is>
      </c>
      <c r="E1331" t="inlineStr">
        <is>
          <t>LJUNGBY</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56864-2022</t>
        </is>
      </c>
      <c r="B1332" s="1" t="n">
        <v>44894</v>
      </c>
      <c r="C1332" s="1" t="n">
        <v>46103</v>
      </c>
      <c r="D1332" t="inlineStr">
        <is>
          <t>KRONOBERGS LÄN</t>
        </is>
      </c>
      <c r="E1332" t="inlineStr">
        <is>
          <t>VÄXJÖ</t>
        </is>
      </c>
      <c r="G1332" t="n">
        <v>8.699999999999999</v>
      </c>
      <c r="H1332" t="n">
        <v>0</v>
      </c>
      <c r="I1332" t="n">
        <v>0</v>
      </c>
      <c r="J1332" t="n">
        <v>0</v>
      </c>
      <c r="K1332" t="n">
        <v>0</v>
      </c>
      <c r="L1332" t="n">
        <v>0</v>
      </c>
      <c r="M1332" t="n">
        <v>0</v>
      </c>
      <c r="N1332" t="n">
        <v>0</v>
      </c>
      <c r="O1332" t="n">
        <v>0</v>
      </c>
      <c r="P1332" t="n">
        <v>0</v>
      </c>
      <c r="Q1332" t="n">
        <v>0</v>
      </c>
      <c r="R1332" s="2" t="inlineStr"/>
    </row>
    <row r="1333" ht="15" customHeight="1">
      <c r="A1333" t="inlineStr">
        <is>
          <t>A 29978-2023</t>
        </is>
      </c>
      <c r="B1333" s="1" t="n">
        <v>45108.9196875</v>
      </c>
      <c r="C1333" s="1" t="n">
        <v>46103</v>
      </c>
      <c r="D1333" t="inlineStr">
        <is>
          <t>KRONOBERGS LÄN</t>
        </is>
      </c>
      <c r="E1333" t="inlineStr">
        <is>
          <t>VÄXJÖ</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28042-2024</t>
        </is>
      </c>
      <c r="B1334" s="1" t="n">
        <v>45476.50758101852</v>
      </c>
      <c r="C1334" s="1" t="n">
        <v>46103</v>
      </c>
      <c r="D1334" t="inlineStr">
        <is>
          <t>KRONOBERGS LÄN</t>
        </is>
      </c>
      <c r="E1334" t="inlineStr">
        <is>
          <t>UPPVIDINGE</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32246-2022</t>
        </is>
      </c>
      <c r="B1335" s="1" t="n">
        <v>44781.4933912037</v>
      </c>
      <c r="C1335" s="1" t="n">
        <v>46103</v>
      </c>
      <c r="D1335" t="inlineStr">
        <is>
          <t>KRONOBERGS LÄN</t>
        </is>
      </c>
      <c r="E1335" t="inlineStr">
        <is>
          <t>VÄXJÖ</t>
        </is>
      </c>
      <c r="F1335" t="inlineStr">
        <is>
          <t>Sveaskog</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61851-2023</t>
        </is>
      </c>
      <c r="B1336" s="1" t="n">
        <v>45266</v>
      </c>
      <c r="C1336" s="1" t="n">
        <v>46103</v>
      </c>
      <c r="D1336" t="inlineStr">
        <is>
          <t>KRONOBERGS LÄN</t>
        </is>
      </c>
      <c r="E1336" t="inlineStr">
        <is>
          <t>TINGSRYD</t>
        </is>
      </c>
      <c r="F1336" t="inlineStr">
        <is>
          <t>Övriga Aktiebolag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37964-2024</t>
        </is>
      </c>
      <c r="B1337" s="1" t="n">
        <v>45544.54753472222</v>
      </c>
      <c r="C1337" s="1" t="n">
        <v>46103</v>
      </c>
      <c r="D1337" t="inlineStr">
        <is>
          <t>KRONOBERGS LÄN</t>
        </is>
      </c>
      <c r="E1337" t="inlineStr">
        <is>
          <t>LESSEBO</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12712-2024</t>
        </is>
      </c>
      <c r="B1338" s="1" t="n">
        <v>45384.46765046296</v>
      </c>
      <c r="C1338" s="1" t="n">
        <v>46103</v>
      </c>
      <c r="D1338" t="inlineStr">
        <is>
          <t>KRONOBERGS LÄN</t>
        </is>
      </c>
      <c r="E1338" t="inlineStr">
        <is>
          <t>ALVESTA</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55537-2024</t>
        </is>
      </c>
      <c r="B1339" s="1" t="n">
        <v>45622.49302083333</v>
      </c>
      <c r="C1339" s="1" t="n">
        <v>46103</v>
      </c>
      <c r="D1339" t="inlineStr">
        <is>
          <t>KRONOBERGS LÄN</t>
        </is>
      </c>
      <c r="E1339" t="inlineStr">
        <is>
          <t>VÄXJÖ</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29803-2025</t>
        </is>
      </c>
      <c r="B1340" s="1" t="n">
        <v>45825.70871527777</v>
      </c>
      <c r="C1340" s="1" t="n">
        <v>46103</v>
      </c>
      <c r="D1340" t="inlineStr">
        <is>
          <t>KRONOBERGS LÄN</t>
        </is>
      </c>
      <c r="E1340" t="inlineStr">
        <is>
          <t>TINGSRYD</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31092-2024</t>
        </is>
      </c>
      <c r="B1341" s="1" t="n">
        <v>45502.49574074074</v>
      </c>
      <c r="C1341" s="1" t="n">
        <v>46103</v>
      </c>
      <c r="D1341" t="inlineStr">
        <is>
          <t>KRONOBERGS LÄN</t>
        </is>
      </c>
      <c r="E1341" t="inlineStr">
        <is>
          <t>UPPVIDINGE</t>
        </is>
      </c>
      <c r="F1341" t="inlineStr">
        <is>
          <t>Sveaskog</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30385-2023</t>
        </is>
      </c>
      <c r="B1342" s="1" t="n">
        <v>45111</v>
      </c>
      <c r="C1342" s="1" t="n">
        <v>46103</v>
      </c>
      <c r="D1342" t="inlineStr">
        <is>
          <t>KRONOBERGS LÄN</t>
        </is>
      </c>
      <c r="E1342" t="inlineStr">
        <is>
          <t>LJUNGBY</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31074-2023</t>
        </is>
      </c>
      <c r="B1343" s="1" t="n">
        <v>45113.63806712963</v>
      </c>
      <c r="C1343" s="1" t="n">
        <v>46103</v>
      </c>
      <c r="D1343" t="inlineStr">
        <is>
          <t>KRONOBERGS LÄN</t>
        </is>
      </c>
      <c r="E1343" t="inlineStr">
        <is>
          <t>ALVESTA</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30132-2023</t>
        </is>
      </c>
      <c r="B1344" s="1" t="n">
        <v>45110</v>
      </c>
      <c r="C1344" s="1" t="n">
        <v>46103</v>
      </c>
      <c r="D1344" t="inlineStr">
        <is>
          <t>KRONOBERGS LÄN</t>
        </is>
      </c>
      <c r="E1344" t="inlineStr">
        <is>
          <t>LJUNGBY</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14324-2023</t>
        </is>
      </c>
      <c r="B1345" s="1" t="n">
        <v>45012.32489583334</v>
      </c>
      <c r="C1345" s="1" t="n">
        <v>46103</v>
      </c>
      <c r="D1345" t="inlineStr">
        <is>
          <t>KRONOBERGS LÄN</t>
        </is>
      </c>
      <c r="E1345" t="inlineStr">
        <is>
          <t>ALVESTA</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8743-2025</t>
        </is>
      </c>
      <c r="B1346" s="1" t="n">
        <v>45712.55288194444</v>
      </c>
      <c r="C1346" s="1" t="n">
        <v>46103</v>
      </c>
      <c r="D1346" t="inlineStr">
        <is>
          <t>KRONOBERGS LÄN</t>
        </is>
      </c>
      <c r="E1346" t="inlineStr">
        <is>
          <t>TINGSRYD</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3303-2025</t>
        </is>
      </c>
      <c r="B1347" s="1" t="n">
        <v>45679.65525462963</v>
      </c>
      <c r="C1347" s="1" t="n">
        <v>46103</v>
      </c>
      <c r="D1347" t="inlineStr">
        <is>
          <t>KRONOBERGS LÄN</t>
        </is>
      </c>
      <c r="E1347" t="inlineStr">
        <is>
          <t>TINGSRYD</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6133-2022</t>
        </is>
      </c>
      <c r="B1348" s="1" t="n">
        <v>44599</v>
      </c>
      <c r="C1348" s="1" t="n">
        <v>46103</v>
      </c>
      <c r="D1348" t="inlineStr">
        <is>
          <t>KRONOBERGS LÄN</t>
        </is>
      </c>
      <c r="E1348" t="inlineStr">
        <is>
          <t>VÄXJÖ</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56213-2023</t>
        </is>
      </c>
      <c r="B1349" s="1" t="n">
        <v>45240</v>
      </c>
      <c r="C1349" s="1" t="n">
        <v>46103</v>
      </c>
      <c r="D1349" t="inlineStr">
        <is>
          <t>KRONOBERGS LÄN</t>
        </is>
      </c>
      <c r="E1349" t="inlineStr">
        <is>
          <t>VÄXJÖ</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48676-2023</t>
        </is>
      </c>
      <c r="B1350" s="1" t="n">
        <v>45208.64244212963</v>
      </c>
      <c r="C1350" s="1" t="n">
        <v>46103</v>
      </c>
      <c r="D1350" t="inlineStr">
        <is>
          <t>KRONOBERGS LÄN</t>
        </is>
      </c>
      <c r="E1350" t="inlineStr">
        <is>
          <t>UPPVIDINGE</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48240-2024</t>
        </is>
      </c>
      <c r="B1351" s="1" t="n">
        <v>45590.39090277778</v>
      </c>
      <c r="C1351" s="1" t="n">
        <v>46103</v>
      </c>
      <c r="D1351" t="inlineStr">
        <is>
          <t>KRONOBERGS LÄN</t>
        </is>
      </c>
      <c r="E1351" t="inlineStr">
        <is>
          <t>UPPVIDINGE</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40373-2024</t>
        </is>
      </c>
      <c r="B1352" s="1" t="n">
        <v>45554</v>
      </c>
      <c r="C1352" s="1" t="n">
        <v>46103</v>
      </c>
      <c r="D1352" t="inlineStr">
        <is>
          <t>KRONOBERGS LÄN</t>
        </is>
      </c>
      <c r="E1352" t="inlineStr">
        <is>
          <t>ÄLMHULT</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6210-2022</t>
        </is>
      </c>
      <c r="B1353" s="1" t="n">
        <v>44600</v>
      </c>
      <c r="C1353" s="1" t="n">
        <v>46103</v>
      </c>
      <c r="D1353" t="inlineStr">
        <is>
          <t>KRONOBERGS LÄN</t>
        </is>
      </c>
      <c r="E1353" t="inlineStr">
        <is>
          <t>ALVESTA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59977-2024</t>
        </is>
      </c>
      <c r="B1354" s="1" t="n">
        <v>45642.37322916667</v>
      </c>
      <c r="C1354" s="1" t="n">
        <v>46103</v>
      </c>
      <c r="D1354" t="inlineStr">
        <is>
          <t>KRONOBERGS LÄN</t>
        </is>
      </c>
      <c r="E1354" t="inlineStr">
        <is>
          <t>VÄXJÖ</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22583-2025</t>
        </is>
      </c>
      <c r="B1355" s="1" t="n">
        <v>45789.39083333333</v>
      </c>
      <c r="C1355" s="1" t="n">
        <v>46103</v>
      </c>
      <c r="D1355" t="inlineStr">
        <is>
          <t>KRONOBERGS LÄN</t>
        </is>
      </c>
      <c r="E1355" t="inlineStr">
        <is>
          <t>TINGSRYD</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581-2025</t>
        </is>
      </c>
      <c r="B1356" s="1" t="n">
        <v>45664.57111111111</v>
      </c>
      <c r="C1356" s="1" t="n">
        <v>46103</v>
      </c>
      <c r="D1356" t="inlineStr">
        <is>
          <t>KRONOBERGS LÄN</t>
        </is>
      </c>
      <c r="E1356" t="inlineStr">
        <is>
          <t>UPPVIDINGE</t>
        </is>
      </c>
      <c r="G1356" t="n">
        <v>6.7</v>
      </c>
      <c r="H1356" t="n">
        <v>0</v>
      </c>
      <c r="I1356" t="n">
        <v>0</v>
      </c>
      <c r="J1356" t="n">
        <v>0</v>
      </c>
      <c r="K1356" t="n">
        <v>0</v>
      </c>
      <c r="L1356" t="n">
        <v>0</v>
      </c>
      <c r="M1356" t="n">
        <v>0</v>
      </c>
      <c r="N1356" t="n">
        <v>0</v>
      </c>
      <c r="O1356" t="n">
        <v>0</v>
      </c>
      <c r="P1356" t="n">
        <v>0</v>
      </c>
      <c r="Q1356" t="n">
        <v>0</v>
      </c>
      <c r="R1356" s="2" t="inlineStr"/>
    </row>
    <row r="1357" ht="15" customHeight="1">
      <c r="A1357" t="inlineStr">
        <is>
          <t>A 3190-2025</t>
        </is>
      </c>
      <c r="B1357" s="1" t="n">
        <v>45679</v>
      </c>
      <c r="C1357" s="1" t="n">
        <v>46103</v>
      </c>
      <c r="D1357" t="inlineStr">
        <is>
          <t>KRONOBERGS LÄN</t>
        </is>
      </c>
      <c r="E1357" t="inlineStr">
        <is>
          <t>TINGSRYD</t>
        </is>
      </c>
      <c r="G1357" t="n">
        <v>5.9</v>
      </c>
      <c r="H1357" t="n">
        <v>0</v>
      </c>
      <c r="I1357" t="n">
        <v>0</v>
      </c>
      <c r="J1357" t="n">
        <v>0</v>
      </c>
      <c r="K1357" t="n">
        <v>0</v>
      </c>
      <c r="L1357" t="n">
        <v>0</v>
      </c>
      <c r="M1357" t="n">
        <v>0</v>
      </c>
      <c r="N1357" t="n">
        <v>0</v>
      </c>
      <c r="O1357" t="n">
        <v>0</v>
      </c>
      <c r="P1357" t="n">
        <v>0</v>
      </c>
      <c r="Q1357" t="n">
        <v>0</v>
      </c>
      <c r="R1357" s="2" t="inlineStr"/>
    </row>
    <row r="1358" ht="15" customHeight="1">
      <c r="A1358" t="inlineStr">
        <is>
          <t>A 17790-2024</t>
        </is>
      </c>
      <c r="B1358" s="1" t="n">
        <v>45418</v>
      </c>
      <c r="C1358" s="1" t="n">
        <v>46103</v>
      </c>
      <c r="D1358" t="inlineStr">
        <is>
          <t>KRONOBERGS LÄN</t>
        </is>
      </c>
      <c r="E1358" t="inlineStr">
        <is>
          <t>ALVESTA</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10018-2025</t>
        </is>
      </c>
      <c r="B1359" s="1" t="n">
        <v>45719.47412037037</v>
      </c>
      <c r="C1359" s="1" t="n">
        <v>46103</v>
      </c>
      <c r="D1359" t="inlineStr">
        <is>
          <t>KRONOBERGS LÄN</t>
        </is>
      </c>
      <c r="E1359" t="inlineStr">
        <is>
          <t>ÄLMHULT</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55680-2024</t>
        </is>
      </c>
      <c r="B1360" s="1" t="n">
        <v>45622</v>
      </c>
      <c r="C1360" s="1" t="n">
        <v>46103</v>
      </c>
      <c r="D1360" t="inlineStr">
        <is>
          <t>KRONOBERGS LÄN</t>
        </is>
      </c>
      <c r="E1360" t="inlineStr">
        <is>
          <t>UPPVIDINGE</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54196-2023</t>
        </is>
      </c>
      <c r="B1361" s="1" t="n">
        <v>45232.53655092593</v>
      </c>
      <c r="C1361" s="1" t="n">
        <v>46103</v>
      </c>
      <c r="D1361" t="inlineStr">
        <is>
          <t>KRONOBERGS LÄN</t>
        </is>
      </c>
      <c r="E1361" t="inlineStr">
        <is>
          <t>MARKARYD</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33472-2024</t>
        </is>
      </c>
      <c r="B1362" s="1" t="n">
        <v>45519.60221064815</v>
      </c>
      <c r="C1362" s="1" t="n">
        <v>46103</v>
      </c>
      <c r="D1362" t="inlineStr">
        <is>
          <t>KRONOBERGS LÄN</t>
        </is>
      </c>
      <c r="E1362" t="inlineStr">
        <is>
          <t>ÄLMHULT</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4742-2025</t>
        </is>
      </c>
      <c r="B1363" s="1" t="n">
        <v>45688.45554398148</v>
      </c>
      <c r="C1363" s="1" t="n">
        <v>46103</v>
      </c>
      <c r="D1363" t="inlineStr">
        <is>
          <t>KRONOBERGS LÄN</t>
        </is>
      </c>
      <c r="E1363" t="inlineStr">
        <is>
          <t>LESSEBO</t>
        </is>
      </c>
      <c r="F1363" t="inlineStr">
        <is>
          <t>Kommuner</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55126-2023</t>
        </is>
      </c>
      <c r="B1364" s="1" t="n">
        <v>45230</v>
      </c>
      <c r="C1364" s="1" t="n">
        <v>46103</v>
      </c>
      <c r="D1364" t="inlineStr">
        <is>
          <t>KRONOBERGS LÄN</t>
        </is>
      </c>
      <c r="E1364" t="inlineStr">
        <is>
          <t>TINGSRYD</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32624-2022</t>
        </is>
      </c>
      <c r="B1365" s="1" t="n">
        <v>44783</v>
      </c>
      <c r="C1365" s="1" t="n">
        <v>46103</v>
      </c>
      <c r="D1365" t="inlineStr">
        <is>
          <t>KRONOBERGS LÄN</t>
        </is>
      </c>
      <c r="E1365" t="inlineStr">
        <is>
          <t>TINGSRYD</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43263-2024</t>
        </is>
      </c>
      <c r="B1366" s="1" t="n">
        <v>45568.36784722222</v>
      </c>
      <c r="C1366" s="1" t="n">
        <v>46103</v>
      </c>
      <c r="D1366" t="inlineStr">
        <is>
          <t>KRONOBERGS LÄN</t>
        </is>
      </c>
      <c r="E1366" t="inlineStr">
        <is>
          <t>TINGSRYD</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32142-2024</t>
        </is>
      </c>
      <c r="B1367" s="1" t="n">
        <v>45511</v>
      </c>
      <c r="C1367" s="1" t="n">
        <v>46103</v>
      </c>
      <c r="D1367" t="inlineStr">
        <is>
          <t>KRONOBERGS LÄN</t>
        </is>
      </c>
      <c r="E1367" t="inlineStr">
        <is>
          <t>TINGSRYD</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34848-2024</t>
        </is>
      </c>
      <c r="B1368" s="1" t="n">
        <v>45527.3153125</v>
      </c>
      <c r="C1368" s="1" t="n">
        <v>46103</v>
      </c>
      <c r="D1368" t="inlineStr">
        <is>
          <t>KRONOBERGS LÄN</t>
        </is>
      </c>
      <c r="E1368" t="inlineStr">
        <is>
          <t>ÄLMHULT</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48796-2024</t>
        </is>
      </c>
      <c r="B1369" s="1" t="n">
        <v>45593</v>
      </c>
      <c r="C1369" s="1" t="n">
        <v>46103</v>
      </c>
      <c r="D1369" t="inlineStr">
        <is>
          <t>KRONOBERGS LÄN</t>
        </is>
      </c>
      <c r="E1369" t="inlineStr">
        <is>
          <t>MARKARYD</t>
        </is>
      </c>
      <c r="F1369" t="inlineStr">
        <is>
          <t>Kyrkan</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6625-2024</t>
        </is>
      </c>
      <c r="B1370" s="1" t="n">
        <v>45341.61912037037</v>
      </c>
      <c r="C1370" s="1" t="n">
        <v>46103</v>
      </c>
      <c r="D1370" t="inlineStr">
        <is>
          <t>KRONOBERGS LÄN</t>
        </is>
      </c>
      <c r="E1370" t="inlineStr">
        <is>
          <t>VÄXJÖ</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55588-2025</t>
        </is>
      </c>
      <c r="B1371" s="1" t="n">
        <v>45971.68423611111</v>
      </c>
      <c r="C1371" s="1" t="n">
        <v>46103</v>
      </c>
      <c r="D1371" t="inlineStr">
        <is>
          <t>KRONOBERGS LÄN</t>
        </is>
      </c>
      <c r="E1371" t="inlineStr">
        <is>
          <t>UPPVIDINGE</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49077-2024</t>
        </is>
      </c>
      <c r="B1372" s="1" t="n">
        <v>45594.62287037037</v>
      </c>
      <c r="C1372" s="1" t="n">
        <v>46103</v>
      </c>
      <c r="D1372" t="inlineStr">
        <is>
          <t>KRONOBERGS LÄN</t>
        </is>
      </c>
      <c r="E1372" t="inlineStr">
        <is>
          <t>LJUNGBY</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55371-2025</t>
        </is>
      </c>
      <c r="B1373" s="1" t="n">
        <v>45971.41532407407</v>
      </c>
      <c r="C1373" s="1" t="n">
        <v>46103</v>
      </c>
      <c r="D1373" t="inlineStr">
        <is>
          <t>KRONOBERGS LÄN</t>
        </is>
      </c>
      <c r="E1373" t="inlineStr">
        <is>
          <t>ALVESTA</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22337-2025</t>
        </is>
      </c>
      <c r="B1374" s="1" t="n">
        <v>45786.44407407408</v>
      </c>
      <c r="C1374" s="1" t="n">
        <v>46103</v>
      </c>
      <c r="D1374" t="inlineStr">
        <is>
          <t>KRONOBERGS LÄN</t>
        </is>
      </c>
      <c r="E1374" t="inlineStr">
        <is>
          <t>MARKARYD</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58819-2024</t>
        </is>
      </c>
      <c r="B1375" s="1" t="n">
        <v>45636.36040509259</v>
      </c>
      <c r="C1375" s="1" t="n">
        <v>46103</v>
      </c>
      <c r="D1375" t="inlineStr">
        <is>
          <t>KRONOBERGS LÄN</t>
        </is>
      </c>
      <c r="E1375" t="inlineStr">
        <is>
          <t>TINGSRYD</t>
        </is>
      </c>
      <c r="F1375" t="inlineStr">
        <is>
          <t>Övriga Aktiebolag</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55155-2025</t>
        </is>
      </c>
      <c r="B1376" s="1" t="n">
        <v>45968.46350694444</v>
      </c>
      <c r="C1376" s="1" t="n">
        <v>46103</v>
      </c>
      <c r="D1376" t="inlineStr">
        <is>
          <t>KRONOBERGS LÄN</t>
        </is>
      </c>
      <c r="E1376" t="inlineStr">
        <is>
          <t>MARKARYD</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59454-2024</t>
        </is>
      </c>
      <c r="B1377" s="1" t="n">
        <v>45638.46824074074</v>
      </c>
      <c r="C1377" s="1" t="n">
        <v>46103</v>
      </c>
      <c r="D1377" t="inlineStr">
        <is>
          <t>KRONOBERGS LÄN</t>
        </is>
      </c>
      <c r="E1377" t="inlineStr">
        <is>
          <t>ÄLMHULT</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22357-2025</t>
        </is>
      </c>
      <c r="B1378" s="1" t="n">
        <v>45786.46171296296</v>
      </c>
      <c r="C1378" s="1" t="n">
        <v>46103</v>
      </c>
      <c r="D1378" t="inlineStr">
        <is>
          <t>KRONOBERGS LÄN</t>
        </is>
      </c>
      <c r="E1378" t="inlineStr">
        <is>
          <t>TINGSRYD</t>
        </is>
      </c>
      <c r="F1378" t="inlineStr">
        <is>
          <t>Sveaskog</t>
        </is>
      </c>
      <c r="G1378" t="n">
        <v>7.1</v>
      </c>
      <c r="H1378" t="n">
        <v>0</v>
      </c>
      <c r="I1378" t="n">
        <v>0</v>
      </c>
      <c r="J1378" t="n">
        <v>0</v>
      </c>
      <c r="K1378" t="n">
        <v>0</v>
      </c>
      <c r="L1378" t="n">
        <v>0</v>
      </c>
      <c r="M1378" t="n">
        <v>0</v>
      </c>
      <c r="N1378" t="n">
        <v>0</v>
      </c>
      <c r="O1378" t="n">
        <v>0</v>
      </c>
      <c r="P1378" t="n">
        <v>0</v>
      </c>
      <c r="Q1378" t="n">
        <v>0</v>
      </c>
      <c r="R1378" s="2" t="inlineStr"/>
    </row>
    <row r="1379" ht="15" customHeight="1">
      <c r="A1379" t="inlineStr">
        <is>
          <t>A 22817-2025</t>
        </is>
      </c>
      <c r="B1379" s="1" t="n">
        <v>45789.70107638889</v>
      </c>
      <c r="C1379" s="1" t="n">
        <v>46103</v>
      </c>
      <c r="D1379" t="inlineStr">
        <is>
          <t>KRONOBERGS LÄN</t>
        </is>
      </c>
      <c r="E1379" t="inlineStr">
        <is>
          <t>LJUNGBY</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7307-2024</t>
        </is>
      </c>
      <c r="B1380" s="1" t="n">
        <v>45345</v>
      </c>
      <c r="C1380" s="1" t="n">
        <v>46103</v>
      </c>
      <c r="D1380" t="inlineStr">
        <is>
          <t>KRONOBERGS LÄN</t>
        </is>
      </c>
      <c r="E1380" t="inlineStr">
        <is>
          <t>TINGSRYD</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31571-2025</t>
        </is>
      </c>
      <c r="B1381" s="1" t="n">
        <v>45833.66576388889</v>
      </c>
      <c r="C1381" s="1" t="n">
        <v>46103</v>
      </c>
      <c r="D1381" t="inlineStr">
        <is>
          <t>KRONOBERGS LÄN</t>
        </is>
      </c>
      <c r="E1381" t="inlineStr">
        <is>
          <t>VÄXJÖ</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39359-2023</t>
        </is>
      </c>
      <c r="B1382" s="1" t="n">
        <v>45166.62002314815</v>
      </c>
      <c r="C1382" s="1" t="n">
        <v>46103</v>
      </c>
      <c r="D1382" t="inlineStr">
        <is>
          <t>KRONOBERGS LÄN</t>
        </is>
      </c>
      <c r="E1382" t="inlineStr">
        <is>
          <t>LJUNGBY</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22580-2025</t>
        </is>
      </c>
      <c r="B1383" s="1" t="n">
        <v>45789.38111111111</v>
      </c>
      <c r="C1383" s="1" t="n">
        <v>46103</v>
      </c>
      <c r="D1383" t="inlineStr">
        <is>
          <t>KRONOBERGS LÄN</t>
        </is>
      </c>
      <c r="E1383" t="inlineStr">
        <is>
          <t>TINGSRYD</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22582-2025</t>
        </is>
      </c>
      <c r="B1384" s="1" t="n">
        <v>45789.38739583334</v>
      </c>
      <c r="C1384" s="1" t="n">
        <v>46103</v>
      </c>
      <c r="D1384" t="inlineStr">
        <is>
          <t>KRONOBERGS LÄN</t>
        </is>
      </c>
      <c r="E1384" t="inlineStr">
        <is>
          <t>TINGSRYD</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51662-2023</t>
        </is>
      </c>
      <c r="B1385" s="1" t="n">
        <v>45222.56923611111</v>
      </c>
      <c r="C1385" s="1" t="n">
        <v>46103</v>
      </c>
      <c r="D1385" t="inlineStr">
        <is>
          <t>KRONOBERGS LÄN</t>
        </is>
      </c>
      <c r="E1385" t="inlineStr">
        <is>
          <t>VÄXJÖ</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52087-2024</t>
        </is>
      </c>
      <c r="B1386" s="1" t="n">
        <v>45608.39688657408</v>
      </c>
      <c r="C1386" s="1" t="n">
        <v>46103</v>
      </c>
      <c r="D1386" t="inlineStr">
        <is>
          <t>KRONOBERGS LÄN</t>
        </is>
      </c>
      <c r="E1386" t="inlineStr">
        <is>
          <t>ALVESTA</t>
        </is>
      </c>
      <c r="F1386" t="inlineStr">
        <is>
          <t>Övriga Aktiebolag</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58927-2023</t>
        </is>
      </c>
      <c r="B1387" s="1" t="n">
        <v>45252</v>
      </c>
      <c r="C1387" s="1" t="n">
        <v>46103</v>
      </c>
      <c r="D1387" t="inlineStr">
        <is>
          <t>KRONOBERGS LÄN</t>
        </is>
      </c>
      <c r="E1387" t="inlineStr">
        <is>
          <t>TINGSRYD</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49295-2025</t>
        </is>
      </c>
      <c r="B1388" s="1" t="n">
        <v>45938.53597222222</v>
      </c>
      <c r="C1388" s="1" t="n">
        <v>46103</v>
      </c>
      <c r="D1388" t="inlineStr">
        <is>
          <t>KRONOBERGS LÄN</t>
        </is>
      </c>
      <c r="E1388" t="inlineStr">
        <is>
          <t>LESSEBO</t>
        </is>
      </c>
      <c r="G1388" t="n">
        <v>7.4</v>
      </c>
      <c r="H1388" t="n">
        <v>0</v>
      </c>
      <c r="I1388" t="n">
        <v>0</v>
      </c>
      <c r="J1388" t="n">
        <v>0</v>
      </c>
      <c r="K1388" t="n">
        <v>0</v>
      </c>
      <c r="L1388" t="n">
        <v>0</v>
      </c>
      <c r="M1388" t="n">
        <v>0</v>
      </c>
      <c r="N1388" t="n">
        <v>0</v>
      </c>
      <c r="O1388" t="n">
        <v>0</v>
      </c>
      <c r="P1388" t="n">
        <v>0</v>
      </c>
      <c r="Q1388" t="n">
        <v>0</v>
      </c>
      <c r="R1388" s="2" t="inlineStr"/>
    </row>
    <row r="1389" ht="15" customHeight="1">
      <c r="A1389" t="inlineStr">
        <is>
          <t>A 29898-2023</t>
        </is>
      </c>
      <c r="B1389" s="1" t="n">
        <v>45107.6415162037</v>
      </c>
      <c r="C1389" s="1" t="n">
        <v>46103</v>
      </c>
      <c r="D1389" t="inlineStr">
        <is>
          <t>KRONOBERGS LÄN</t>
        </is>
      </c>
      <c r="E1389" t="inlineStr">
        <is>
          <t>TINGSRYD</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29566-2024</t>
        </is>
      </c>
      <c r="B1390" s="1" t="n">
        <v>45484.54526620371</v>
      </c>
      <c r="C1390" s="1" t="n">
        <v>46103</v>
      </c>
      <c r="D1390" t="inlineStr">
        <is>
          <t>KRONOBERGS LÄN</t>
        </is>
      </c>
      <c r="E1390" t="inlineStr">
        <is>
          <t>LESSEBO</t>
        </is>
      </c>
      <c r="G1390" t="n">
        <v>21.3</v>
      </c>
      <c r="H1390" t="n">
        <v>0</v>
      </c>
      <c r="I1390" t="n">
        <v>0</v>
      </c>
      <c r="J1390" t="n">
        <v>0</v>
      </c>
      <c r="K1390" t="n">
        <v>0</v>
      </c>
      <c r="L1390" t="n">
        <v>0</v>
      </c>
      <c r="M1390" t="n">
        <v>0</v>
      </c>
      <c r="N1390" t="n">
        <v>0</v>
      </c>
      <c r="O1390" t="n">
        <v>0</v>
      </c>
      <c r="P1390" t="n">
        <v>0</v>
      </c>
      <c r="Q1390" t="n">
        <v>0</v>
      </c>
      <c r="R1390" s="2" t="inlineStr"/>
    </row>
    <row r="1391" ht="15" customHeight="1">
      <c r="A1391" t="inlineStr">
        <is>
          <t>A 17145-2025</t>
        </is>
      </c>
      <c r="B1391" s="1" t="n">
        <v>45756.29003472222</v>
      </c>
      <c r="C1391" s="1" t="n">
        <v>46103</v>
      </c>
      <c r="D1391" t="inlineStr">
        <is>
          <t>KRONOBERGS LÄN</t>
        </is>
      </c>
      <c r="E1391" t="inlineStr">
        <is>
          <t>LJUNGBY</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24222-2024</t>
        </is>
      </c>
      <c r="B1392" s="1" t="n">
        <v>45457</v>
      </c>
      <c r="C1392" s="1" t="n">
        <v>46103</v>
      </c>
      <c r="D1392" t="inlineStr">
        <is>
          <t>KRONOBERGS LÄN</t>
        </is>
      </c>
      <c r="E1392" t="inlineStr">
        <is>
          <t>ÄLMHULT</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24230-2024</t>
        </is>
      </c>
      <c r="B1393" s="1" t="n">
        <v>45457</v>
      </c>
      <c r="C1393" s="1" t="n">
        <v>46103</v>
      </c>
      <c r="D1393" t="inlineStr">
        <is>
          <t>KRONOBERGS LÄN</t>
        </is>
      </c>
      <c r="E1393" t="inlineStr">
        <is>
          <t>ÄLMHULT</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38571-2021</t>
        </is>
      </c>
      <c r="B1394" s="1" t="n">
        <v>44407</v>
      </c>
      <c r="C1394" s="1" t="n">
        <v>46103</v>
      </c>
      <c r="D1394" t="inlineStr">
        <is>
          <t>KRONOBERGS LÄN</t>
        </is>
      </c>
      <c r="E1394" t="inlineStr">
        <is>
          <t>TINGSRYD</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32044-2024</t>
        </is>
      </c>
      <c r="B1395" s="1" t="n">
        <v>45510.89385416666</v>
      </c>
      <c r="C1395" s="1" t="n">
        <v>46103</v>
      </c>
      <c r="D1395" t="inlineStr">
        <is>
          <t>KRONOBERGS LÄN</t>
        </is>
      </c>
      <c r="E1395" t="inlineStr">
        <is>
          <t>LJUNGBY</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25904-2025</t>
        </is>
      </c>
      <c r="B1396" s="1" t="n">
        <v>45804.55577546296</v>
      </c>
      <c r="C1396" s="1" t="n">
        <v>46103</v>
      </c>
      <c r="D1396" t="inlineStr">
        <is>
          <t>KRONOBERGS LÄN</t>
        </is>
      </c>
      <c r="E1396" t="inlineStr">
        <is>
          <t>ALVESTA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17909-2025</t>
        </is>
      </c>
      <c r="B1397" s="1" t="n">
        <v>45758.73298611111</v>
      </c>
      <c r="C1397" s="1" t="n">
        <v>46103</v>
      </c>
      <c r="D1397" t="inlineStr">
        <is>
          <t>KRONOBERGS LÄN</t>
        </is>
      </c>
      <c r="E1397" t="inlineStr">
        <is>
          <t>LJUNGBY</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53275-2024</t>
        </is>
      </c>
      <c r="B1398" s="1" t="n">
        <v>45614.37194444444</v>
      </c>
      <c r="C1398" s="1" t="n">
        <v>46103</v>
      </c>
      <c r="D1398" t="inlineStr">
        <is>
          <t>KRONOBERGS LÄN</t>
        </is>
      </c>
      <c r="E1398" t="inlineStr">
        <is>
          <t>VÄXJÖ</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16756-2025</t>
        </is>
      </c>
      <c r="B1399" s="1" t="n">
        <v>45754.5728125</v>
      </c>
      <c r="C1399" s="1" t="n">
        <v>46103</v>
      </c>
      <c r="D1399" t="inlineStr">
        <is>
          <t>KRONOBERGS LÄN</t>
        </is>
      </c>
      <c r="E1399" t="inlineStr">
        <is>
          <t>VÄXJÖ</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48953-2024</t>
        </is>
      </c>
      <c r="B1400" s="1" t="n">
        <v>45594</v>
      </c>
      <c r="C1400" s="1" t="n">
        <v>46103</v>
      </c>
      <c r="D1400" t="inlineStr">
        <is>
          <t>KRONOBERGS LÄN</t>
        </is>
      </c>
      <c r="E1400" t="inlineStr">
        <is>
          <t>TINGSRYD</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7310-2024</t>
        </is>
      </c>
      <c r="B1401" s="1" t="n">
        <v>45345</v>
      </c>
      <c r="C1401" s="1" t="n">
        <v>46103</v>
      </c>
      <c r="D1401" t="inlineStr">
        <is>
          <t>KRONOBERGS LÄN</t>
        </is>
      </c>
      <c r="E1401" t="inlineStr">
        <is>
          <t>TINGSRYD</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55812-2025</t>
        </is>
      </c>
      <c r="B1402" s="1" t="n">
        <v>45972</v>
      </c>
      <c r="C1402" s="1" t="n">
        <v>46103</v>
      </c>
      <c r="D1402" t="inlineStr">
        <is>
          <t>KRONOBERGS LÄN</t>
        </is>
      </c>
      <c r="E1402" t="inlineStr">
        <is>
          <t>LJUNGBY</t>
        </is>
      </c>
      <c r="G1402" t="n">
        <v>9.6</v>
      </c>
      <c r="H1402" t="n">
        <v>0</v>
      </c>
      <c r="I1402" t="n">
        <v>0</v>
      </c>
      <c r="J1402" t="n">
        <v>0</v>
      </c>
      <c r="K1402" t="n">
        <v>0</v>
      </c>
      <c r="L1402" t="n">
        <v>0</v>
      </c>
      <c r="M1402" t="n">
        <v>0</v>
      </c>
      <c r="N1402" t="n">
        <v>0</v>
      </c>
      <c r="O1402" t="n">
        <v>0</v>
      </c>
      <c r="P1402" t="n">
        <v>0</v>
      </c>
      <c r="Q1402" t="n">
        <v>0</v>
      </c>
      <c r="R1402" s="2" t="inlineStr"/>
    </row>
    <row r="1403" ht="15" customHeight="1">
      <c r="A1403" t="inlineStr">
        <is>
          <t>A 55517-2024</t>
        </is>
      </c>
      <c r="B1403" s="1" t="n">
        <v>45622.47103009259</v>
      </c>
      <c r="C1403" s="1" t="n">
        <v>46103</v>
      </c>
      <c r="D1403" t="inlineStr">
        <is>
          <t>KRONOBERGS LÄN</t>
        </is>
      </c>
      <c r="E1403" t="inlineStr">
        <is>
          <t>VÄXJÖ</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65106-2023</t>
        </is>
      </c>
      <c r="B1404" s="1" t="n">
        <v>45288.44112268519</v>
      </c>
      <c r="C1404" s="1" t="n">
        <v>46103</v>
      </c>
      <c r="D1404" t="inlineStr">
        <is>
          <t>KRONOBERGS LÄN</t>
        </is>
      </c>
      <c r="E1404" t="inlineStr">
        <is>
          <t>VÄXJÖ</t>
        </is>
      </c>
      <c r="G1404" t="n">
        <v>5.1</v>
      </c>
      <c r="H1404" t="n">
        <v>0</v>
      </c>
      <c r="I1404" t="n">
        <v>0</v>
      </c>
      <c r="J1404" t="n">
        <v>0</v>
      </c>
      <c r="K1404" t="n">
        <v>0</v>
      </c>
      <c r="L1404" t="n">
        <v>0</v>
      </c>
      <c r="M1404" t="n">
        <v>0</v>
      </c>
      <c r="N1404" t="n">
        <v>0</v>
      </c>
      <c r="O1404" t="n">
        <v>0</v>
      </c>
      <c r="P1404" t="n">
        <v>0</v>
      </c>
      <c r="Q1404" t="n">
        <v>0</v>
      </c>
      <c r="R1404" s="2" t="inlineStr"/>
    </row>
    <row r="1405" ht="15" customHeight="1">
      <c r="A1405" t="inlineStr">
        <is>
          <t>A 55689-2025</t>
        </is>
      </c>
      <c r="B1405" s="1" t="n">
        <v>45972.43155092592</v>
      </c>
      <c r="C1405" s="1" t="n">
        <v>46103</v>
      </c>
      <c r="D1405" t="inlineStr">
        <is>
          <t>KRONOBERGS LÄN</t>
        </is>
      </c>
      <c r="E1405" t="inlineStr">
        <is>
          <t>UPPVIDINGE</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11265-2025</t>
        </is>
      </c>
      <c r="B1406" s="1" t="n">
        <v>45726.40159722222</v>
      </c>
      <c r="C1406" s="1" t="n">
        <v>46103</v>
      </c>
      <c r="D1406" t="inlineStr">
        <is>
          <t>KRONOBERGS LÄN</t>
        </is>
      </c>
      <c r="E1406" t="inlineStr">
        <is>
          <t>VÄXJÖ</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53240-2023</t>
        </is>
      </c>
      <c r="B1407" s="1" t="n">
        <v>45229.49297453704</v>
      </c>
      <c r="C1407" s="1" t="n">
        <v>46103</v>
      </c>
      <c r="D1407" t="inlineStr">
        <is>
          <t>KRONOBERGS LÄN</t>
        </is>
      </c>
      <c r="E1407" t="inlineStr">
        <is>
          <t>VÄXJÖ</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37803-2024</t>
        </is>
      </c>
      <c r="B1408" s="1" t="n">
        <v>45543.72571759259</v>
      </c>
      <c r="C1408" s="1" t="n">
        <v>46103</v>
      </c>
      <c r="D1408" t="inlineStr">
        <is>
          <t>KRONOBERGS LÄN</t>
        </is>
      </c>
      <c r="E1408" t="inlineStr">
        <is>
          <t>ÄLMHULT</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55759-2025</t>
        </is>
      </c>
      <c r="B1409" s="1" t="n">
        <v>45972.59927083334</v>
      </c>
      <c r="C1409" s="1" t="n">
        <v>46103</v>
      </c>
      <c r="D1409" t="inlineStr">
        <is>
          <t>KRONOBERGS LÄN</t>
        </is>
      </c>
      <c r="E1409" t="inlineStr">
        <is>
          <t>TINGSRYD</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29964-2024</t>
        </is>
      </c>
      <c r="B1410" s="1" t="n">
        <v>45488.46717592593</v>
      </c>
      <c r="C1410" s="1" t="n">
        <v>46103</v>
      </c>
      <c r="D1410" t="inlineStr">
        <is>
          <t>KRONOBERGS LÄN</t>
        </is>
      </c>
      <c r="E1410" t="inlineStr">
        <is>
          <t>UPPVIDINGE</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38728-2025</t>
        </is>
      </c>
      <c r="B1411" s="1" t="n">
        <v>45887.32653935185</v>
      </c>
      <c r="C1411" s="1" t="n">
        <v>46103</v>
      </c>
      <c r="D1411" t="inlineStr">
        <is>
          <t>KRONOBERGS LÄN</t>
        </is>
      </c>
      <c r="E1411" t="inlineStr">
        <is>
          <t>VÄXJÖ</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45525-2024</t>
        </is>
      </c>
      <c r="B1412" s="1" t="n">
        <v>45578</v>
      </c>
      <c r="C1412" s="1" t="n">
        <v>46103</v>
      </c>
      <c r="D1412" t="inlineStr">
        <is>
          <t>KRONOBERGS LÄN</t>
        </is>
      </c>
      <c r="E1412" t="inlineStr">
        <is>
          <t>ÄLMHULT</t>
        </is>
      </c>
      <c r="G1412" t="n">
        <v>5.7</v>
      </c>
      <c r="H1412" t="n">
        <v>0</v>
      </c>
      <c r="I1412" t="n">
        <v>0</v>
      </c>
      <c r="J1412" t="n">
        <v>0</v>
      </c>
      <c r="K1412" t="n">
        <v>0</v>
      </c>
      <c r="L1412" t="n">
        <v>0</v>
      </c>
      <c r="M1412" t="n">
        <v>0</v>
      </c>
      <c r="N1412" t="n">
        <v>0</v>
      </c>
      <c r="O1412" t="n">
        <v>0</v>
      </c>
      <c r="P1412" t="n">
        <v>0</v>
      </c>
      <c r="Q1412" t="n">
        <v>0</v>
      </c>
      <c r="R1412" s="2" t="inlineStr"/>
    </row>
    <row r="1413" ht="15" customHeight="1">
      <c r="A1413" t="inlineStr">
        <is>
          <t>A 24297-2021</t>
        </is>
      </c>
      <c r="B1413" s="1" t="n">
        <v>44337.32231481482</v>
      </c>
      <c r="C1413" s="1" t="n">
        <v>46103</v>
      </c>
      <c r="D1413" t="inlineStr">
        <is>
          <t>KRONOBERGS LÄN</t>
        </is>
      </c>
      <c r="E1413" t="inlineStr">
        <is>
          <t>MARKARYD</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72447-2021</t>
        </is>
      </c>
      <c r="B1414" s="1" t="n">
        <v>44545.69108796296</v>
      </c>
      <c r="C1414" s="1" t="n">
        <v>46103</v>
      </c>
      <c r="D1414" t="inlineStr">
        <is>
          <t>KRONOBERGS LÄN</t>
        </is>
      </c>
      <c r="E1414" t="inlineStr">
        <is>
          <t>TINGSRYD</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9523-2025</t>
        </is>
      </c>
      <c r="B1415" s="1" t="n">
        <v>45715</v>
      </c>
      <c r="C1415" s="1" t="n">
        <v>46103</v>
      </c>
      <c r="D1415" t="inlineStr">
        <is>
          <t>KRONOBERGS LÄN</t>
        </is>
      </c>
      <c r="E1415" t="inlineStr">
        <is>
          <t>LJUNGBY</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63846-2023</t>
        </is>
      </c>
      <c r="B1416" s="1" t="n">
        <v>45278.47853009259</v>
      </c>
      <c r="C1416" s="1" t="n">
        <v>46103</v>
      </c>
      <c r="D1416" t="inlineStr">
        <is>
          <t>KRONOBERGS LÄN</t>
        </is>
      </c>
      <c r="E1416" t="inlineStr">
        <is>
          <t>VÄXJÖ</t>
        </is>
      </c>
      <c r="G1416" t="n">
        <v>5.6</v>
      </c>
      <c r="H1416" t="n">
        <v>0</v>
      </c>
      <c r="I1416" t="n">
        <v>0</v>
      </c>
      <c r="J1416" t="n">
        <v>0</v>
      </c>
      <c r="K1416" t="n">
        <v>0</v>
      </c>
      <c r="L1416" t="n">
        <v>0</v>
      </c>
      <c r="M1416" t="n">
        <v>0</v>
      </c>
      <c r="N1416" t="n">
        <v>0</v>
      </c>
      <c r="O1416" t="n">
        <v>0</v>
      </c>
      <c r="P1416" t="n">
        <v>0</v>
      </c>
      <c r="Q1416" t="n">
        <v>0</v>
      </c>
      <c r="R1416" s="2" t="inlineStr"/>
    </row>
    <row r="1417" ht="15" customHeight="1">
      <c r="A1417" t="inlineStr">
        <is>
          <t>A 42315-2023</t>
        </is>
      </c>
      <c r="B1417" s="1" t="n">
        <v>45180.46916666667</v>
      </c>
      <c r="C1417" s="1" t="n">
        <v>46103</v>
      </c>
      <c r="D1417" t="inlineStr">
        <is>
          <t>KRONOBERGS LÄN</t>
        </is>
      </c>
      <c r="E1417" t="inlineStr">
        <is>
          <t>TINGSRYD</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20264-2025</t>
        </is>
      </c>
      <c r="B1418" s="1" t="n">
        <v>45773.44608796296</v>
      </c>
      <c r="C1418" s="1" t="n">
        <v>46103</v>
      </c>
      <c r="D1418" t="inlineStr">
        <is>
          <t>KRONOBERGS LÄN</t>
        </is>
      </c>
      <c r="E1418" t="inlineStr">
        <is>
          <t>LJUNGBY</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56723-2024</t>
        </is>
      </c>
      <c r="B1419" s="1" t="n">
        <v>45628.33141203703</v>
      </c>
      <c r="C1419" s="1" t="n">
        <v>46103</v>
      </c>
      <c r="D1419" t="inlineStr">
        <is>
          <t>KRONOBERGS LÄN</t>
        </is>
      </c>
      <c r="E1419" t="inlineStr">
        <is>
          <t>MARKARYD</t>
        </is>
      </c>
      <c r="G1419" t="n">
        <v>14.9</v>
      </c>
      <c r="H1419" t="n">
        <v>0</v>
      </c>
      <c r="I1419" t="n">
        <v>0</v>
      </c>
      <c r="J1419" t="n">
        <v>0</v>
      </c>
      <c r="K1419" t="n">
        <v>0</v>
      </c>
      <c r="L1419" t="n">
        <v>0</v>
      </c>
      <c r="M1419" t="n">
        <v>0</v>
      </c>
      <c r="N1419" t="n">
        <v>0</v>
      </c>
      <c r="O1419" t="n">
        <v>0</v>
      </c>
      <c r="P1419" t="n">
        <v>0</v>
      </c>
      <c r="Q1419" t="n">
        <v>0</v>
      </c>
      <c r="R1419" s="2" t="inlineStr"/>
    </row>
    <row r="1420" ht="15" customHeight="1">
      <c r="A1420" t="inlineStr">
        <is>
          <t>A 9902-2025</t>
        </is>
      </c>
      <c r="B1420" s="1" t="n">
        <v>45716.88037037037</v>
      </c>
      <c r="C1420" s="1" t="n">
        <v>46103</v>
      </c>
      <c r="D1420" t="inlineStr">
        <is>
          <t>KRONOBERGS LÄN</t>
        </is>
      </c>
      <c r="E1420" t="inlineStr">
        <is>
          <t>VÄXJÖ</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33844-2023</t>
        </is>
      </c>
      <c r="B1421" s="1" t="n">
        <v>45133.66960648148</v>
      </c>
      <c r="C1421" s="1" t="n">
        <v>46103</v>
      </c>
      <c r="D1421" t="inlineStr">
        <is>
          <t>KRONOBERGS LÄN</t>
        </is>
      </c>
      <c r="E1421" t="inlineStr">
        <is>
          <t>ÄLMHULT</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45069-2024</t>
        </is>
      </c>
      <c r="B1422" s="1" t="n">
        <v>45575.56337962963</v>
      </c>
      <c r="C1422" s="1" t="n">
        <v>46103</v>
      </c>
      <c r="D1422" t="inlineStr">
        <is>
          <t>KRONOBERGS LÄN</t>
        </is>
      </c>
      <c r="E1422" t="inlineStr">
        <is>
          <t>ÄLMHULT</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55947-2025</t>
        </is>
      </c>
      <c r="B1423" s="1" t="n">
        <v>45973.4650462963</v>
      </c>
      <c r="C1423" s="1" t="n">
        <v>46103</v>
      </c>
      <c r="D1423" t="inlineStr">
        <is>
          <t>KRONOBERGS LÄN</t>
        </is>
      </c>
      <c r="E1423" t="inlineStr">
        <is>
          <t>ÄLMHULT</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22375-2025</t>
        </is>
      </c>
      <c r="B1424" s="1" t="n">
        <v>45786</v>
      </c>
      <c r="C1424" s="1" t="n">
        <v>46103</v>
      </c>
      <c r="D1424" t="inlineStr">
        <is>
          <t>KRONOBERGS LÄN</t>
        </is>
      </c>
      <c r="E1424" t="inlineStr">
        <is>
          <t>UPPVIDINGE</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50086-2024</t>
        </is>
      </c>
      <c r="B1425" s="1" t="n">
        <v>45597</v>
      </c>
      <c r="C1425" s="1" t="n">
        <v>46103</v>
      </c>
      <c r="D1425" t="inlineStr">
        <is>
          <t>KRONOBERGS LÄN</t>
        </is>
      </c>
      <c r="E1425" t="inlineStr">
        <is>
          <t>VÄXJÖ</t>
        </is>
      </c>
      <c r="G1425" t="n">
        <v>6.8</v>
      </c>
      <c r="H1425" t="n">
        <v>0</v>
      </c>
      <c r="I1425" t="n">
        <v>0</v>
      </c>
      <c r="J1425" t="n">
        <v>0</v>
      </c>
      <c r="K1425" t="n">
        <v>0</v>
      </c>
      <c r="L1425" t="n">
        <v>0</v>
      </c>
      <c r="M1425" t="n">
        <v>0</v>
      </c>
      <c r="N1425" t="n">
        <v>0</v>
      </c>
      <c r="O1425" t="n">
        <v>0</v>
      </c>
      <c r="P1425" t="n">
        <v>0</v>
      </c>
      <c r="Q1425" t="n">
        <v>0</v>
      </c>
      <c r="R1425" s="2" t="inlineStr"/>
    </row>
    <row r="1426" ht="15" customHeight="1">
      <c r="A1426" t="inlineStr">
        <is>
          <t>A 42349-2024</t>
        </is>
      </c>
      <c r="B1426" s="1" t="n">
        <v>45562.70030092593</v>
      </c>
      <c r="C1426" s="1" t="n">
        <v>46103</v>
      </c>
      <c r="D1426" t="inlineStr">
        <is>
          <t>KRONOBERGS LÄN</t>
        </is>
      </c>
      <c r="E1426" t="inlineStr">
        <is>
          <t>TINGSRYD</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48306-2024</t>
        </is>
      </c>
      <c r="B1427" s="1" t="n">
        <v>45590</v>
      </c>
      <c r="C1427" s="1" t="n">
        <v>46103</v>
      </c>
      <c r="D1427" t="inlineStr">
        <is>
          <t>KRONOBERGS LÄN</t>
        </is>
      </c>
      <c r="E1427" t="inlineStr">
        <is>
          <t>TINGSRYD</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49965-2024</t>
        </is>
      </c>
      <c r="B1428" s="1" t="n">
        <v>45597.63311342592</v>
      </c>
      <c r="C1428" s="1" t="n">
        <v>46103</v>
      </c>
      <c r="D1428" t="inlineStr">
        <is>
          <t>KRONOBERGS LÄN</t>
        </is>
      </c>
      <c r="E1428" t="inlineStr">
        <is>
          <t>TINGSRYD</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51414-2024</t>
        </is>
      </c>
      <c r="B1429" s="1" t="n">
        <v>45604.44618055555</v>
      </c>
      <c r="C1429" s="1" t="n">
        <v>46103</v>
      </c>
      <c r="D1429" t="inlineStr">
        <is>
          <t>KRONOBERGS LÄN</t>
        </is>
      </c>
      <c r="E1429" t="inlineStr">
        <is>
          <t>UPPVIDINGE</t>
        </is>
      </c>
      <c r="G1429" t="n">
        <v>7.8</v>
      </c>
      <c r="H1429" t="n">
        <v>0</v>
      </c>
      <c r="I1429" t="n">
        <v>0</v>
      </c>
      <c r="J1429" t="n">
        <v>0</v>
      </c>
      <c r="K1429" t="n">
        <v>0</v>
      </c>
      <c r="L1429" t="n">
        <v>0</v>
      </c>
      <c r="M1429" t="n">
        <v>0</v>
      </c>
      <c r="N1429" t="n">
        <v>0</v>
      </c>
      <c r="O1429" t="n">
        <v>0</v>
      </c>
      <c r="P1429" t="n">
        <v>0</v>
      </c>
      <c r="Q1429" t="n">
        <v>0</v>
      </c>
      <c r="R1429" s="2" t="inlineStr"/>
    </row>
    <row r="1430" ht="15" customHeight="1">
      <c r="A1430" t="inlineStr">
        <is>
          <t>A 55977-2025</t>
        </is>
      </c>
      <c r="B1430" s="1" t="n">
        <v>45973.51638888889</v>
      </c>
      <c r="C1430" s="1" t="n">
        <v>46103</v>
      </c>
      <c r="D1430" t="inlineStr">
        <is>
          <t>KRONOBERGS LÄN</t>
        </is>
      </c>
      <c r="E1430" t="inlineStr">
        <is>
          <t>UPPVIDINGE</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71388-2021</t>
        </is>
      </c>
      <c r="B1431" s="1" t="n">
        <v>44540.33586805555</v>
      </c>
      <c r="C1431" s="1" t="n">
        <v>46103</v>
      </c>
      <c r="D1431" t="inlineStr">
        <is>
          <t>KRONOBERGS LÄN</t>
        </is>
      </c>
      <c r="E1431" t="inlineStr">
        <is>
          <t>TINGSRYD</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32758-2021</t>
        </is>
      </c>
      <c r="B1432" s="1" t="n">
        <v>44375</v>
      </c>
      <c r="C1432" s="1" t="n">
        <v>46103</v>
      </c>
      <c r="D1432" t="inlineStr">
        <is>
          <t>KRONOBERGS LÄN</t>
        </is>
      </c>
      <c r="E1432" t="inlineStr">
        <is>
          <t>UPPVIDINGE</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55962-2025</t>
        </is>
      </c>
      <c r="B1433" s="1" t="n">
        <v>45973.47957175926</v>
      </c>
      <c r="C1433" s="1" t="n">
        <v>46103</v>
      </c>
      <c r="D1433" t="inlineStr">
        <is>
          <t>KRONOBERGS LÄN</t>
        </is>
      </c>
      <c r="E1433" t="inlineStr">
        <is>
          <t>VÄXJÖ</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51298-2024</t>
        </is>
      </c>
      <c r="B1434" s="1" t="n">
        <v>45604.26549768518</v>
      </c>
      <c r="C1434" s="1" t="n">
        <v>46103</v>
      </c>
      <c r="D1434" t="inlineStr">
        <is>
          <t>KRONOBERGS LÄN</t>
        </is>
      </c>
      <c r="E1434" t="inlineStr">
        <is>
          <t>UPPVIDINGE</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39737-2024</t>
        </is>
      </c>
      <c r="B1435" s="1" t="n">
        <v>45552.65006944445</v>
      </c>
      <c r="C1435" s="1" t="n">
        <v>46103</v>
      </c>
      <c r="D1435" t="inlineStr">
        <is>
          <t>KRONOBERGS LÄN</t>
        </is>
      </c>
      <c r="E1435" t="inlineStr">
        <is>
          <t>UPPVIDINGE</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59085-2024</t>
        </is>
      </c>
      <c r="B1436" s="1" t="n">
        <v>45637.31363425926</v>
      </c>
      <c r="C1436" s="1" t="n">
        <v>46103</v>
      </c>
      <c r="D1436" t="inlineStr">
        <is>
          <t>KRONOBERGS LÄN</t>
        </is>
      </c>
      <c r="E1436" t="inlineStr">
        <is>
          <t>TINGSRYD</t>
        </is>
      </c>
      <c r="F1436" t="inlineStr">
        <is>
          <t>Övriga Aktiebolag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20206-2024</t>
        </is>
      </c>
      <c r="B1437" s="1" t="n">
        <v>45434.65297453704</v>
      </c>
      <c r="C1437" s="1" t="n">
        <v>46103</v>
      </c>
      <c r="D1437" t="inlineStr">
        <is>
          <t>KRONOBERGS LÄN</t>
        </is>
      </c>
      <c r="E1437" t="inlineStr">
        <is>
          <t>MARKARYD</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22010-2021</t>
        </is>
      </c>
      <c r="B1438" s="1" t="n">
        <v>44323</v>
      </c>
      <c r="C1438" s="1" t="n">
        <v>46103</v>
      </c>
      <c r="D1438" t="inlineStr">
        <is>
          <t>KRONOBERGS LÄN</t>
        </is>
      </c>
      <c r="E1438" t="inlineStr">
        <is>
          <t>VÄXJÖ</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5363-2023</t>
        </is>
      </c>
      <c r="B1439" s="1" t="n">
        <v>44959.62519675926</v>
      </c>
      <c r="C1439" s="1" t="n">
        <v>46103</v>
      </c>
      <c r="D1439" t="inlineStr">
        <is>
          <t>KRONOBERGS LÄN</t>
        </is>
      </c>
      <c r="E1439" t="inlineStr">
        <is>
          <t>LJUNGBY</t>
        </is>
      </c>
      <c r="F1439" t="inlineStr">
        <is>
          <t>Sveaskog</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56109-2025</t>
        </is>
      </c>
      <c r="B1440" s="1" t="n">
        <v>45973.73355324074</v>
      </c>
      <c r="C1440" s="1" t="n">
        <v>46103</v>
      </c>
      <c r="D1440" t="inlineStr">
        <is>
          <t>KRONOBERGS LÄN</t>
        </is>
      </c>
      <c r="E1440" t="inlineStr">
        <is>
          <t>LJUNGBY</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56068-2025</t>
        </is>
      </c>
      <c r="B1441" s="1" t="n">
        <v>45973.64590277777</v>
      </c>
      <c r="C1441" s="1" t="n">
        <v>46103</v>
      </c>
      <c r="D1441" t="inlineStr">
        <is>
          <t>KRONOBERGS LÄN</t>
        </is>
      </c>
      <c r="E1441" t="inlineStr">
        <is>
          <t>VÄXJÖ</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62012-2023</t>
        </is>
      </c>
      <c r="B1442" s="1" t="n">
        <v>45266.64285879629</v>
      </c>
      <c r="C1442" s="1" t="n">
        <v>46103</v>
      </c>
      <c r="D1442" t="inlineStr">
        <is>
          <t>KRONOBERGS LÄN</t>
        </is>
      </c>
      <c r="E1442" t="inlineStr">
        <is>
          <t>MARKARYD</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55685-2025</t>
        </is>
      </c>
      <c r="B1443" s="1" t="n">
        <v>45972</v>
      </c>
      <c r="C1443" s="1" t="n">
        <v>46103</v>
      </c>
      <c r="D1443" t="inlineStr">
        <is>
          <t>KRONOBERGS LÄN</t>
        </is>
      </c>
      <c r="E1443" t="inlineStr">
        <is>
          <t>UPPVIDINGE</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55848-2025</t>
        </is>
      </c>
      <c r="B1444" s="1" t="n">
        <v>45973.32503472222</v>
      </c>
      <c r="C1444" s="1" t="n">
        <v>46103</v>
      </c>
      <c r="D1444" t="inlineStr">
        <is>
          <t>KRONOBERGS LÄN</t>
        </is>
      </c>
      <c r="E1444" t="inlineStr">
        <is>
          <t>UPPVIDINGE</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42823-2021</t>
        </is>
      </c>
      <c r="B1445" s="1" t="n">
        <v>44430.29293981481</v>
      </c>
      <c r="C1445" s="1" t="n">
        <v>46103</v>
      </c>
      <c r="D1445" t="inlineStr">
        <is>
          <t>KRONOBERGS LÄN</t>
        </is>
      </c>
      <c r="E1445" t="inlineStr">
        <is>
          <t>UPPVIDINGE</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45393-2024</t>
        </is>
      </c>
      <c r="B1446" s="1" t="n">
        <v>45576.55013888889</v>
      </c>
      <c r="C1446" s="1" t="n">
        <v>46103</v>
      </c>
      <c r="D1446" t="inlineStr">
        <is>
          <t>KRONOBERGS LÄN</t>
        </is>
      </c>
      <c r="E1446" t="inlineStr">
        <is>
          <t>TINGSRYD</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51190-2023</t>
        </is>
      </c>
      <c r="B1447" s="1" t="n">
        <v>45219.41055555556</v>
      </c>
      <c r="C1447" s="1" t="n">
        <v>46103</v>
      </c>
      <c r="D1447" t="inlineStr">
        <is>
          <t>KRONOBERGS LÄN</t>
        </is>
      </c>
      <c r="E1447" t="inlineStr">
        <is>
          <t>VÄXJÖ</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7287-2022</t>
        </is>
      </c>
      <c r="B1448" s="1" t="n">
        <v>44606.47229166667</v>
      </c>
      <c r="C1448" s="1" t="n">
        <v>46103</v>
      </c>
      <c r="D1448" t="inlineStr">
        <is>
          <t>KRONOBERGS LÄN</t>
        </is>
      </c>
      <c r="E1448" t="inlineStr">
        <is>
          <t>ALVESTA</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56333-2025</t>
        </is>
      </c>
      <c r="B1449" s="1" t="n">
        <v>45974.64311342593</v>
      </c>
      <c r="C1449" s="1" t="n">
        <v>46103</v>
      </c>
      <c r="D1449" t="inlineStr">
        <is>
          <t>KRONOBERGS LÄN</t>
        </is>
      </c>
      <c r="E1449" t="inlineStr">
        <is>
          <t>MARKARYD</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42390-2024</t>
        </is>
      </c>
      <c r="B1450" s="1" t="n">
        <v>45565.32006944445</v>
      </c>
      <c r="C1450" s="1" t="n">
        <v>46103</v>
      </c>
      <c r="D1450" t="inlineStr">
        <is>
          <t>KRONOBERGS LÄN</t>
        </is>
      </c>
      <c r="E1450" t="inlineStr">
        <is>
          <t>TINGSRYD</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18646-2022</t>
        </is>
      </c>
      <c r="B1451" s="1" t="n">
        <v>44687.495625</v>
      </c>
      <c r="C1451" s="1" t="n">
        <v>46103</v>
      </c>
      <c r="D1451" t="inlineStr">
        <is>
          <t>KRONOBERGS LÄN</t>
        </is>
      </c>
      <c r="E1451" t="inlineStr">
        <is>
          <t>ALVESTA</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52191-2024</t>
        </is>
      </c>
      <c r="B1452" s="1" t="n">
        <v>45608.57136574074</v>
      </c>
      <c r="C1452" s="1" t="n">
        <v>46103</v>
      </c>
      <c r="D1452" t="inlineStr">
        <is>
          <t>KRONOBERGS LÄN</t>
        </is>
      </c>
      <c r="E1452" t="inlineStr">
        <is>
          <t>VÄXJÖ</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6960-2023</t>
        </is>
      </c>
      <c r="B1453" s="1" t="n">
        <v>44967</v>
      </c>
      <c r="C1453" s="1" t="n">
        <v>46103</v>
      </c>
      <c r="D1453" t="inlineStr">
        <is>
          <t>KRONOBERGS LÄN</t>
        </is>
      </c>
      <c r="E1453" t="inlineStr">
        <is>
          <t>TINGSRYD</t>
        </is>
      </c>
      <c r="G1453" t="n">
        <v>4.5</v>
      </c>
      <c r="H1453" t="n">
        <v>0</v>
      </c>
      <c r="I1453" t="n">
        <v>0</v>
      </c>
      <c r="J1453" t="n">
        <v>0</v>
      </c>
      <c r="K1453" t="n">
        <v>0</v>
      </c>
      <c r="L1453" t="n">
        <v>0</v>
      </c>
      <c r="M1453" t="n">
        <v>0</v>
      </c>
      <c r="N1453" t="n">
        <v>0</v>
      </c>
      <c r="O1453" t="n">
        <v>0</v>
      </c>
      <c r="P1453" t="n">
        <v>0</v>
      </c>
      <c r="Q1453" t="n">
        <v>0</v>
      </c>
      <c r="R1453" s="2" t="inlineStr"/>
    </row>
    <row r="1454" ht="15" customHeight="1">
      <c r="A1454" t="inlineStr">
        <is>
          <t>A 56402-2025</t>
        </is>
      </c>
      <c r="B1454" s="1" t="n">
        <v>45974.9260300926</v>
      </c>
      <c r="C1454" s="1" t="n">
        <v>46103</v>
      </c>
      <c r="D1454" t="inlineStr">
        <is>
          <t>KRONOBERGS LÄN</t>
        </is>
      </c>
      <c r="E1454" t="inlineStr">
        <is>
          <t>ALVESTA</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34247-2024</t>
        </is>
      </c>
      <c r="B1455" s="1" t="n">
        <v>45524.58696759259</v>
      </c>
      <c r="C1455" s="1" t="n">
        <v>46103</v>
      </c>
      <c r="D1455" t="inlineStr">
        <is>
          <t>KRONOBERGS LÄN</t>
        </is>
      </c>
      <c r="E1455" t="inlineStr">
        <is>
          <t>TINGSRYD</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13972-2024</t>
        </is>
      </c>
      <c r="B1456" s="1" t="n">
        <v>45392</v>
      </c>
      <c r="C1456" s="1" t="n">
        <v>46103</v>
      </c>
      <c r="D1456" t="inlineStr">
        <is>
          <t>KRONOBERGS LÄN</t>
        </is>
      </c>
      <c r="E1456" t="inlineStr">
        <is>
          <t>VÄXJÖ</t>
        </is>
      </c>
      <c r="F1456" t="inlineStr">
        <is>
          <t>Sveaskog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56472-2025</t>
        </is>
      </c>
      <c r="B1457" s="1" t="n">
        <v>45975.37895833333</v>
      </c>
      <c r="C1457" s="1" t="n">
        <v>46103</v>
      </c>
      <c r="D1457" t="inlineStr">
        <is>
          <t>KRONOBERGS LÄN</t>
        </is>
      </c>
      <c r="E1457" t="inlineStr">
        <is>
          <t>VÄXJÖ</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22394-2025</t>
        </is>
      </c>
      <c r="B1458" s="1" t="n">
        <v>45786.5274537037</v>
      </c>
      <c r="C1458" s="1" t="n">
        <v>46103</v>
      </c>
      <c r="D1458" t="inlineStr">
        <is>
          <t>KRONOBERGS LÄN</t>
        </is>
      </c>
      <c r="E1458" t="inlineStr">
        <is>
          <t>VÄXJÖ</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50155-2024</t>
        </is>
      </c>
      <c r="B1459" s="1" t="n">
        <v>45600.45695601852</v>
      </c>
      <c r="C1459" s="1" t="n">
        <v>46103</v>
      </c>
      <c r="D1459" t="inlineStr">
        <is>
          <t>KRONOBERGS LÄN</t>
        </is>
      </c>
      <c r="E1459" t="inlineStr">
        <is>
          <t>MARKARYD</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56225-2025</t>
        </is>
      </c>
      <c r="B1460" s="1" t="n">
        <v>45974.50296296296</v>
      </c>
      <c r="C1460" s="1" t="n">
        <v>46103</v>
      </c>
      <c r="D1460" t="inlineStr">
        <is>
          <t>KRONOBERGS LÄN</t>
        </is>
      </c>
      <c r="E1460" t="inlineStr">
        <is>
          <t>VÄXJÖ</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19265-2023</t>
        </is>
      </c>
      <c r="B1461" s="1" t="n">
        <v>45049.36695601852</v>
      </c>
      <c r="C1461" s="1" t="n">
        <v>46103</v>
      </c>
      <c r="D1461" t="inlineStr">
        <is>
          <t>KRONOBERGS LÄN</t>
        </is>
      </c>
      <c r="E1461" t="inlineStr">
        <is>
          <t>ÄLMHULT</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50919-2023</t>
        </is>
      </c>
      <c r="B1462" s="1" t="n">
        <v>45218.434375</v>
      </c>
      <c r="C1462" s="1" t="n">
        <v>46103</v>
      </c>
      <c r="D1462" t="inlineStr">
        <is>
          <t>KRONOBERGS LÄN</t>
        </is>
      </c>
      <c r="E1462" t="inlineStr">
        <is>
          <t>MARKARYD</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63719-2023</t>
        </is>
      </c>
      <c r="B1463" s="1" t="n">
        <v>45275</v>
      </c>
      <c r="C1463" s="1" t="n">
        <v>46103</v>
      </c>
      <c r="D1463" t="inlineStr">
        <is>
          <t>KRONOBERGS LÄN</t>
        </is>
      </c>
      <c r="E1463" t="inlineStr">
        <is>
          <t>LJUNGBY</t>
        </is>
      </c>
      <c r="F1463" t="inlineStr">
        <is>
          <t>Kyrkan</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44492-2021</t>
        </is>
      </c>
      <c r="B1464" s="1" t="n">
        <v>44435</v>
      </c>
      <c r="C1464" s="1" t="n">
        <v>46103</v>
      </c>
      <c r="D1464" t="inlineStr">
        <is>
          <t>KRONOBERGS LÄN</t>
        </is>
      </c>
      <c r="E1464" t="inlineStr">
        <is>
          <t>TINGSRYD</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45848-2023</t>
        </is>
      </c>
      <c r="B1465" s="1" t="n">
        <v>45195.59162037037</v>
      </c>
      <c r="C1465" s="1" t="n">
        <v>46103</v>
      </c>
      <c r="D1465" t="inlineStr">
        <is>
          <t>KRONOBERGS LÄN</t>
        </is>
      </c>
      <c r="E1465" t="inlineStr">
        <is>
          <t>MARKARYD</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22342-2025</t>
        </is>
      </c>
      <c r="B1466" s="1" t="n">
        <v>45786.44797453703</v>
      </c>
      <c r="C1466" s="1" t="n">
        <v>46103</v>
      </c>
      <c r="D1466" t="inlineStr">
        <is>
          <t>KRONOBERGS LÄN</t>
        </is>
      </c>
      <c r="E1466" t="inlineStr">
        <is>
          <t>MARKARYD</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1423-2025</t>
        </is>
      </c>
      <c r="B1467" s="1" t="n">
        <v>45668.63396990741</v>
      </c>
      <c r="C1467" s="1" t="n">
        <v>46103</v>
      </c>
      <c r="D1467" t="inlineStr">
        <is>
          <t>KRONOBERGS LÄN</t>
        </is>
      </c>
      <c r="E1467" t="inlineStr">
        <is>
          <t>UPPVIDINGE</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56464-2025</t>
        </is>
      </c>
      <c r="B1468" s="1" t="n">
        <v>45975.37184027778</v>
      </c>
      <c r="C1468" s="1" t="n">
        <v>46103</v>
      </c>
      <c r="D1468" t="inlineStr">
        <is>
          <t>KRONOBERGS LÄN</t>
        </is>
      </c>
      <c r="E1468" t="inlineStr">
        <is>
          <t>VÄXJÖ</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2914-2024</t>
        </is>
      </c>
      <c r="B1469" s="1" t="n">
        <v>45315</v>
      </c>
      <c r="C1469" s="1" t="n">
        <v>46103</v>
      </c>
      <c r="D1469" t="inlineStr">
        <is>
          <t>KRONOBERGS LÄN</t>
        </is>
      </c>
      <c r="E1469" t="inlineStr">
        <is>
          <t>VÄXJÖ</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6937-2025</t>
        </is>
      </c>
      <c r="B1470" s="1" t="n">
        <v>45701.45875</v>
      </c>
      <c r="C1470" s="1" t="n">
        <v>46103</v>
      </c>
      <c r="D1470" t="inlineStr">
        <is>
          <t>KRONOBERGS LÄN</t>
        </is>
      </c>
      <c r="E1470" t="inlineStr">
        <is>
          <t>TINGSRYD</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56528-2025</t>
        </is>
      </c>
      <c r="B1471" s="1" t="n">
        <v>45975.46717592593</v>
      </c>
      <c r="C1471" s="1" t="n">
        <v>46103</v>
      </c>
      <c r="D1471" t="inlineStr">
        <is>
          <t>KRONOBERGS LÄN</t>
        </is>
      </c>
      <c r="E1471" t="inlineStr">
        <is>
          <t>LJUNGBY</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56194-2025</t>
        </is>
      </c>
      <c r="B1472" s="1" t="n">
        <v>45974.44787037037</v>
      </c>
      <c r="C1472" s="1" t="n">
        <v>46103</v>
      </c>
      <c r="D1472" t="inlineStr">
        <is>
          <t>KRONOBERGS LÄN</t>
        </is>
      </c>
      <c r="E1472" t="inlineStr">
        <is>
          <t>MARKARYD</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15391-2023</t>
        </is>
      </c>
      <c r="B1473" s="1" t="n">
        <v>45019.64087962963</v>
      </c>
      <c r="C1473" s="1" t="n">
        <v>46103</v>
      </c>
      <c r="D1473" t="inlineStr">
        <is>
          <t>KRONOBERGS LÄN</t>
        </is>
      </c>
      <c r="E1473" t="inlineStr">
        <is>
          <t>TINGSRYD</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14798-2025</t>
        </is>
      </c>
      <c r="B1474" s="1" t="n">
        <v>45742</v>
      </c>
      <c r="C1474" s="1" t="n">
        <v>46103</v>
      </c>
      <c r="D1474" t="inlineStr">
        <is>
          <t>KRONOBERGS LÄN</t>
        </is>
      </c>
      <c r="E1474" t="inlineStr">
        <is>
          <t>UPPVIDINGE</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56209-2025</t>
        </is>
      </c>
      <c r="B1475" s="1" t="n">
        <v>45974.47431712963</v>
      </c>
      <c r="C1475" s="1" t="n">
        <v>46103</v>
      </c>
      <c r="D1475" t="inlineStr">
        <is>
          <t>KRONOBERGS LÄN</t>
        </is>
      </c>
      <c r="E1475" t="inlineStr">
        <is>
          <t>LJUNGBY</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45081-2021</t>
        </is>
      </c>
      <c r="B1476" s="1" t="n">
        <v>44438</v>
      </c>
      <c r="C1476" s="1" t="n">
        <v>46103</v>
      </c>
      <c r="D1476" t="inlineStr">
        <is>
          <t>KRONOBERGS LÄN</t>
        </is>
      </c>
      <c r="E1476" t="inlineStr">
        <is>
          <t>UPPVIDINGE</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56253-2025</t>
        </is>
      </c>
      <c r="B1477" s="1" t="n">
        <v>45974.56116898148</v>
      </c>
      <c r="C1477" s="1" t="n">
        <v>46103</v>
      </c>
      <c r="D1477" t="inlineStr">
        <is>
          <t>KRONOBERGS LÄN</t>
        </is>
      </c>
      <c r="E1477" t="inlineStr">
        <is>
          <t>MARKARYD</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60545-2022</t>
        </is>
      </c>
      <c r="B1478" s="1" t="n">
        <v>44904</v>
      </c>
      <c r="C1478" s="1" t="n">
        <v>46103</v>
      </c>
      <c r="D1478" t="inlineStr">
        <is>
          <t>KRONOBERGS LÄN</t>
        </is>
      </c>
      <c r="E1478" t="inlineStr">
        <is>
          <t>TINGSRYD</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22754-2025</t>
        </is>
      </c>
      <c r="B1479" s="1" t="n">
        <v>45789.61826388889</v>
      </c>
      <c r="C1479" s="1" t="n">
        <v>46103</v>
      </c>
      <c r="D1479" t="inlineStr">
        <is>
          <t>KRONOBERGS LÄN</t>
        </is>
      </c>
      <c r="E1479" t="inlineStr">
        <is>
          <t>VÄXJÖ</t>
        </is>
      </c>
      <c r="G1479" t="n">
        <v>5.2</v>
      </c>
      <c r="H1479" t="n">
        <v>0</v>
      </c>
      <c r="I1479" t="n">
        <v>0</v>
      </c>
      <c r="J1479" t="n">
        <v>0</v>
      </c>
      <c r="K1479" t="n">
        <v>0</v>
      </c>
      <c r="L1479" t="n">
        <v>0</v>
      </c>
      <c r="M1479" t="n">
        <v>0</v>
      </c>
      <c r="N1479" t="n">
        <v>0</v>
      </c>
      <c r="O1479" t="n">
        <v>0</v>
      </c>
      <c r="P1479" t="n">
        <v>0</v>
      </c>
      <c r="Q1479" t="n">
        <v>0</v>
      </c>
      <c r="R1479" s="2" t="inlineStr"/>
    </row>
    <row r="1480" ht="15" customHeight="1">
      <c r="A1480" t="inlineStr">
        <is>
          <t>A 31469-2023</t>
        </is>
      </c>
      <c r="B1480" s="1" t="n">
        <v>45114.70386574074</v>
      </c>
      <c r="C1480" s="1" t="n">
        <v>46103</v>
      </c>
      <c r="D1480" t="inlineStr">
        <is>
          <t>KRONOBERGS LÄN</t>
        </is>
      </c>
      <c r="E1480" t="inlineStr">
        <is>
          <t>VÄXJÖ</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56140-2025</t>
        </is>
      </c>
      <c r="B1481" s="1" t="n">
        <v>45974.34333333333</v>
      </c>
      <c r="C1481" s="1" t="n">
        <v>46103</v>
      </c>
      <c r="D1481" t="inlineStr">
        <is>
          <t>KRONOBERGS LÄN</t>
        </is>
      </c>
      <c r="E1481" t="inlineStr">
        <is>
          <t>UPPVIDINGE</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56150-2025</t>
        </is>
      </c>
      <c r="B1482" s="1" t="n">
        <v>45974.35180555555</v>
      </c>
      <c r="C1482" s="1" t="n">
        <v>46103</v>
      </c>
      <c r="D1482" t="inlineStr">
        <is>
          <t>KRONOBERGS LÄN</t>
        </is>
      </c>
      <c r="E1482" t="inlineStr">
        <is>
          <t>VÄXJÖ</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1586-2024</t>
        </is>
      </c>
      <c r="B1483" s="1" t="n">
        <v>45306</v>
      </c>
      <c r="C1483" s="1" t="n">
        <v>46103</v>
      </c>
      <c r="D1483" t="inlineStr">
        <is>
          <t>KRONOBERGS LÄN</t>
        </is>
      </c>
      <c r="E1483" t="inlineStr">
        <is>
          <t>TINGSRYD</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25644-2021</t>
        </is>
      </c>
      <c r="B1484" s="1" t="n">
        <v>44343.54256944444</v>
      </c>
      <c r="C1484" s="1" t="n">
        <v>46103</v>
      </c>
      <c r="D1484" t="inlineStr">
        <is>
          <t>KRONOBERGS LÄN</t>
        </is>
      </c>
      <c r="E1484" t="inlineStr">
        <is>
          <t>MARKARYD</t>
        </is>
      </c>
      <c r="F1484" t="inlineStr">
        <is>
          <t>Kommuner</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25645-2021</t>
        </is>
      </c>
      <c r="B1485" s="1" t="n">
        <v>44343</v>
      </c>
      <c r="C1485" s="1" t="n">
        <v>46103</v>
      </c>
      <c r="D1485" t="inlineStr">
        <is>
          <t>KRONOBERGS LÄN</t>
        </is>
      </c>
      <c r="E1485" t="inlineStr">
        <is>
          <t>MARKARYD</t>
        </is>
      </c>
      <c r="F1485" t="inlineStr">
        <is>
          <t>Kommuner</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38578-2025</t>
        </is>
      </c>
      <c r="B1486" s="1" t="n">
        <v>45884.46671296296</v>
      </c>
      <c r="C1486" s="1" t="n">
        <v>46103</v>
      </c>
      <c r="D1486" t="inlineStr">
        <is>
          <t>KRONOBERGS LÄN</t>
        </is>
      </c>
      <c r="E1486" t="inlineStr">
        <is>
          <t>TINGSRYD</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38582-2025</t>
        </is>
      </c>
      <c r="B1487" s="1" t="n">
        <v>45884.46983796296</v>
      </c>
      <c r="C1487" s="1" t="n">
        <v>46103</v>
      </c>
      <c r="D1487" t="inlineStr">
        <is>
          <t>KRONOBERGS LÄN</t>
        </is>
      </c>
      <c r="E1487" t="inlineStr">
        <is>
          <t>VÄXJÖ</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15203-2023</t>
        </is>
      </c>
      <c r="B1488" s="1" t="n">
        <v>45017</v>
      </c>
      <c r="C1488" s="1" t="n">
        <v>46103</v>
      </c>
      <c r="D1488" t="inlineStr">
        <is>
          <t>KRONOBERGS LÄN</t>
        </is>
      </c>
      <c r="E1488" t="inlineStr">
        <is>
          <t>LESSEBO</t>
        </is>
      </c>
      <c r="F1488" t="inlineStr">
        <is>
          <t>Sveaskog</t>
        </is>
      </c>
      <c r="G1488" t="n">
        <v>0.2</v>
      </c>
      <c r="H1488" t="n">
        <v>0</v>
      </c>
      <c r="I1488" t="n">
        <v>0</v>
      </c>
      <c r="J1488" t="n">
        <v>0</v>
      </c>
      <c r="K1488" t="n">
        <v>0</v>
      </c>
      <c r="L1488" t="n">
        <v>0</v>
      </c>
      <c r="M1488" t="n">
        <v>0</v>
      </c>
      <c r="N1488" t="n">
        <v>0</v>
      </c>
      <c r="O1488" t="n">
        <v>0</v>
      </c>
      <c r="P1488" t="n">
        <v>0</v>
      </c>
      <c r="Q1488" t="n">
        <v>0</v>
      </c>
      <c r="R1488" s="2" t="inlineStr"/>
    </row>
    <row r="1489" ht="15" customHeight="1">
      <c r="A1489" t="inlineStr">
        <is>
          <t>A 15204-2023</t>
        </is>
      </c>
      <c r="B1489" s="1" t="n">
        <v>45017</v>
      </c>
      <c r="C1489" s="1" t="n">
        <v>46103</v>
      </c>
      <c r="D1489" t="inlineStr">
        <is>
          <t>KRONOBERGS LÄN</t>
        </is>
      </c>
      <c r="E1489" t="inlineStr">
        <is>
          <t>LESSEBO</t>
        </is>
      </c>
      <c r="F1489" t="inlineStr">
        <is>
          <t>Sveaskog</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54466-2021</t>
        </is>
      </c>
      <c r="B1490" s="1" t="n">
        <v>44473.47971064815</v>
      </c>
      <c r="C1490" s="1" t="n">
        <v>46103</v>
      </c>
      <c r="D1490" t="inlineStr">
        <is>
          <t>KRONOBERGS LÄN</t>
        </is>
      </c>
      <c r="E1490" t="inlineStr">
        <is>
          <t>TINGSRYD</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38843-2025</t>
        </is>
      </c>
      <c r="B1491" s="1" t="n">
        <v>45887.54020833333</v>
      </c>
      <c r="C1491" s="1" t="n">
        <v>46103</v>
      </c>
      <c r="D1491" t="inlineStr">
        <is>
          <t>KRONOBERGS LÄN</t>
        </is>
      </c>
      <c r="E1491" t="inlineStr">
        <is>
          <t>TINGSRYD</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7176-2024</t>
        </is>
      </c>
      <c r="B1492" s="1" t="n">
        <v>45344</v>
      </c>
      <c r="C1492" s="1" t="n">
        <v>46103</v>
      </c>
      <c r="D1492" t="inlineStr">
        <is>
          <t>KRONOBERGS LÄN</t>
        </is>
      </c>
      <c r="E1492" t="inlineStr">
        <is>
          <t>TINGSRYD</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15979-2025</t>
        </is>
      </c>
      <c r="B1493" s="1" t="n">
        <v>45749.56623842593</v>
      </c>
      <c r="C1493" s="1" t="n">
        <v>46103</v>
      </c>
      <c r="D1493" t="inlineStr">
        <is>
          <t>KRONOBERGS LÄN</t>
        </is>
      </c>
      <c r="E1493" t="inlineStr">
        <is>
          <t>LJUNGBY</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20502-2025</t>
        </is>
      </c>
      <c r="B1494" s="1" t="n">
        <v>45775.58704861111</v>
      </c>
      <c r="C1494" s="1" t="n">
        <v>46103</v>
      </c>
      <c r="D1494" t="inlineStr">
        <is>
          <t>KRONOBERGS LÄN</t>
        </is>
      </c>
      <c r="E1494" t="inlineStr">
        <is>
          <t>LJUNGBY</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54734-2021</t>
        </is>
      </c>
      <c r="B1495" s="1" t="n">
        <v>44473.86554398148</v>
      </c>
      <c r="C1495" s="1" t="n">
        <v>46103</v>
      </c>
      <c r="D1495" t="inlineStr">
        <is>
          <t>KRONOBERGS LÄN</t>
        </is>
      </c>
      <c r="E1495" t="inlineStr">
        <is>
          <t>ÄLMHULT</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60364-2024</t>
        </is>
      </c>
      <c r="B1496" s="1" t="n">
        <v>45643.45525462963</v>
      </c>
      <c r="C1496" s="1" t="n">
        <v>46103</v>
      </c>
      <c r="D1496" t="inlineStr">
        <is>
          <t>KRONOBERGS LÄN</t>
        </is>
      </c>
      <c r="E1496" t="inlineStr">
        <is>
          <t>LJUNGBY</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20141-2024</t>
        </is>
      </c>
      <c r="B1497" s="1" t="n">
        <v>45434.56768518518</v>
      </c>
      <c r="C1497" s="1" t="n">
        <v>46103</v>
      </c>
      <c r="D1497" t="inlineStr">
        <is>
          <t>KRONOBERGS LÄN</t>
        </is>
      </c>
      <c r="E1497" t="inlineStr">
        <is>
          <t>MARKARYD</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40511-2022</t>
        </is>
      </c>
      <c r="B1498" s="1" t="n">
        <v>44823.61398148148</v>
      </c>
      <c r="C1498" s="1" t="n">
        <v>46103</v>
      </c>
      <c r="D1498" t="inlineStr">
        <is>
          <t>KRONOBERGS LÄN</t>
        </is>
      </c>
      <c r="E1498" t="inlineStr">
        <is>
          <t>LJUNGBY</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56675-2025</t>
        </is>
      </c>
      <c r="B1499" s="1" t="n">
        <v>45975.71053240741</v>
      </c>
      <c r="C1499" s="1" t="n">
        <v>46103</v>
      </c>
      <c r="D1499" t="inlineStr">
        <is>
          <t>KRONOBERGS LÄN</t>
        </is>
      </c>
      <c r="E1499" t="inlineStr">
        <is>
          <t>LJUNGBY</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22665-2025</t>
        </is>
      </c>
      <c r="B1500" s="1" t="n">
        <v>45789.48659722223</v>
      </c>
      <c r="C1500" s="1" t="n">
        <v>46103</v>
      </c>
      <c r="D1500" t="inlineStr">
        <is>
          <t>KRONOBERGS LÄN</t>
        </is>
      </c>
      <c r="E1500" t="inlineStr">
        <is>
          <t>VÄXJÖ</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52927-2025</t>
        </is>
      </c>
      <c r="B1501" s="1" t="n">
        <v>45954</v>
      </c>
      <c r="C1501" s="1" t="n">
        <v>46103</v>
      </c>
      <c r="D1501" t="inlineStr">
        <is>
          <t>KRONOBERGS LÄN</t>
        </is>
      </c>
      <c r="E1501" t="inlineStr">
        <is>
          <t>VÄXJÖ</t>
        </is>
      </c>
      <c r="F1501" t="inlineStr">
        <is>
          <t>Kyrkan</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56220-2025</t>
        </is>
      </c>
      <c r="B1502" s="1" t="n">
        <v>45974.49704861111</v>
      </c>
      <c r="C1502" s="1" t="n">
        <v>46103</v>
      </c>
      <c r="D1502" t="inlineStr">
        <is>
          <t>KRONOBERGS LÄN</t>
        </is>
      </c>
      <c r="E1502" t="inlineStr">
        <is>
          <t>VÄXJÖ</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55994-2023</t>
        </is>
      </c>
      <c r="B1503" s="1" t="n">
        <v>45240.38824074074</v>
      </c>
      <c r="C1503" s="1" t="n">
        <v>46103</v>
      </c>
      <c r="D1503" t="inlineStr">
        <is>
          <t>KRONOBERGS LÄN</t>
        </is>
      </c>
      <c r="E1503" t="inlineStr">
        <is>
          <t>TINGSRYD</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3545-2024</t>
        </is>
      </c>
      <c r="B1504" s="1" t="n">
        <v>45320.58873842593</v>
      </c>
      <c r="C1504" s="1" t="n">
        <v>46103</v>
      </c>
      <c r="D1504" t="inlineStr">
        <is>
          <t>KRONOBERGS LÄN</t>
        </is>
      </c>
      <c r="E1504" t="inlineStr">
        <is>
          <t>UPPVIDINGE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38797-2025</t>
        </is>
      </c>
      <c r="B1505" s="1" t="n">
        <v>45887.45643518519</v>
      </c>
      <c r="C1505" s="1" t="n">
        <v>46103</v>
      </c>
      <c r="D1505" t="inlineStr">
        <is>
          <t>KRONOBERGS LÄN</t>
        </is>
      </c>
      <c r="E1505" t="inlineStr">
        <is>
          <t>UPPVIDINGE</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38803-2025</t>
        </is>
      </c>
      <c r="B1506" s="1" t="n">
        <v>45887.46554398148</v>
      </c>
      <c r="C1506" s="1" t="n">
        <v>46103</v>
      </c>
      <c r="D1506" t="inlineStr">
        <is>
          <t>KRONOBERGS LÄN</t>
        </is>
      </c>
      <c r="E1506" t="inlineStr">
        <is>
          <t>UPPVIDINGE</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9353-2024</t>
        </is>
      </c>
      <c r="B1507" s="1" t="n">
        <v>45359.30721064815</v>
      </c>
      <c r="C1507" s="1" t="n">
        <v>46103</v>
      </c>
      <c r="D1507" t="inlineStr">
        <is>
          <t>KRONOBERGS LÄN</t>
        </is>
      </c>
      <c r="E1507" t="inlineStr">
        <is>
          <t>ÄLMHULT</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9358-2024</t>
        </is>
      </c>
      <c r="B1508" s="1" t="n">
        <v>45359.32828703704</v>
      </c>
      <c r="C1508" s="1" t="n">
        <v>46103</v>
      </c>
      <c r="D1508" t="inlineStr">
        <is>
          <t>KRONOBERGS LÄN</t>
        </is>
      </c>
      <c r="E1508" t="inlineStr">
        <is>
          <t>VÄXJÖ</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9417-2024</t>
        </is>
      </c>
      <c r="B1509" s="1" t="n">
        <v>45359.44944444444</v>
      </c>
      <c r="C1509" s="1" t="n">
        <v>46103</v>
      </c>
      <c r="D1509" t="inlineStr">
        <is>
          <t>KRONOBERGS LÄN</t>
        </is>
      </c>
      <c r="E1509" t="inlineStr">
        <is>
          <t>ALVESTA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9444-2024</t>
        </is>
      </c>
      <c r="B1510" s="1" t="n">
        <v>45359.50601851852</v>
      </c>
      <c r="C1510" s="1" t="n">
        <v>46103</v>
      </c>
      <c r="D1510" t="inlineStr">
        <is>
          <t>KRONOBERGS LÄN</t>
        </is>
      </c>
      <c r="E1510" t="inlineStr">
        <is>
          <t>LJUNGBY</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9452-2024</t>
        </is>
      </c>
      <c r="B1511" s="1" t="n">
        <v>45359.52144675926</v>
      </c>
      <c r="C1511" s="1" t="n">
        <v>46103</v>
      </c>
      <c r="D1511" t="inlineStr">
        <is>
          <t>KRONOBERGS LÄN</t>
        </is>
      </c>
      <c r="E1511" t="inlineStr">
        <is>
          <t>TINGSRYD</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56779-2025</t>
        </is>
      </c>
      <c r="B1512" s="1" t="n">
        <v>45978.40087962963</v>
      </c>
      <c r="C1512" s="1" t="n">
        <v>46103</v>
      </c>
      <c r="D1512" t="inlineStr">
        <is>
          <t>KRONOBERGS LÄN</t>
        </is>
      </c>
      <c r="E1512" t="inlineStr">
        <is>
          <t>ALVESTA</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38628-2025</t>
        </is>
      </c>
      <c r="B1513" s="1" t="n">
        <v>45884.55954861111</v>
      </c>
      <c r="C1513" s="1" t="n">
        <v>46103</v>
      </c>
      <c r="D1513" t="inlineStr">
        <is>
          <t>KRONOBERGS LÄN</t>
        </is>
      </c>
      <c r="E1513" t="inlineStr">
        <is>
          <t>VÄXJÖ</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56708-2025</t>
        </is>
      </c>
      <c r="B1514" s="1" t="n">
        <v>45977.76306712963</v>
      </c>
      <c r="C1514" s="1" t="n">
        <v>46103</v>
      </c>
      <c r="D1514" t="inlineStr">
        <is>
          <t>KRONOBERGS LÄN</t>
        </is>
      </c>
      <c r="E1514" t="inlineStr">
        <is>
          <t>LJUNGBY</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60607-2023</t>
        </is>
      </c>
      <c r="B1515" s="1" t="n">
        <v>45260</v>
      </c>
      <c r="C1515" s="1" t="n">
        <v>46103</v>
      </c>
      <c r="D1515" t="inlineStr">
        <is>
          <t>KRONOBERGS LÄN</t>
        </is>
      </c>
      <c r="E1515" t="inlineStr">
        <is>
          <t>LJUNGBY</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7981-2024</t>
        </is>
      </c>
      <c r="B1516" s="1" t="n">
        <v>45348</v>
      </c>
      <c r="C1516" s="1" t="n">
        <v>46103</v>
      </c>
      <c r="D1516" t="inlineStr">
        <is>
          <t>KRONOBERGS LÄN</t>
        </is>
      </c>
      <c r="E1516" t="inlineStr">
        <is>
          <t>UPPVIDINGE</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9165-2025</t>
        </is>
      </c>
      <c r="B1517" s="1" t="n">
        <v>45714.37306712963</v>
      </c>
      <c r="C1517" s="1" t="n">
        <v>46103</v>
      </c>
      <c r="D1517" t="inlineStr">
        <is>
          <t>KRONOBERGS LÄN</t>
        </is>
      </c>
      <c r="E1517" t="inlineStr">
        <is>
          <t>UPPVIDINGE</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41717-2024</t>
        </is>
      </c>
      <c r="B1518" s="1" t="n">
        <v>45560.76623842592</v>
      </c>
      <c r="C1518" s="1" t="n">
        <v>46103</v>
      </c>
      <c r="D1518" t="inlineStr">
        <is>
          <t>KRONOBERGS LÄN</t>
        </is>
      </c>
      <c r="E1518" t="inlineStr">
        <is>
          <t>ÄLMHULT</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50133-2024</t>
        </is>
      </c>
      <c r="B1519" s="1" t="n">
        <v>45600</v>
      </c>
      <c r="C1519" s="1" t="n">
        <v>46103</v>
      </c>
      <c r="D1519" t="inlineStr">
        <is>
          <t>KRONOBERGS LÄN</t>
        </is>
      </c>
      <c r="E1519" t="inlineStr">
        <is>
          <t>LJUNGBY</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56758-2025</t>
        </is>
      </c>
      <c r="B1520" s="1" t="n">
        <v>45978.37201388889</v>
      </c>
      <c r="C1520" s="1" t="n">
        <v>46103</v>
      </c>
      <c r="D1520" t="inlineStr">
        <is>
          <t>KRONOBERGS LÄN</t>
        </is>
      </c>
      <c r="E1520" t="inlineStr">
        <is>
          <t>LJUNGBY</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61491-2021</t>
        </is>
      </c>
      <c r="B1521" s="1" t="n">
        <v>44497</v>
      </c>
      <c r="C1521" s="1" t="n">
        <v>46103</v>
      </c>
      <c r="D1521" t="inlineStr">
        <is>
          <t>KRONOBERGS LÄN</t>
        </is>
      </c>
      <c r="E1521" t="inlineStr">
        <is>
          <t>UPPVIDINGE</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64292-2023</t>
        </is>
      </c>
      <c r="B1522" s="1" t="n">
        <v>45280.34100694444</v>
      </c>
      <c r="C1522" s="1" t="n">
        <v>46103</v>
      </c>
      <c r="D1522" t="inlineStr">
        <is>
          <t>KRONOBERGS LÄN</t>
        </is>
      </c>
      <c r="E1522" t="inlineStr">
        <is>
          <t>VÄXJÖ</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40494-2024</t>
        </is>
      </c>
      <c r="B1523" s="1" t="n">
        <v>45555.56545138889</v>
      </c>
      <c r="C1523" s="1" t="n">
        <v>46103</v>
      </c>
      <c r="D1523" t="inlineStr">
        <is>
          <t>KRONOBERGS LÄN</t>
        </is>
      </c>
      <c r="E1523" t="inlineStr">
        <is>
          <t>VÄXJÖ</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40506-2024</t>
        </is>
      </c>
      <c r="B1524" s="1" t="n">
        <v>45555.57487268518</v>
      </c>
      <c r="C1524" s="1" t="n">
        <v>46103</v>
      </c>
      <c r="D1524" t="inlineStr">
        <is>
          <t>KRONOBERGS LÄN</t>
        </is>
      </c>
      <c r="E1524" t="inlineStr">
        <is>
          <t>VÄXJÖ</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64358-2023</t>
        </is>
      </c>
      <c r="B1525" s="1" t="n">
        <v>45280</v>
      </c>
      <c r="C1525" s="1" t="n">
        <v>46103</v>
      </c>
      <c r="D1525" t="inlineStr">
        <is>
          <t>KRONOBERGS LÄN</t>
        </is>
      </c>
      <c r="E1525" t="inlineStr">
        <is>
          <t>LJUNGBY</t>
        </is>
      </c>
      <c r="F1525" t="inlineStr">
        <is>
          <t>Kyrkan</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21296-2024</t>
        </is>
      </c>
      <c r="B1526" s="1" t="n">
        <v>45440.66773148148</v>
      </c>
      <c r="C1526" s="1" t="n">
        <v>46103</v>
      </c>
      <c r="D1526" t="inlineStr">
        <is>
          <t>KRONOBERGS LÄN</t>
        </is>
      </c>
      <c r="E1526" t="inlineStr">
        <is>
          <t>ALVESTA</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5094-2024</t>
        </is>
      </c>
      <c r="B1527" s="1" t="n">
        <v>45330</v>
      </c>
      <c r="C1527" s="1" t="n">
        <v>46103</v>
      </c>
      <c r="D1527" t="inlineStr">
        <is>
          <t>KRONOBERGS LÄN</t>
        </is>
      </c>
      <c r="E1527" t="inlineStr">
        <is>
          <t>VÄXJÖ</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52564-2023</t>
        </is>
      </c>
      <c r="B1528" s="1" t="n">
        <v>45225.5787037037</v>
      </c>
      <c r="C1528" s="1" t="n">
        <v>46103</v>
      </c>
      <c r="D1528" t="inlineStr">
        <is>
          <t>KRONOBERGS LÄN</t>
        </is>
      </c>
      <c r="E1528" t="inlineStr">
        <is>
          <t>VÄXJÖ</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56953-2025</t>
        </is>
      </c>
      <c r="B1529" s="1" t="n">
        <v>45978.65131944444</v>
      </c>
      <c r="C1529" s="1" t="n">
        <v>46103</v>
      </c>
      <c r="D1529" t="inlineStr">
        <is>
          <t>KRONOBERGS LÄN</t>
        </is>
      </c>
      <c r="E1529" t="inlineStr">
        <is>
          <t>MARKARYD</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33204-2023</t>
        </is>
      </c>
      <c r="B1530" s="1" t="n">
        <v>45127.42803240741</v>
      </c>
      <c r="C1530" s="1" t="n">
        <v>46103</v>
      </c>
      <c r="D1530" t="inlineStr">
        <is>
          <t>KRONOBERGS LÄN</t>
        </is>
      </c>
      <c r="E1530" t="inlineStr">
        <is>
          <t>VÄXJÖ</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57279-2025</t>
        </is>
      </c>
      <c r="B1531" s="1" t="n">
        <v>45979.69785879629</v>
      </c>
      <c r="C1531" s="1" t="n">
        <v>46103</v>
      </c>
      <c r="D1531" t="inlineStr">
        <is>
          <t>KRONOBERGS LÄN</t>
        </is>
      </c>
      <c r="E1531" t="inlineStr">
        <is>
          <t>VÄXJÖ</t>
        </is>
      </c>
      <c r="G1531" t="n">
        <v>6.6</v>
      </c>
      <c r="H1531" t="n">
        <v>0</v>
      </c>
      <c r="I1531" t="n">
        <v>0</v>
      </c>
      <c r="J1531" t="n">
        <v>0</v>
      </c>
      <c r="K1531" t="n">
        <v>0</v>
      </c>
      <c r="L1531" t="n">
        <v>0</v>
      </c>
      <c r="M1531" t="n">
        <v>0</v>
      </c>
      <c r="N1531" t="n">
        <v>0</v>
      </c>
      <c r="O1531" t="n">
        <v>0</v>
      </c>
      <c r="P1531" t="n">
        <v>0</v>
      </c>
      <c r="Q1531" t="n">
        <v>0</v>
      </c>
      <c r="R1531" s="2" t="inlineStr"/>
    </row>
    <row r="1532" ht="15" customHeight="1">
      <c r="A1532" t="inlineStr">
        <is>
          <t>A 9353-2025</t>
        </is>
      </c>
      <c r="B1532" s="1" t="n">
        <v>45714.88269675926</v>
      </c>
      <c r="C1532" s="1" t="n">
        <v>46103</v>
      </c>
      <c r="D1532" t="inlineStr">
        <is>
          <t>KRONOBERGS LÄN</t>
        </is>
      </c>
      <c r="E1532" t="inlineStr">
        <is>
          <t>VÄXJÖ</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56780-2025</t>
        </is>
      </c>
      <c r="B1533" s="1" t="n">
        <v>45978.40188657407</v>
      </c>
      <c r="C1533" s="1" t="n">
        <v>46103</v>
      </c>
      <c r="D1533" t="inlineStr">
        <is>
          <t>KRONOBERGS LÄN</t>
        </is>
      </c>
      <c r="E1533" t="inlineStr">
        <is>
          <t>ALVESTA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57242-2025</t>
        </is>
      </c>
      <c r="B1534" s="1" t="n">
        <v>45979.62671296296</v>
      </c>
      <c r="C1534" s="1" t="n">
        <v>46103</v>
      </c>
      <c r="D1534" t="inlineStr">
        <is>
          <t>KRONOBERGS LÄN</t>
        </is>
      </c>
      <c r="E1534" t="inlineStr">
        <is>
          <t>VÄXJÖ</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33840-2023</t>
        </is>
      </c>
      <c r="B1535" s="1" t="n">
        <v>45133.66702546296</v>
      </c>
      <c r="C1535" s="1" t="n">
        <v>46103</v>
      </c>
      <c r="D1535" t="inlineStr">
        <is>
          <t>KRONOBERGS LÄN</t>
        </is>
      </c>
      <c r="E1535" t="inlineStr">
        <is>
          <t>ÄLMHULT</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57107-2025</t>
        </is>
      </c>
      <c r="B1536" s="1" t="n">
        <v>45979.44793981482</v>
      </c>
      <c r="C1536" s="1" t="n">
        <v>46103</v>
      </c>
      <c r="D1536" t="inlineStr">
        <is>
          <t>KRONOBERGS LÄN</t>
        </is>
      </c>
      <c r="E1536" t="inlineStr">
        <is>
          <t>UPPVIDINGE</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57108-2025</t>
        </is>
      </c>
      <c r="B1537" s="1" t="n">
        <v>45979.44890046296</v>
      </c>
      <c r="C1537" s="1" t="n">
        <v>46103</v>
      </c>
      <c r="D1537" t="inlineStr">
        <is>
          <t>KRONOBERGS LÄN</t>
        </is>
      </c>
      <c r="E1537" t="inlineStr">
        <is>
          <t>UPPVIDINGE</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38668-2025</t>
        </is>
      </c>
      <c r="B1538" s="1" t="n">
        <v>45884.62045138889</v>
      </c>
      <c r="C1538" s="1" t="n">
        <v>46103</v>
      </c>
      <c r="D1538" t="inlineStr">
        <is>
          <t>KRONOBERGS LÄN</t>
        </is>
      </c>
      <c r="E1538" t="inlineStr">
        <is>
          <t>LJUNGBY</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56918-2025</t>
        </is>
      </c>
      <c r="B1539" s="1" t="n">
        <v>45978.58472222222</v>
      </c>
      <c r="C1539" s="1" t="n">
        <v>46103</v>
      </c>
      <c r="D1539" t="inlineStr">
        <is>
          <t>KRONOBERGS LÄN</t>
        </is>
      </c>
      <c r="E1539" t="inlineStr">
        <is>
          <t>LJUNGBY</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57100-2025</t>
        </is>
      </c>
      <c r="B1540" s="1" t="n">
        <v>45979.43940972222</v>
      </c>
      <c r="C1540" s="1" t="n">
        <v>46103</v>
      </c>
      <c r="D1540" t="inlineStr">
        <is>
          <t>KRONOBERGS LÄN</t>
        </is>
      </c>
      <c r="E1540" t="inlineStr">
        <is>
          <t>UPPVIDINGE</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56775-2025</t>
        </is>
      </c>
      <c r="B1541" s="1" t="n">
        <v>45978.39510416667</v>
      </c>
      <c r="C1541" s="1" t="n">
        <v>46103</v>
      </c>
      <c r="D1541" t="inlineStr">
        <is>
          <t>KRONOBERGS LÄN</t>
        </is>
      </c>
      <c r="E1541" t="inlineStr">
        <is>
          <t>ALVESTA</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56793-2025</t>
        </is>
      </c>
      <c r="B1542" s="1" t="n">
        <v>45978.43003472222</v>
      </c>
      <c r="C1542" s="1" t="n">
        <v>46103</v>
      </c>
      <c r="D1542" t="inlineStr">
        <is>
          <t>KRONOBERGS LÄN</t>
        </is>
      </c>
      <c r="E1542" t="inlineStr">
        <is>
          <t>ALVESTA</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57020-2025</t>
        </is>
      </c>
      <c r="B1543" s="1" t="n">
        <v>45978.8705787037</v>
      </c>
      <c r="C1543" s="1" t="n">
        <v>46103</v>
      </c>
      <c r="D1543" t="inlineStr">
        <is>
          <t>KRONOBERGS LÄN</t>
        </is>
      </c>
      <c r="E1543" t="inlineStr">
        <is>
          <t>TINGSRYD</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1534-2025</t>
        </is>
      </c>
      <c r="B1544" s="1" t="n">
        <v>45670.48797453703</v>
      </c>
      <c r="C1544" s="1" t="n">
        <v>46103</v>
      </c>
      <c r="D1544" t="inlineStr">
        <is>
          <t>KRONOBERGS LÄN</t>
        </is>
      </c>
      <c r="E1544" t="inlineStr">
        <is>
          <t>TINGSRYD</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22766-2025</t>
        </is>
      </c>
      <c r="B1545" s="1" t="n">
        <v>45789.63024305556</v>
      </c>
      <c r="C1545" s="1" t="n">
        <v>46103</v>
      </c>
      <c r="D1545" t="inlineStr">
        <is>
          <t>KRONOBERGS LÄN</t>
        </is>
      </c>
      <c r="E1545" t="inlineStr">
        <is>
          <t>VÄXJÖ</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3782-2025</t>
        </is>
      </c>
      <c r="B1546" s="1" t="n">
        <v>45681.62265046296</v>
      </c>
      <c r="C1546" s="1" t="n">
        <v>46103</v>
      </c>
      <c r="D1546" t="inlineStr">
        <is>
          <t>KRONOBERGS LÄN</t>
        </is>
      </c>
      <c r="E1546" t="inlineStr">
        <is>
          <t>LJUNGBY</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57258-2025</t>
        </is>
      </c>
      <c r="B1547" s="1" t="n">
        <v>45979.6515162037</v>
      </c>
      <c r="C1547" s="1" t="n">
        <v>46103</v>
      </c>
      <c r="D1547" t="inlineStr">
        <is>
          <t>KRONOBERGS LÄN</t>
        </is>
      </c>
      <c r="E1547" t="inlineStr">
        <is>
          <t>TINGSRYD</t>
        </is>
      </c>
      <c r="G1547" t="n">
        <v>7.3</v>
      </c>
      <c r="H1547" t="n">
        <v>0</v>
      </c>
      <c r="I1547" t="n">
        <v>0</v>
      </c>
      <c r="J1547" t="n">
        <v>0</v>
      </c>
      <c r="K1547" t="n">
        <v>0</v>
      </c>
      <c r="L1547" t="n">
        <v>0</v>
      </c>
      <c r="M1547" t="n">
        <v>0</v>
      </c>
      <c r="N1547" t="n">
        <v>0</v>
      </c>
      <c r="O1547" t="n">
        <v>0</v>
      </c>
      <c r="P1547" t="n">
        <v>0</v>
      </c>
      <c r="Q1547" t="n">
        <v>0</v>
      </c>
      <c r="R1547" s="2" t="inlineStr"/>
    </row>
    <row r="1548" ht="15" customHeight="1">
      <c r="A1548" t="inlineStr">
        <is>
          <t>A 19669-2025</t>
        </is>
      </c>
      <c r="B1548" s="1" t="n">
        <v>45770.6984837963</v>
      </c>
      <c r="C1548" s="1" t="n">
        <v>46103</v>
      </c>
      <c r="D1548" t="inlineStr">
        <is>
          <t>KRONOBERGS LÄN</t>
        </is>
      </c>
      <c r="E1548" t="inlineStr">
        <is>
          <t>MARKARYD</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19790-2025</t>
        </is>
      </c>
      <c r="B1549" s="1" t="n">
        <v>45771.445</v>
      </c>
      <c r="C1549" s="1" t="n">
        <v>46103</v>
      </c>
      <c r="D1549" t="inlineStr">
        <is>
          <t>KRONOBERGS LÄN</t>
        </is>
      </c>
      <c r="E1549" t="inlineStr">
        <is>
          <t>ALVESTA</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27114-2024</t>
        </is>
      </c>
      <c r="B1550" s="1" t="n">
        <v>45471</v>
      </c>
      <c r="C1550" s="1" t="n">
        <v>46103</v>
      </c>
      <c r="D1550" t="inlineStr">
        <is>
          <t>KRONOBERGS LÄN</t>
        </is>
      </c>
      <c r="E1550" t="inlineStr">
        <is>
          <t>UPPVIDINGE</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13680-2025</t>
        </is>
      </c>
      <c r="B1551" s="1" t="n">
        <v>45737.26609953704</v>
      </c>
      <c r="C1551" s="1" t="n">
        <v>46103</v>
      </c>
      <c r="D1551" t="inlineStr">
        <is>
          <t>KRONOBERGS LÄN</t>
        </is>
      </c>
      <c r="E1551" t="inlineStr">
        <is>
          <t>ÄLMHULT</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39994-2024</t>
        </is>
      </c>
      <c r="B1552" s="1" t="n">
        <v>45553.6357175926</v>
      </c>
      <c r="C1552" s="1" t="n">
        <v>46103</v>
      </c>
      <c r="D1552" t="inlineStr">
        <is>
          <t>KRONOBERGS LÄN</t>
        </is>
      </c>
      <c r="E1552" t="inlineStr">
        <is>
          <t>TINGSRYD</t>
        </is>
      </c>
      <c r="G1552" t="n">
        <v>5.3</v>
      </c>
      <c r="H1552" t="n">
        <v>0</v>
      </c>
      <c r="I1552" t="n">
        <v>0</v>
      </c>
      <c r="J1552" t="n">
        <v>0</v>
      </c>
      <c r="K1552" t="n">
        <v>0</v>
      </c>
      <c r="L1552" t="n">
        <v>0</v>
      </c>
      <c r="M1552" t="n">
        <v>0</v>
      </c>
      <c r="N1552" t="n">
        <v>0</v>
      </c>
      <c r="O1552" t="n">
        <v>0</v>
      </c>
      <c r="P1552" t="n">
        <v>0</v>
      </c>
      <c r="Q1552" t="n">
        <v>0</v>
      </c>
      <c r="R1552" s="2" t="inlineStr"/>
    </row>
    <row r="1553" ht="15" customHeight="1">
      <c r="A1553" t="inlineStr">
        <is>
          <t>A 8655-2025</t>
        </is>
      </c>
      <c r="B1553" s="1" t="n">
        <v>45710</v>
      </c>
      <c r="C1553" s="1" t="n">
        <v>46103</v>
      </c>
      <c r="D1553" t="inlineStr">
        <is>
          <t>KRONOBERGS LÄN</t>
        </is>
      </c>
      <c r="E1553" t="inlineStr">
        <is>
          <t>LESSEBO</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56970-2025</t>
        </is>
      </c>
      <c r="B1554" s="1" t="n">
        <v>45978.67876157408</v>
      </c>
      <c r="C1554" s="1" t="n">
        <v>46103</v>
      </c>
      <c r="D1554" t="inlineStr">
        <is>
          <t>KRONOBERGS LÄN</t>
        </is>
      </c>
      <c r="E1554" t="inlineStr">
        <is>
          <t>VÄXJÖ</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21715-2025</t>
        </is>
      </c>
      <c r="B1555" s="1" t="n">
        <v>45783</v>
      </c>
      <c r="C1555" s="1" t="n">
        <v>46103</v>
      </c>
      <c r="D1555" t="inlineStr">
        <is>
          <t>KRONOBERGS LÄN</t>
        </is>
      </c>
      <c r="E1555" t="inlineStr">
        <is>
          <t>UPPVIDINGE</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29103-2023</t>
        </is>
      </c>
      <c r="B1556" s="1" t="n">
        <v>45105.37561342592</v>
      </c>
      <c r="C1556" s="1" t="n">
        <v>46103</v>
      </c>
      <c r="D1556" t="inlineStr">
        <is>
          <t>KRONOBERGS LÄN</t>
        </is>
      </c>
      <c r="E1556" t="inlineStr">
        <is>
          <t>VÄXJÖ</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15974-2025</t>
        </is>
      </c>
      <c r="B1557" s="1" t="n">
        <v>45749.56019675926</v>
      </c>
      <c r="C1557" s="1" t="n">
        <v>46103</v>
      </c>
      <c r="D1557" t="inlineStr">
        <is>
          <t>KRONOBERGS LÄN</t>
        </is>
      </c>
      <c r="E1557" t="inlineStr">
        <is>
          <t>LJUNGBY</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3513-2025</t>
        </is>
      </c>
      <c r="B1558" s="1" t="n">
        <v>45680.59315972222</v>
      </c>
      <c r="C1558" s="1" t="n">
        <v>46103</v>
      </c>
      <c r="D1558" t="inlineStr">
        <is>
          <t>KRONOBERGS LÄN</t>
        </is>
      </c>
      <c r="E1558" t="inlineStr">
        <is>
          <t>ÄLMHULT</t>
        </is>
      </c>
      <c r="F1558" t="inlineStr">
        <is>
          <t>Sveaskog</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3514-2025</t>
        </is>
      </c>
      <c r="B1559" s="1" t="n">
        <v>45680.59511574074</v>
      </c>
      <c r="C1559" s="1" t="n">
        <v>46103</v>
      </c>
      <c r="D1559" t="inlineStr">
        <is>
          <t>KRONOBERGS LÄN</t>
        </is>
      </c>
      <c r="E1559" t="inlineStr">
        <is>
          <t>ÄLMHULT</t>
        </is>
      </c>
      <c r="F1559" t="inlineStr">
        <is>
          <t>Sveaskog</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57239-2025</t>
        </is>
      </c>
      <c r="B1560" s="1" t="n">
        <v>45979.62482638889</v>
      </c>
      <c r="C1560" s="1" t="n">
        <v>46103</v>
      </c>
      <c r="D1560" t="inlineStr">
        <is>
          <t>KRONOBERGS LÄN</t>
        </is>
      </c>
      <c r="E1560" t="inlineStr">
        <is>
          <t>VÄXJÖ</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57281-2025</t>
        </is>
      </c>
      <c r="B1561" s="1" t="n">
        <v>45979.70398148148</v>
      </c>
      <c r="C1561" s="1" t="n">
        <v>46103</v>
      </c>
      <c r="D1561" t="inlineStr">
        <is>
          <t>KRONOBERGS LÄN</t>
        </is>
      </c>
      <c r="E1561" t="inlineStr">
        <is>
          <t>VÄXJÖ</t>
        </is>
      </c>
      <c r="G1561" t="n">
        <v>0.2</v>
      </c>
      <c r="H1561" t="n">
        <v>0</v>
      </c>
      <c r="I1561" t="n">
        <v>0</v>
      </c>
      <c r="J1561" t="n">
        <v>0</v>
      </c>
      <c r="K1561" t="n">
        <v>0</v>
      </c>
      <c r="L1561" t="n">
        <v>0</v>
      </c>
      <c r="M1561" t="n">
        <v>0</v>
      </c>
      <c r="N1561" t="n">
        <v>0</v>
      </c>
      <c r="O1561" t="n">
        <v>0</v>
      </c>
      <c r="P1561" t="n">
        <v>0</v>
      </c>
      <c r="Q1561" t="n">
        <v>0</v>
      </c>
      <c r="R1561" s="2" t="inlineStr"/>
    </row>
    <row r="1562" ht="15" customHeight="1">
      <c r="A1562" t="inlineStr">
        <is>
          <t>A 53685-2022</t>
        </is>
      </c>
      <c r="B1562" s="1" t="n">
        <v>44880</v>
      </c>
      <c r="C1562" s="1" t="n">
        <v>46103</v>
      </c>
      <c r="D1562" t="inlineStr">
        <is>
          <t>KRONOBERGS LÄN</t>
        </is>
      </c>
      <c r="E1562" t="inlineStr">
        <is>
          <t>VÄXJÖ</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36880-2024</t>
        </is>
      </c>
      <c r="B1563" s="1" t="n">
        <v>45538</v>
      </c>
      <c r="C1563" s="1" t="n">
        <v>46103</v>
      </c>
      <c r="D1563" t="inlineStr">
        <is>
          <t>KRONOBERGS LÄN</t>
        </is>
      </c>
      <c r="E1563" t="inlineStr">
        <is>
          <t>ALVESTA</t>
        </is>
      </c>
      <c r="F1563" t="inlineStr">
        <is>
          <t>Kyrkan</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43656-2023</t>
        </is>
      </c>
      <c r="B1564" s="1" t="n">
        <v>45187</v>
      </c>
      <c r="C1564" s="1" t="n">
        <v>46103</v>
      </c>
      <c r="D1564" t="inlineStr">
        <is>
          <t>KRONOBERGS LÄN</t>
        </is>
      </c>
      <c r="E1564" t="inlineStr">
        <is>
          <t>ALVESTA</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57308-2025</t>
        </is>
      </c>
      <c r="B1565" s="1" t="n">
        <v>45979.94978009259</v>
      </c>
      <c r="C1565" s="1" t="n">
        <v>46103</v>
      </c>
      <c r="D1565" t="inlineStr">
        <is>
          <t>KRONOBERGS LÄN</t>
        </is>
      </c>
      <c r="E1565" t="inlineStr">
        <is>
          <t>ALVESTA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37130-2023</t>
        </is>
      </c>
      <c r="B1566" s="1" t="n">
        <v>45155.57315972223</v>
      </c>
      <c r="C1566" s="1" t="n">
        <v>46103</v>
      </c>
      <c r="D1566" t="inlineStr">
        <is>
          <t>KRONOBERGS LÄN</t>
        </is>
      </c>
      <c r="E1566" t="inlineStr">
        <is>
          <t>TINGSRYD</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37170-2024</t>
        </is>
      </c>
      <c r="B1567" s="1" t="n">
        <v>45539</v>
      </c>
      <c r="C1567" s="1" t="n">
        <v>46103</v>
      </c>
      <c r="D1567" t="inlineStr">
        <is>
          <t>KRONOBERGS LÄN</t>
        </is>
      </c>
      <c r="E1567" t="inlineStr">
        <is>
          <t>MARKARYD</t>
        </is>
      </c>
      <c r="F1567" t="inlineStr">
        <is>
          <t>Kyrkan</t>
        </is>
      </c>
      <c r="G1567" t="n">
        <v>10.3</v>
      </c>
      <c r="H1567" t="n">
        <v>0</v>
      </c>
      <c r="I1567" t="n">
        <v>0</v>
      </c>
      <c r="J1567" t="n">
        <v>0</v>
      </c>
      <c r="K1567" t="n">
        <v>0</v>
      </c>
      <c r="L1567" t="n">
        <v>0</v>
      </c>
      <c r="M1567" t="n">
        <v>0</v>
      </c>
      <c r="N1567" t="n">
        <v>0</v>
      </c>
      <c r="O1567" t="n">
        <v>0</v>
      </c>
      <c r="P1567" t="n">
        <v>0</v>
      </c>
      <c r="Q1567" t="n">
        <v>0</v>
      </c>
      <c r="R1567" s="2" t="inlineStr"/>
    </row>
    <row r="1568" ht="15" customHeight="1">
      <c r="A1568" t="inlineStr">
        <is>
          <t>A 12221-2023</t>
        </is>
      </c>
      <c r="B1568" s="1" t="n">
        <v>44998</v>
      </c>
      <c r="C1568" s="1" t="n">
        <v>46103</v>
      </c>
      <c r="D1568" t="inlineStr">
        <is>
          <t>KRONOBERGS LÄN</t>
        </is>
      </c>
      <c r="E1568" t="inlineStr">
        <is>
          <t>ÄLMHULT</t>
        </is>
      </c>
      <c r="F1568" t="inlineStr">
        <is>
          <t>Sveaskog</t>
        </is>
      </c>
      <c r="G1568" t="n">
        <v>9.300000000000001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57307-2025</t>
        </is>
      </c>
      <c r="B1569" s="1" t="n">
        <v>45979.94236111111</v>
      </c>
      <c r="C1569" s="1" t="n">
        <v>46103</v>
      </c>
      <c r="D1569" t="inlineStr">
        <is>
          <t>KRONOBERGS LÄN</t>
        </is>
      </c>
      <c r="E1569" t="inlineStr">
        <is>
          <t>ALVESTA</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11781-2022</t>
        </is>
      </c>
      <c r="B1570" s="1" t="n">
        <v>44634</v>
      </c>
      <c r="C1570" s="1" t="n">
        <v>46103</v>
      </c>
      <c r="D1570" t="inlineStr">
        <is>
          <t>KRONOBERGS LÄN</t>
        </is>
      </c>
      <c r="E1570" t="inlineStr">
        <is>
          <t>LJUNGBY</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33215-2024</t>
        </is>
      </c>
      <c r="B1571" s="1" t="n">
        <v>45518.54971064815</v>
      </c>
      <c r="C1571" s="1" t="n">
        <v>46103</v>
      </c>
      <c r="D1571" t="inlineStr">
        <is>
          <t>KRONOBERGS LÄN</t>
        </is>
      </c>
      <c r="E1571" t="inlineStr">
        <is>
          <t>ALVESTA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58704-2022</t>
        </is>
      </c>
      <c r="B1572" s="1" t="n">
        <v>44902.79445601852</v>
      </c>
      <c r="C1572" s="1" t="n">
        <v>46103</v>
      </c>
      <c r="D1572" t="inlineStr">
        <is>
          <t>KRONOBERGS LÄN</t>
        </is>
      </c>
      <c r="E1572" t="inlineStr">
        <is>
          <t>UPPVIDINGE</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57309-2025</t>
        </is>
      </c>
      <c r="B1573" s="1" t="n">
        <v>45979.95478009259</v>
      </c>
      <c r="C1573" s="1" t="n">
        <v>46103</v>
      </c>
      <c r="D1573" t="inlineStr">
        <is>
          <t>KRONOBERGS LÄN</t>
        </is>
      </c>
      <c r="E1573" t="inlineStr">
        <is>
          <t>ALVESTA</t>
        </is>
      </c>
      <c r="G1573" t="n">
        <v>12.9</v>
      </c>
      <c r="H1573" t="n">
        <v>0</v>
      </c>
      <c r="I1573" t="n">
        <v>0</v>
      </c>
      <c r="J1573" t="n">
        <v>0</v>
      </c>
      <c r="K1573" t="n">
        <v>0</v>
      </c>
      <c r="L1573" t="n">
        <v>0</v>
      </c>
      <c r="M1573" t="n">
        <v>0</v>
      </c>
      <c r="N1573" t="n">
        <v>0</v>
      </c>
      <c r="O1573" t="n">
        <v>0</v>
      </c>
      <c r="P1573" t="n">
        <v>0</v>
      </c>
      <c r="Q1573" t="n">
        <v>0</v>
      </c>
      <c r="R1573" s="2" t="inlineStr"/>
    </row>
    <row r="1574" ht="15" customHeight="1">
      <c r="A1574" t="inlineStr">
        <is>
          <t>A 58299-2024</t>
        </is>
      </c>
      <c r="B1574" s="1" t="n">
        <v>45632.59958333334</v>
      </c>
      <c r="C1574" s="1" t="n">
        <v>46103</v>
      </c>
      <c r="D1574" t="inlineStr">
        <is>
          <t>KRONOBERGS LÄN</t>
        </is>
      </c>
      <c r="E1574" t="inlineStr">
        <is>
          <t>ALVESTA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45741-2024</t>
        </is>
      </c>
      <c r="B1575" s="1" t="n">
        <v>45579.62326388889</v>
      </c>
      <c r="C1575" s="1" t="n">
        <v>46103</v>
      </c>
      <c r="D1575" t="inlineStr">
        <is>
          <t>KRONOBERGS LÄN</t>
        </is>
      </c>
      <c r="E1575" t="inlineStr">
        <is>
          <t>VÄXJÖ</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57805-2025</t>
        </is>
      </c>
      <c r="B1576" s="1" t="n">
        <v>45981.58539351852</v>
      </c>
      <c r="C1576" s="1" t="n">
        <v>46103</v>
      </c>
      <c r="D1576" t="inlineStr">
        <is>
          <t>KRONOBERGS LÄN</t>
        </is>
      </c>
      <c r="E1576" t="inlineStr">
        <is>
          <t>UPPVIDINGE</t>
        </is>
      </c>
      <c r="F1576" t="inlineStr">
        <is>
          <t>Sveaskog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9531-2025</t>
        </is>
      </c>
      <c r="B1577" s="1" t="n">
        <v>45715.5681712963</v>
      </c>
      <c r="C1577" s="1" t="n">
        <v>46103</v>
      </c>
      <c r="D1577" t="inlineStr">
        <is>
          <t>KRONOBERGS LÄN</t>
        </is>
      </c>
      <c r="E1577" t="inlineStr">
        <is>
          <t>LJUNGBY</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57821-2025</t>
        </is>
      </c>
      <c r="B1578" s="1" t="n">
        <v>45981.60552083333</v>
      </c>
      <c r="C1578" s="1" t="n">
        <v>46103</v>
      </c>
      <c r="D1578" t="inlineStr">
        <is>
          <t>KRONOBERGS LÄN</t>
        </is>
      </c>
      <c r="E1578" t="inlineStr">
        <is>
          <t>UPPVIDINGE</t>
        </is>
      </c>
      <c r="F1578" t="inlineStr">
        <is>
          <t>Sveaskog</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57823-2025</t>
        </is>
      </c>
      <c r="B1579" s="1" t="n">
        <v>45981.60769675926</v>
      </c>
      <c r="C1579" s="1" t="n">
        <v>46103</v>
      </c>
      <c r="D1579" t="inlineStr">
        <is>
          <t>KRONOBERGS LÄN</t>
        </is>
      </c>
      <c r="E1579" t="inlineStr">
        <is>
          <t>UPPVIDINGE</t>
        </is>
      </c>
      <c r="F1579" t="inlineStr">
        <is>
          <t>Sveaskog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57825-2025</t>
        </is>
      </c>
      <c r="B1580" s="1" t="n">
        <v>45981.60837962963</v>
      </c>
      <c r="C1580" s="1" t="n">
        <v>46103</v>
      </c>
      <c r="D1580" t="inlineStr">
        <is>
          <t>KRONOBERGS LÄN</t>
        </is>
      </c>
      <c r="E1580" t="inlineStr">
        <is>
          <t>UPPVIDINGE</t>
        </is>
      </c>
      <c r="F1580" t="inlineStr">
        <is>
          <t>Sveaskog</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57884-2025</t>
        </is>
      </c>
      <c r="B1581" s="1" t="n">
        <v>45981.67037037037</v>
      </c>
      <c r="C1581" s="1" t="n">
        <v>46103</v>
      </c>
      <c r="D1581" t="inlineStr">
        <is>
          <t>KRONOBERGS LÄN</t>
        </is>
      </c>
      <c r="E1581" t="inlineStr">
        <is>
          <t>TINGSRYD</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40621-2024</t>
        </is>
      </c>
      <c r="B1582" s="1" t="n">
        <v>45557.57099537037</v>
      </c>
      <c r="C1582" s="1" t="n">
        <v>46103</v>
      </c>
      <c r="D1582" t="inlineStr">
        <is>
          <t>KRONOBERGS LÄN</t>
        </is>
      </c>
      <c r="E1582" t="inlineStr">
        <is>
          <t>VÄXJÖ</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57633-2025</t>
        </is>
      </c>
      <c r="B1583" s="1" t="n">
        <v>45981.35096064815</v>
      </c>
      <c r="C1583" s="1" t="n">
        <v>46103</v>
      </c>
      <c r="D1583" t="inlineStr">
        <is>
          <t>KRONOBERGS LÄN</t>
        </is>
      </c>
      <c r="E1583" t="inlineStr">
        <is>
          <t>LJUNGBY</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29579-2022</t>
        </is>
      </c>
      <c r="B1584" s="1" t="n">
        <v>44754</v>
      </c>
      <c r="C1584" s="1" t="n">
        <v>46103</v>
      </c>
      <c r="D1584" t="inlineStr">
        <is>
          <t>KRONOBERGS LÄN</t>
        </is>
      </c>
      <c r="E1584" t="inlineStr">
        <is>
          <t>ALVESTA</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57632-2025</t>
        </is>
      </c>
      <c r="B1585" s="1" t="n">
        <v>45981.34871527777</v>
      </c>
      <c r="C1585" s="1" t="n">
        <v>46103</v>
      </c>
      <c r="D1585" t="inlineStr">
        <is>
          <t>KRONOBERGS LÄN</t>
        </is>
      </c>
      <c r="E1585" t="inlineStr">
        <is>
          <t>LJUNGBY</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10047-2024</t>
        </is>
      </c>
      <c r="B1586" s="1" t="n">
        <v>45364</v>
      </c>
      <c r="C1586" s="1" t="n">
        <v>46103</v>
      </c>
      <c r="D1586" t="inlineStr">
        <is>
          <t>KRONOBERGS LÄN</t>
        </is>
      </c>
      <c r="E1586" t="inlineStr">
        <is>
          <t>LESSEBO</t>
        </is>
      </c>
      <c r="F1586" t="inlineStr">
        <is>
          <t>Övriga Aktiebolag</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57514-2025</t>
        </is>
      </c>
      <c r="B1587" s="1" t="n">
        <v>45980.61280092593</v>
      </c>
      <c r="C1587" s="1" t="n">
        <v>46103</v>
      </c>
      <c r="D1587" t="inlineStr">
        <is>
          <t>KRONOBERGS LÄN</t>
        </is>
      </c>
      <c r="E1587" t="inlineStr">
        <is>
          <t>VÄXJÖ</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17255-2024</t>
        </is>
      </c>
      <c r="B1588" s="1" t="n">
        <v>45414.41197916667</v>
      </c>
      <c r="C1588" s="1" t="n">
        <v>46103</v>
      </c>
      <c r="D1588" t="inlineStr">
        <is>
          <t>KRONOBERGS LÄN</t>
        </is>
      </c>
      <c r="E1588" t="inlineStr">
        <is>
          <t>MARKARYD</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32042-2024</t>
        </is>
      </c>
      <c r="B1589" s="1" t="n">
        <v>45510</v>
      </c>
      <c r="C1589" s="1" t="n">
        <v>46103</v>
      </c>
      <c r="D1589" t="inlineStr">
        <is>
          <t>KRONOBERGS LÄN</t>
        </is>
      </c>
      <c r="E1589" t="inlineStr">
        <is>
          <t>LJUNGBY</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38471-2025</t>
        </is>
      </c>
      <c r="B1590" s="1" t="n">
        <v>45884.30076388889</v>
      </c>
      <c r="C1590" s="1" t="n">
        <v>46103</v>
      </c>
      <c r="D1590" t="inlineStr">
        <is>
          <t>KRONOBERGS LÄN</t>
        </is>
      </c>
      <c r="E1590" t="inlineStr">
        <is>
          <t>ÄLMHULT</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38476-2025</t>
        </is>
      </c>
      <c r="B1591" s="1" t="n">
        <v>45884.31721064815</v>
      </c>
      <c r="C1591" s="1" t="n">
        <v>46103</v>
      </c>
      <c r="D1591" t="inlineStr">
        <is>
          <t>KRONOBERGS LÄN</t>
        </is>
      </c>
      <c r="E1591" t="inlineStr">
        <is>
          <t>ÄLMHULT</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57769-2025</t>
        </is>
      </c>
      <c r="B1592" s="1" t="n">
        <v>45981.5594212963</v>
      </c>
      <c r="C1592" s="1" t="n">
        <v>46103</v>
      </c>
      <c r="D1592" t="inlineStr">
        <is>
          <t>KRONOBERGS LÄN</t>
        </is>
      </c>
      <c r="E1592" t="inlineStr">
        <is>
          <t>TINGSRYD</t>
        </is>
      </c>
      <c r="G1592" t="n">
        <v>4.9</v>
      </c>
      <c r="H1592" t="n">
        <v>0</v>
      </c>
      <c r="I1592" t="n">
        <v>0</v>
      </c>
      <c r="J1592" t="n">
        <v>0</v>
      </c>
      <c r="K1592" t="n">
        <v>0</v>
      </c>
      <c r="L1592" t="n">
        <v>0</v>
      </c>
      <c r="M1592" t="n">
        <v>0</v>
      </c>
      <c r="N1592" t="n">
        <v>0</v>
      </c>
      <c r="O1592" t="n">
        <v>0</v>
      </c>
      <c r="P1592" t="n">
        <v>0</v>
      </c>
      <c r="Q1592" t="n">
        <v>0</v>
      </c>
      <c r="R1592" s="2" t="inlineStr"/>
    </row>
    <row r="1593" ht="15" customHeight="1">
      <c r="A1593" t="inlineStr">
        <is>
          <t>A 56877-2024</t>
        </is>
      </c>
      <c r="B1593" s="1" t="n">
        <v>45628.56518518519</v>
      </c>
      <c r="C1593" s="1" t="n">
        <v>46103</v>
      </c>
      <c r="D1593" t="inlineStr">
        <is>
          <t>KRONOBERGS LÄN</t>
        </is>
      </c>
      <c r="E1593" t="inlineStr">
        <is>
          <t>LJUNGBY</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40550-2024</t>
        </is>
      </c>
      <c r="B1594" s="1" t="n">
        <v>45555.64445601852</v>
      </c>
      <c r="C1594" s="1" t="n">
        <v>46103</v>
      </c>
      <c r="D1594" t="inlineStr">
        <is>
          <t>KRONOBERGS LÄN</t>
        </is>
      </c>
      <c r="E1594" t="inlineStr">
        <is>
          <t>ALVESTA</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1781-2025</t>
        </is>
      </c>
      <c r="B1595" s="1" t="n">
        <v>45671</v>
      </c>
      <c r="C1595" s="1" t="n">
        <v>46103</v>
      </c>
      <c r="D1595" t="inlineStr">
        <is>
          <t>KRONOBERGS LÄN</t>
        </is>
      </c>
      <c r="E1595" t="inlineStr">
        <is>
          <t>TINGSRYD</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37373-2024</t>
        </is>
      </c>
      <c r="B1596" s="1" t="n">
        <v>45540.56981481481</v>
      </c>
      <c r="C1596" s="1" t="n">
        <v>46103</v>
      </c>
      <c r="D1596" t="inlineStr">
        <is>
          <t>KRONOBERGS LÄN</t>
        </is>
      </c>
      <c r="E1596" t="inlineStr">
        <is>
          <t>UPPVIDINGE</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57473-2025</t>
        </is>
      </c>
      <c r="B1597" s="1" t="n">
        <v>45980.56653935185</v>
      </c>
      <c r="C1597" s="1" t="n">
        <v>46103</v>
      </c>
      <c r="D1597" t="inlineStr">
        <is>
          <t>KRONOBERGS LÄN</t>
        </is>
      </c>
      <c r="E1597" t="inlineStr">
        <is>
          <t>VÄXJÖ</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57800-2025</t>
        </is>
      </c>
      <c r="B1598" s="1" t="n">
        <v>45981.58383101852</v>
      </c>
      <c r="C1598" s="1" t="n">
        <v>46103</v>
      </c>
      <c r="D1598" t="inlineStr">
        <is>
          <t>KRONOBERGS LÄN</t>
        </is>
      </c>
      <c r="E1598" t="inlineStr">
        <is>
          <t>UPPVIDINGE</t>
        </is>
      </c>
      <c r="F1598" t="inlineStr">
        <is>
          <t>Sveaskog</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58060-2021</t>
        </is>
      </c>
      <c r="B1599" s="1" t="n">
        <v>44487</v>
      </c>
      <c r="C1599" s="1" t="n">
        <v>46103</v>
      </c>
      <c r="D1599" t="inlineStr">
        <is>
          <t>KRONOBERGS LÄN</t>
        </is>
      </c>
      <c r="E1599" t="inlineStr">
        <is>
          <t>VÄXJÖ</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57807-2025</t>
        </is>
      </c>
      <c r="B1600" s="1" t="n">
        <v>45981.58982638889</v>
      </c>
      <c r="C1600" s="1" t="n">
        <v>46103</v>
      </c>
      <c r="D1600" t="inlineStr">
        <is>
          <t>KRONOBERGS LÄN</t>
        </is>
      </c>
      <c r="E1600" t="inlineStr">
        <is>
          <t>UPPVIDINGE</t>
        </is>
      </c>
      <c r="F1600" t="inlineStr">
        <is>
          <t>Sveaskog</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5179-2025</t>
        </is>
      </c>
      <c r="B1601" s="1" t="n">
        <v>45691</v>
      </c>
      <c r="C1601" s="1" t="n">
        <v>46103</v>
      </c>
      <c r="D1601" t="inlineStr">
        <is>
          <t>KRONOBERGS LÄN</t>
        </is>
      </c>
      <c r="E1601" t="inlineStr">
        <is>
          <t>VÄXJÖ</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17581-2025</t>
        </is>
      </c>
      <c r="B1602" s="1" t="n">
        <v>45757.66442129629</v>
      </c>
      <c r="C1602" s="1" t="n">
        <v>46103</v>
      </c>
      <c r="D1602" t="inlineStr">
        <is>
          <t>KRONOBERGS LÄN</t>
        </is>
      </c>
      <c r="E1602" t="inlineStr">
        <is>
          <t>MARKARYD</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37844-2024</t>
        </is>
      </c>
      <c r="B1603" s="1" t="n">
        <v>45544.36982638889</v>
      </c>
      <c r="C1603" s="1" t="n">
        <v>46103</v>
      </c>
      <c r="D1603" t="inlineStr">
        <is>
          <t>KRONOBERGS LÄN</t>
        </is>
      </c>
      <c r="E1603" t="inlineStr">
        <is>
          <t>UPPVIDINGE</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57431-2025</t>
        </is>
      </c>
      <c r="B1604" s="1" t="n">
        <v>45980.47408564815</v>
      </c>
      <c r="C1604" s="1" t="n">
        <v>46103</v>
      </c>
      <c r="D1604" t="inlineStr">
        <is>
          <t>KRONOBERGS LÄN</t>
        </is>
      </c>
      <c r="E1604" t="inlineStr">
        <is>
          <t>LJUNGBY</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57813-2025</t>
        </is>
      </c>
      <c r="B1605" s="1" t="n">
        <v>45981.59340277778</v>
      </c>
      <c r="C1605" s="1" t="n">
        <v>46103</v>
      </c>
      <c r="D1605" t="inlineStr">
        <is>
          <t>KRONOBERGS LÄN</t>
        </is>
      </c>
      <c r="E1605" t="inlineStr">
        <is>
          <t>UPPVIDINGE</t>
        </is>
      </c>
      <c r="F1605" t="inlineStr">
        <is>
          <t>Sveaskog</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28322-2023</t>
        </is>
      </c>
      <c r="B1606" s="1" t="n">
        <v>45099</v>
      </c>
      <c r="C1606" s="1" t="n">
        <v>46103</v>
      </c>
      <c r="D1606" t="inlineStr">
        <is>
          <t>KRONOBERGS LÄN</t>
        </is>
      </c>
      <c r="E1606" t="inlineStr">
        <is>
          <t>LJUNGBY</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57437-2025</t>
        </is>
      </c>
      <c r="B1607" s="1" t="n">
        <v>45980.48079861111</v>
      </c>
      <c r="C1607" s="1" t="n">
        <v>46103</v>
      </c>
      <c r="D1607" t="inlineStr">
        <is>
          <t>KRONOBERGS LÄN</t>
        </is>
      </c>
      <c r="E1607" t="inlineStr">
        <is>
          <t>MARKARYD</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57450-2025</t>
        </is>
      </c>
      <c r="B1608" s="1" t="n">
        <v>45980.50091435185</v>
      </c>
      <c r="C1608" s="1" t="n">
        <v>46103</v>
      </c>
      <c r="D1608" t="inlineStr">
        <is>
          <t>KRONOBERGS LÄN</t>
        </is>
      </c>
      <c r="E1608" t="inlineStr">
        <is>
          <t>LJUNGBY</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41492-2023</t>
        </is>
      </c>
      <c r="B1609" s="1" t="n">
        <v>45175</v>
      </c>
      <c r="C1609" s="1" t="n">
        <v>46103</v>
      </c>
      <c r="D1609" t="inlineStr">
        <is>
          <t>KRONOBERGS LÄN</t>
        </is>
      </c>
      <c r="E1609" t="inlineStr">
        <is>
          <t>ÄLMHULT</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25016-2023</t>
        </is>
      </c>
      <c r="B1610" s="1" t="n">
        <v>45085.6996412037</v>
      </c>
      <c r="C1610" s="1" t="n">
        <v>46103</v>
      </c>
      <c r="D1610" t="inlineStr">
        <is>
          <t>KRONOBERGS LÄN</t>
        </is>
      </c>
      <c r="E1610" t="inlineStr">
        <is>
          <t>MARKARYD</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57440-2025</t>
        </is>
      </c>
      <c r="B1611" s="1" t="n">
        <v>45980</v>
      </c>
      <c r="C1611" s="1" t="n">
        <v>46103</v>
      </c>
      <c r="D1611" t="inlineStr">
        <is>
          <t>KRONOBERGS LÄN</t>
        </is>
      </c>
      <c r="E1611" t="inlineStr">
        <is>
          <t>TINGSRYD</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57447-2025</t>
        </is>
      </c>
      <c r="B1612" s="1" t="n">
        <v>45980.49359953704</v>
      </c>
      <c r="C1612" s="1" t="n">
        <v>46103</v>
      </c>
      <c r="D1612" t="inlineStr">
        <is>
          <t>KRONOBERGS LÄN</t>
        </is>
      </c>
      <c r="E1612" t="inlineStr">
        <is>
          <t>MARKARYD</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15364-2025</t>
        </is>
      </c>
      <c r="B1613" s="1" t="n">
        <v>45747.39719907408</v>
      </c>
      <c r="C1613" s="1" t="n">
        <v>46103</v>
      </c>
      <c r="D1613" t="inlineStr">
        <is>
          <t>KRONOBERGS LÄN</t>
        </is>
      </c>
      <c r="E1613" t="inlineStr">
        <is>
          <t>LJUNGBY</t>
        </is>
      </c>
      <c r="F1613" t="inlineStr">
        <is>
          <t>Sveaskog</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39266-2025</t>
        </is>
      </c>
      <c r="B1614" s="1" t="n">
        <v>45889.37565972222</v>
      </c>
      <c r="C1614" s="1" t="n">
        <v>46103</v>
      </c>
      <c r="D1614" t="inlineStr">
        <is>
          <t>KRONOBERGS LÄN</t>
        </is>
      </c>
      <c r="E1614" t="inlineStr">
        <is>
          <t>UPPVIDINGE</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39106-2025</t>
        </is>
      </c>
      <c r="B1615" s="1" t="n">
        <v>45888.53797453704</v>
      </c>
      <c r="C1615" s="1" t="n">
        <v>46103</v>
      </c>
      <c r="D1615" t="inlineStr">
        <is>
          <t>KRONOBERGS LÄN</t>
        </is>
      </c>
      <c r="E1615" t="inlineStr">
        <is>
          <t>ÄLMHULT</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39311-2025</t>
        </is>
      </c>
      <c r="B1616" s="1" t="n">
        <v>45889</v>
      </c>
      <c r="C1616" s="1" t="n">
        <v>46103</v>
      </c>
      <c r="D1616" t="inlineStr">
        <is>
          <t>KRONOBERGS LÄN</t>
        </is>
      </c>
      <c r="E1616" t="inlineStr">
        <is>
          <t>VÄXJÖ</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40618-2024</t>
        </is>
      </c>
      <c r="B1617" s="1" t="n">
        <v>45557.51626157408</v>
      </c>
      <c r="C1617" s="1" t="n">
        <v>46103</v>
      </c>
      <c r="D1617" t="inlineStr">
        <is>
          <t>KRONOBERGS LÄN</t>
        </is>
      </c>
      <c r="E1617" t="inlineStr">
        <is>
          <t>VÄXJÖ</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2268-2023</t>
        </is>
      </c>
      <c r="B1618" s="1" t="n">
        <v>44942.49850694444</v>
      </c>
      <c r="C1618" s="1" t="n">
        <v>46103</v>
      </c>
      <c r="D1618" t="inlineStr">
        <is>
          <t>KRONOBERGS LÄN</t>
        </is>
      </c>
      <c r="E1618" t="inlineStr">
        <is>
          <t>UPPVIDINGE</t>
        </is>
      </c>
      <c r="G1618" t="n">
        <v>0</v>
      </c>
      <c r="H1618" t="n">
        <v>0</v>
      </c>
      <c r="I1618" t="n">
        <v>0</v>
      </c>
      <c r="J1618" t="n">
        <v>0</v>
      </c>
      <c r="K1618" t="n">
        <v>0</v>
      </c>
      <c r="L1618" t="n">
        <v>0</v>
      </c>
      <c r="M1618" t="n">
        <v>0</v>
      </c>
      <c r="N1618" t="n">
        <v>0</v>
      </c>
      <c r="O1618" t="n">
        <v>0</v>
      </c>
      <c r="P1618" t="n">
        <v>0</v>
      </c>
      <c r="Q1618" t="n">
        <v>0</v>
      </c>
      <c r="R1618" s="2" t="inlineStr"/>
    </row>
    <row r="1619" ht="15" customHeight="1">
      <c r="A1619" t="inlineStr">
        <is>
          <t>A 60690-2021</t>
        </is>
      </c>
      <c r="B1619" s="1" t="n">
        <v>44496</v>
      </c>
      <c r="C1619" s="1" t="n">
        <v>46103</v>
      </c>
      <c r="D1619" t="inlineStr">
        <is>
          <t>KRONOBERGS LÄN</t>
        </is>
      </c>
      <c r="E1619" t="inlineStr">
        <is>
          <t>ÄLMHULT</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39185-2025</t>
        </is>
      </c>
      <c r="B1620" s="1" t="n">
        <v>45888.66755787037</v>
      </c>
      <c r="C1620" s="1" t="n">
        <v>46103</v>
      </c>
      <c r="D1620" t="inlineStr">
        <is>
          <t>KRONOBERGS LÄN</t>
        </is>
      </c>
      <c r="E1620" t="inlineStr">
        <is>
          <t>ÄLMHULT</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26602-2024</t>
        </is>
      </c>
      <c r="B1621" s="1" t="n">
        <v>45469.70945601852</v>
      </c>
      <c r="C1621" s="1" t="n">
        <v>46103</v>
      </c>
      <c r="D1621" t="inlineStr">
        <is>
          <t>KRONOBERGS LÄN</t>
        </is>
      </c>
      <c r="E1621" t="inlineStr">
        <is>
          <t>ÄLMHULT</t>
        </is>
      </c>
      <c r="F1621" t="inlineStr">
        <is>
          <t>Sveaskog</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39250-2025</t>
        </is>
      </c>
      <c r="B1622" s="1" t="n">
        <v>45889.36107638889</v>
      </c>
      <c r="C1622" s="1" t="n">
        <v>46103</v>
      </c>
      <c r="D1622" t="inlineStr">
        <is>
          <t>KRONOBERGS LÄN</t>
        </is>
      </c>
      <c r="E1622" t="inlineStr">
        <is>
          <t>UPPVIDINGE</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58415-2025</t>
        </is>
      </c>
      <c r="B1623" s="1" t="n">
        <v>45985.57862268519</v>
      </c>
      <c r="C1623" s="1" t="n">
        <v>46103</v>
      </c>
      <c r="D1623" t="inlineStr">
        <is>
          <t>KRONOBERGS LÄN</t>
        </is>
      </c>
      <c r="E1623" t="inlineStr">
        <is>
          <t>VÄXJÖ</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57959-2025</t>
        </is>
      </c>
      <c r="B1624" s="1" t="n">
        <v>45982</v>
      </c>
      <c r="C1624" s="1" t="n">
        <v>46103</v>
      </c>
      <c r="D1624" t="inlineStr">
        <is>
          <t>KRONOBERGS LÄN</t>
        </is>
      </c>
      <c r="E1624" t="inlineStr">
        <is>
          <t>TINGSRYD</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39256-2025</t>
        </is>
      </c>
      <c r="B1625" s="1" t="n">
        <v>45889.36693287037</v>
      </c>
      <c r="C1625" s="1" t="n">
        <v>46103</v>
      </c>
      <c r="D1625" t="inlineStr">
        <is>
          <t>KRONOBERGS LÄN</t>
        </is>
      </c>
      <c r="E1625" t="inlineStr">
        <is>
          <t>UPPVIDINGE</t>
        </is>
      </c>
      <c r="G1625" t="n">
        <v>4.4</v>
      </c>
      <c r="H1625" t="n">
        <v>0</v>
      </c>
      <c r="I1625" t="n">
        <v>0</v>
      </c>
      <c r="J1625" t="n">
        <v>0</v>
      </c>
      <c r="K1625" t="n">
        <v>0</v>
      </c>
      <c r="L1625" t="n">
        <v>0</v>
      </c>
      <c r="M1625" t="n">
        <v>0</v>
      </c>
      <c r="N1625" t="n">
        <v>0</v>
      </c>
      <c r="O1625" t="n">
        <v>0</v>
      </c>
      <c r="P1625" t="n">
        <v>0</v>
      </c>
      <c r="Q1625" t="n">
        <v>0</v>
      </c>
      <c r="R1625" s="2" t="inlineStr"/>
    </row>
    <row r="1626" ht="15" customHeight="1">
      <c r="A1626" t="inlineStr">
        <is>
          <t>A 46742-2024</t>
        </is>
      </c>
      <c r="B1626" s="1" t="n">
        <v>45583.47736111111</v>
      </c>
      <c r="C1626" s="1" t="n">
        <v>46103</v>
      </c>
      <c r="D1626" t="inlineStr">
        <is>
          <t>KRONOBERGS LÄN</t>
        </is>
      </c>
      <c r="E1626" t="inlineStr">
        <is>
          <t>VÄXJÖ</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59202-2024</t>
        </is>
      </c>
      <c r="B1627" s="1" t="n">
        <v>45637.55135416667</v>
      </c>
      <c r="C1627" s="1" t="n">
        <v>46103</v>
      </c>
      <c r="D1627" t="inlineStr">
        <is>
          <t>KRONOBERGS LÄN</t>
        </is>
      </c>
      <c r="E1627" t="inlineStr">
        <is>
          <t>ÄLMHULT</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16643-2024</t>
        </is>
      </c>
      <c r="B1628" s="1" t="n">
        <v>45408.61435185185</v>
      </c>
      <c r="C1628" s="1" t="n">
        <v>46103</v>
      </c>
      <c r="D1628" t="inlineStr">
        <is>
          <t>KRONOBERGS LÄN</t>
        </is>
      </c>
      <c r="E1628" t="inlineStr">
        <is>
          <t>UPPVIDINGE</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43453-2024</t>
        </is>
      </c>
      <c r="B1629" s="1" t="n">
        <v>45568.69032407407</v>
      </c>
      <c r="C1629" s="1" t="n">
        <v>46103</v>
      </c>
      <c r="D1629" t="inlineStr">
        <is>
          <t>KRONOBERGS LÄN</t>
        </is>
      </c>
      <c r="E1629" t="inlineStr">
        <is>
          <t>LESSEBO</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16655-2024</t>
        </is>
      </c>
      <c r="B1630" s="1" t="n">
        <v>45408.63730324074</v>
      </c>
      <c r="C1630" s="1" t="n">
        <v>46103</v>
      </c>
      <c r="D1630" t="inlineStr">
        <is>
          <t>KRONOBERGS LÄN</t>
        </is>
      </c>
      <c r="E1630" t="inlineStr">
        <is>
          <t>VÄXJÖ</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47275-2024</t>
        </is>
      </c>
      <c r="B1631" s="1" t="n">
        <v>45586.89740740741</v>
      </c>
      <c r="C1631" s="1" t="n">
        <v>46103</v>
      </c>
      <c r="D1631" t="inlineStr">
        <is>
          <t>KRONOBERGS LÄN</t>
        </is>
      </c>
      <c r="E1631" t="inlineStr">
        <is>
          <t>VÄXJÖ</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10189-2025</t>
        </is>
      </c>
      <c r="B1632" s="1" t="n">
        <v>45719</v>
      </c>
      <c r="C1632" s="1" t="n">
        <v>46103</v>
      </c>
      <c r="D1632" t="inlineStr">
        <is>
          <t>KRONOBERGS LÄN</t>
        </is>
      </c>
      <c r="E1632" t="inlineStr">
        <is>
          <t>LJUNGBY</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10216-2025</t>
        </is>
      </c>
      <c r="B1633" s="1" t="n">
        <v>45720.21070601852</v>
      </c>
      <c r="C1633" s="1" t="n">
        <v>46103</v>
      </c>
      <c r="D1633" t="inlineStr">
        <is>
          <t>KRONOBERGS LÄN</t>
        </is>
      </c>
      <c r="E1633" t="inlineStr">
        <is>
          <t>ÄLMHULT</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4728-2025</t>
        </is>
      </c>
      <c r="B1634" s="1" t="n">
        <v>45688.43366898148</v>
      </c>
      <c r="C1634" s="1" t="n">
        <v>46103</v>
      </c>
      <c r="D1634" t="inlineStr">
        <is>
          <t>KRONOBERGS LÄN</t>
        </is>
      </c>
      <c r="E1634" t="inlineStr">
        <is>
          <t>VÄXJÖ</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2119-2024</t>
        </is>
      </c>
      <c r="B1635" s="1" t="n">
        <v>45309.49473379629</v>
      </c>
      <c r="C1635" s="1" t="n">
        <v>46103</v>
      </c>
      <c r="D1635" t="inlineStr">
        <is>
          <t>KRONOBERGS LÄN</t>
        </is>
      </c>
      <c r="E1635" t="inlineStr">
        <is>
          <t>VÄXJÖ</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58461-2025</t>
        </is>
      </c>
      <c r="B1636" s="1" t="n">
        <v>45982</v>
      </c>
      <c r="C1636" s="1" t="n">
        <v>46103</v>
      </c>
      <c r="D1636" t="inlineStr">
        <is>
          <t>KRONOBERGS LÄN</t>
        </is>
      </c>
      <c r="E1636" t="inlineStr">
        <is>
          <t>ÄLMHULT</t>
        </is>
      </c>
      <c r="F1636" t="inlineStr">
        <is>
          <t>Kyrkan</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48682-2024</t>
        </is>
      </c>
      <c r="B1637" s="1" t="n">
        <v>45593</v>
      </c>
      <c r="C1637" s="1" t="n">
        <v>46103</v>
      </c>
      <c r="D1637" t="inlineStr">
        <is>
          <t>KRONOBERGS LÄN</t>
        </is>
      </c>
      <c r="E1637" t="inlineStr">
        <is>
          <t>LJUNGBY</t>
        </is>
      </c>
      <c r="F1637" t="inlineStr">
        <is>
          <t>Sveaskog</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38999-2025</t>
        </is>
      </c>
      <c r="B1638" s="1" t="n">
        <v>45888.34261574074</v>
      </c>
      <c r="C1638" s="1" t="n">
        <v>46103</v>
      </c>
      <c r="D1638" t="inlineStr">
        <is>
          <t>KRONOBERGS LÄN</t>
        </is>
      </c>
      <c r="E1638" t="inlineStr">
        <is>
          <t>LJUNGBY</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58319-2025</t>
        </is>
      </c>
      <c r="B1639" s="1" t="n">
        <v>45985.4733912037</v>
      </c>
      <c r="C1639" s="1" t="n">
        <v>46103</v>
      </c>
      <c r="D1639" t="inlineStr">
        <is>
          <t>KRONOBERGS LÄN</t>
        </is>
      </c>
      <c r="E1639" t="inlineStr">
        <is>
          <t>LJUNGBY</t>
        </is>
      </c>
      <c r="G1639" t="n">
        <v>7.9</v>
      </c>
      <c r="H1639" t="n">
        <v>0</v>
      </c>
      <c r="I1639" t="n">
        <v>0</v>
      </c>
      <c r="J1639" t="n">
        <v>0</v>
      </c>
      <c r="K1639" t="n">
        <v>0</v>
      </c>
      <c r="L1639" t="n">
        <v>0</v>
      </c>
      <c r="M1639" t="n">
        <v>0</v>
      </c>
      <c r="N1639" t="n">
        <v>0</v>
      </c>
      <c r="O1639" t="n">
        <v>0</v>
      </c>
      <c r="P1639" t="n">
        <v>0</v>
      </c>
      <c r="Q1639" t="n">
        <v>0</v>
      </c>
      <c r="R1639" s="2" t="inlineStr"/>
    </row>
    <row r="1640" ht="15" customHeight="1">
      <c r="A1640" t="inlineStr">
        <is>
          <t>A 5597-2025</t>
        </is>
      </c>
      <c r="B1640" s="1" t="n">
        <v>45693</v>
      </c>
      <c r="C1640" s="1" t="n">
        <v>46103</v>
      </c>
      <c r="D1640" t="inlineStr">
        <is>
          <t>KRONOBERGS LÄN</t>
        </is>
      </c>
      <c r="E1640" t="inlineStr">
        <is>
          <t>UPPVIDINGE</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58331-2025</t>
        </is>
      </c>
      <c r="B1641" s="1" t="n">
        <v>45985.47966435185</v>
      </c>
      <c r="C1641" s="1" t="n">
        <v>46103</v>
      </c>
      <c r="D1641" t="inlineStr">
        <is>
          <t>KRONOBERGS LÄN</t>
        </is>
      </c>
      <c r="E1641" t="inlineStr">
        <is>
          <t>LJUNGBY</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47674-2022</t>
        </is>
      </c>
      <c r="B1642" s="1" t="n">
        <v>44854.4802199074</v>
      </c>
      <c r="C1642" s="1" t="n">
        <v>46103</v>
      </c>
      <c r="D1642" t="inlineStr">
        <is>
          <t>KRONOBERGS LÄN</t>
        </is>
      </c>
      <c r="E1642" t="inlineStr">
        <is>
          <t>VÄXJÖ</t>
        </is>
      </c>
      <c r="G1642" t="n">
        <v>5.6</v>
      </c>
      <c r="H1642" t="n">
        <v>0</v>
      </c>
      <c r="I1642" t="n">
        <v>0</v>
      </c>
      <c r="J1642" t="n">
        <v>0</v>
      </c>
      <c r="K1642" t="n">
        <v>0</v>
      </c>
      <c r="L1642" t="n">
        <v>0</v>
      </c>
      <c r="M1642" t="n">
        <v>0</v>
      </c>
      <c r="N1642" t="n">
        <v>0</v>
      </c>
      <c r="O1642" t="n">
        <v>0</v>
      </c>
      <c r="P1642" t="n">
        <v>0</v>
      </c>
      <c r="Q1642" t="n">
        <v>0</v>
      </c>
      <c r="R1642" s="2" t="inlineStr"/>
    </row>
    <row r="1643" ht="15" customHeight="1">
      <c r="A1643" t="inlineStr">
        <is>
          <t>A 58041-2025</t>
        </is>
      </c>
      <c r="B1643" s="1" t="n">
        <v>45982.49903935185</v>
      </c>
      <c r="C1643" s="1" t="n">
        <v>46103</v>
      </c>
      <c r="D1643" t="inlineStr">
        <is>
          <t>KRONOBERGS LÄN</t>
        </is>
      </c>
      <c r="E1643" t="inlineStr">
        <is>
          <t>UPPVIDINGE</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52168-2024</t>
        </is>
      </c>
      <c r="B1644" s="1" t="n">
        <v>45608</v>
      </c>
      <c r="C1644" s="1" t="n">
        <v>46103</v>
      </c>
      <c r="D1644" t="inlineStr">
        <is>
          <t>KRONOBERGS LÄN</t>
        </is>
      </c>
      <c r="E1644" t="inlineStr">
        <is>
          <t>TINGSRYD</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39056-2025</t>
        </is>
      </c>
      <c r="B1645" s="1" t="n">
        <v>45888.45409722222</v>
      </c>
      <c r="C1645" s="1" t="n">
        <v>46103</v>
      </c>
      <c r="D1645" t="inlineStr">
        <is>
          <t>KRONOBERGS LÄN</t>
        </is>
      </c>
      <c r="E1645" t="inlineStr">
        <is>
          <t>VÄXJÖ</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24524-2024</t>
        </is>
      </c>
      <c r="B1646" s="1" t="n">
        <v>45460</v>
      </c>
      <c r="C1646" s="1" t="n">
        <v>46103</v>
      </c>
      <c r="D1646" t="inlineStr">
        <is>
          <t>KRONOBERGS LÄN</t>
        </is>
      </c>
      <c r="E1646" t="inlineStr">
        <is>
          <t>VÄXJÖ</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39102-2025</t>
        </is>
      </c>
      <c r="B1647" s="1" t="n">
        <v>45888.51924768519</v>
      </c>
      <c r="C1647" s="1" t="n">
        <v>46103</v>
      </c>
      <c r="D1647" t="inlineStr">
        <is>
          <t>KRONOBERGS LÄN</t>
        </is>
      </c>
      <c r="E1647" t="inlineStr">
        <is>
          <t>ÄLMHULT</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25774-2024</t>
        </is>
      </c>
      <c r="B1648" s="1" t="n">
        <v>45466.61302083333</v>
      </c>
      <c r="C1648" s="1" t="n">
        <v>46103</v>
      </c>
      <c r="D1648" t="inlineStr">
        <is>
          <t>KRONOBERGS LÄN</t>
        </is>
      </c>
      <c r="E1648" t="inlineStr">
        <is>
          <t>TINGSRYD</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39133-2025</t>
        </is>
      </c>
      <c r="B1649" s="1" t="n">
        <v>45888.58818287037</v>
      </c>
      <c r="C1649" s="1" t="n">
        <v>46103</v>
      </c>
      <c r="D1649" t="inlineStr">
        <is>
          <t>KRONOBERGS LÄN</t>
        </is>
      </c>
      <c r="E1649" t="inlineStr">
        <is>
          <t>LJUNGBY</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25052-2024</t>
        </is>
      </c>
      <c r="B1650" s="1" t="n">
        <v>45462</v>
      </c>
      <c r="C1650" s="1" t="n">
        <v>46103</v>
      </c>
      <c r="D1650" t="inlineStr">
        <is>
          <t>KRONOBERGS LÄN</t>
        </is>
      </c>
      <c r="E1650" t="inlineStr">
        <is>
          <t>TINGSRYD</t>
        </is>
      </c>
      <c r="G1650" t="n">
        <v>0.1</v>
      </c>
      <c r="H1650" t="n">
        <v>0</v>
      </c>
      <c r="I1650" t="n">
        <v>0</v>
      </c>
      <c r="J1650" t="n">
        <v>0</v>
      </c>
      <c r="K1650" t="n">
        <v>0</v>
      </c>
      <c r="L1650" t="n">
        <v>0</v>
      </c>
      <c r="M1650" t="n">
        <v>0</v>
      </c>
      <c r="N1650" t="n">
        <v>0</v>
      </c>
      <c r="O1650" t="n">
        <v>0</v>
      </c>
      <c r="P1650" t="n">
        <v>0</v>
      </c>
      <c r="Q1650" t="n">
        <v>0</v>
      </c>
      <c r="R1650" s="2" t="inlineStr"/>
    </row>
    <row r="1651" ht="15" customHeight="1">
      <c r="A1651" t="inlineStr">
        <is>
          <t>A 24090-2024</t>
        </is>
      </c>
      <c r="B1651" s="1" t="n">
        <v>45456</v>
      </c>
      <c r="C1651" s="1" t="n">
        <v>46103</v>
      </c>
      <c r="D1651" t="inlineStr">
        <is>
          <t>KRONOBERGS LÄN</t>
        </is>
      </c>
      <c r="E1651" t="inlineStr">
        <is>
          <t>ALVESTA</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62969-2023</t>
        </is>
      </c>
      <c r="B1652" s="1" t="n">
        <v>45272.57439814815</v>
      </c>
      <c r="C1652" s="1" t="n">
        <v>46103</v>
      </c>
      <c r="D1652" t="inlineStr">
        <is>
          <t>KRONOBERGS LÄN</t>
        </is>
      </c>
      <c r="E1652" t="inlineStr">
        <is>
          <t>ALVESTA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62975-2023</t>
        </is>
      </c>
      <c r="B1653" s="1" t="n">
        <v>45272.58155092593</v>
      </c>
      <c r="C1653" s="1" t="n">
        <v>46103</v>
      </c>
      <c r="D1653" t="inlineStr">
        <is>
          <t>KRONOBERGS LÄN</t>
        </is>
      </c>
      <c r="E1653" t="inlineStr">
        <is>
          <t>TINGSRYD</t>
        </is>
      </c>
      <c r="G1653" t="n">
        <v>6.5</v>
      </c>
      <c r="H1653" t="n">
        <v>0</v>
      </c>
      <c r="I1653" t="n">
        <v>0</v>
      </c>
      <c r="J1653" t="n">
        <v>0</v>
      </c>
      <c r="K1653" t="n">
        <v>0</v>
      </c>
      <c r="L1653" t="n">
        <v>0</v>
      </c>
      <c r="M1653" t="n">
        <v>0</v>
      </c>
      <c r="N1653" t="n">
        <v>0</v>
      </c>
      <c r="O1653" t="n">
        <v>0</v>
      </c>
      <c r="P1653" t="n">
        <v>0</v>
      </c>
      <c r="Q1653" t="n">
        <v>0</v>
      </c>
      <c r="R1653" s="2" t="inlineStr"/>
    </row>
    <row r="1654" ht="15" customHeight="1">
      <c r="A1654" t="inlineStr">
        <is>
          <t>A 48414-2022</t>
        </is>
      </c>
      <c r="B1654" s="1" t="n">
        <v>44858.63208333333</v>
      </c>
      <c r="C1654" s="1" t="n">
        <v>46103</v>
      </c>
      <c r="D1654" t="inlineStr">
        <is>
          <t>KRONOBERGS LÄN</t>
        </is>
      </c>
      <c r="E1654" t="inlineStr">
        <is>
          <t>LJUNGBY</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9933-2024</t>
        </is>
      </c>
      <c r="B1655" s="1" t="n">
        <v>45363.58059027778</v>
      </c>
      <c r="C1655" s="1" t="n">
        <v>46103</v>
      </c>
      <c r="D1655" t="inlineStr">
        <is>
          <t>KRONOBERGS LÄN</t>
        </is>
      </c>
      <c r="E1655" t="inlineStr">
        <is>
          <t>ALVESTA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46-2023</t>
        </is>
      </c>
      <c r="B1656" s="1" t="n">
        <v>44928.39131944445</v>
      </c>
      <c r="C1656" s="1" t="n">
        <v>46103</v>
      </c>
      <c r="D1656" t="inlineStr">
        <is>
          <t>KRONOBERGS LÄN</t>
        </is>
      </c>
      <c r="E1656" t="inlineStr">
        <is>
          <t>TINGSRYD</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39061-2025</t>
        </is>
      </c>
      <c r="B1657" s="1" t="n">
        <v>45888.46113425926</v>
      </c>
      <c r="C1657" s="1" t="n">
        <v>46103</v>
      </c>
      <c r="D1657" t="inlineStr">
        <is>
          <t>KRONOBERGS LÄN</t>
        </is>
      </c>
      <c r="E1657" t="inlineStr">
        <is>
          <t>ÄLMHULT</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34130-2023</t>
        </is>
      </c>
      <c r="B1658" s="1" t="n">
        <v>45135.67082175926</v>
      </c>
      <c r="C1658" s="1" t="n">
        <v>46103</v>
      </c>
      <c r="D1658" t="inlineStr">
        <is>
          <t>KRONOBERGS LÄN</t>
        </is>
      </c>
      <c r="E1658" t="inlineStr">
        <is>
          <t>ALVESTA</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36823-2025</t>
        </is>
      </c>
      <c r="B1659" s="1" t="n">
        <v>45874</v>
      </c>
      <c r="C1659" s="1" t="n">
        <v>46103</v>
      </c>
      <c r="D1659" t="inlineStr">
        <is>
          <t>KRONOBERGS LÄN</t>
        </is>
      </c>
      <c r="E1659" t="inlineStr">
        <is>
          <t>MARKARYD</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37215-2025</t>
        </is>
      </c>
      <c r="B1660" s="1" t="n">
        <v>45875</v>
      </c>
      <c r="C1660" s="1" t="n">
        <v>46103</v>
      </c>
      <c r="D1660" t="inlineStr">
        <is>
          <t>KRONOBERGS LÄN</t>
        </is>
      </c>
      <c r="E1660" t="inlineStr">
        <is>
          <t>TINGSRYD</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49620-2023</t>
        </is>
      </c>
      <c r="B1661" s="1" t="n">
        <v>45211.85349537037</v>
      </c>
      <c r="C1661" s="1" t="n">
        <v>46103</v>
      </c>
      <c r="D1661" t="inlineStr">
        <is>
          <t>KRONOBERGS LÄN</t>
        </is>
      </c>
      <c r="E1661" t="inlineStr">
        <is>
          <t>VÄXJÖ</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21484-2024</t>
        </is>
      </c>
      <c r="B1662" s="1" t="n">
        <v>45441</v>
      </c>
      <c r="C1662" s="1" t="n">
        <v>46103</v>
      </c>
      <c r="D1662" t="inlineStr">
        <is>
          <t>KRONOBERGS LÄN</t>
        </is>
      </c>
      <c r="E1662" t="inlineStr">
        <is>
          <t>LJUNGBY</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68681-2021</t>
        </is>
      </c>
      <c r="B1663" s="1" t="n">
        <v>44529</v>
      </c>
      <c r="C1663" s="1" t="n">
        <v>46103</v>
      </c>
      <c r="D1663" t="inlineStr">
        <is>
          <t>KRONOBERGS LÄN</t>
        </is>
      </c>
      <c r="E1663" t="inlineStr">
        <is>
          <t>TINGSRYD</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58247-2025</t>
        </is>
      </c>
      <c r="B1664" s="1" t="n">
        <v>45985.39280092593</v>
      </c>
      <c r="C1664" s="1" t="n">
        <v>46103</v>
      </c>
      <c r="D1664" t="inlineStr">
        <is>
          <t>KRONOBERGS LÄN</t>
        </is>
      </c>
      <c r="E1664" t="inlineStr">
        <is>
          <t>UPPVIDINGE</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58472-2025</t>
        </is>
      </c>
      <c r="B1665" s="1" t="n">
        <v>45985.63768518518</v>
      </c>
      <c r="C1665" s="1" t="n">
        <v>46103</v>
      </c>
      <c r="D1665" t="inlineStr">
        <is>
          <t>KRONOBERGS LÄN</t>
        </is>
      </c>
      <c r="E1665" t="inlineStr">
        <is>
          <t>UPPVIDINGE</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3722-2025</t>
        </is>
      </c>
      <c r="B1666" s="1" t="n">
        <v>45681.53275462963</v>
      </c>
      <c r="C1666" s="1" t="n">
        <v>46103</v>
      </c>
      <c r="D1666" t="inlineStr">
        <is>
          <t>KRONOBERGS LÄN</t>
        </is>
      </c>
      <c r="E1666" t="inlineStr">
        <is>
          <t>ALVESTA</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39220-2025</t>
        </is>
      </c>
      <c r="B1667" s="1" t="n">
        <v>45888.89115740741</v>
      </c>
      <c r="C1667" s="1" t="n">
        <v>46103</v>
      </c>
      <c r="D1667" t="inlineStr">
        <is>
          <t>KRONOBERGS LÄN</t>
        </is>
      </c>
      <c r="E1667" t="inlineStr">
        <is>
          <t>MARKARYD</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11977-2025</t>
        </is>
      </c>
      <c r="B1668" s="1" t="n">
        <v>45728.59358796296</v>
      </c>
      <c r="C1668" s="1" t="n">
        <v>46103</v>
      </c>
      <c r="D1668" t="inlineStr">
        <is>
          <t>KRONOBERGS LÄN</t>
        </is>
      </c>
      <c r="E1668" t="inlineStr">
        <is>
          <t>UPPVIDINGE</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58245-2025</t>
        </is>
      </c>
      <c r="B1669" s="1" t="n">
        <v>45985.390625</v>
      </c>
      <c r="C1669" s="1" t="n">
        <v>46103</v>
      </c>
      <c r="D1669" t="inlineStr">
        <is>
          <t>KRONOBERGS LÄN</t>
        </is>
      </c>
      <c r="E1669" t="inlineStr">
        <is>
          <t>UPPVIDINGE</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39048-2025</t>
        </is>
      </c>
      <c r="B1670" s="1" t="n">
        <v>45888.44400462963</v>
      </c>
      <c r="C1670" s="1" t="n">
        <v>46103</v>
      </c>
      <c r="D1670" t="inlineStr">
        <is>
          <t>KRONOBERGS LÄN</t>
        </is>
      </c>
      <c r="E1670" t="inlineStr">
        <is>
          <t>VÄXJÖ</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19196-2025</t>
        </is>
      </c>
      <c r="B1671" s="1" t="n">
        <v>45769</v>
      </c>
      <c r="C1671" s="1" t="n">
        <v>46103</v>
      </c>
      <c r="D1671" t="inlineStr">
        <is>
          <t>KRONOBERGS LÄN</t>
        </is>
      </c>
      <c r="E1671" t="inlineStr">
        <is>
          <t>ÄLMHULT</t>
        </is>
      </c>
      <c r="G1671" t="n">
        <v>26.2</v>
      </c>
      <c r="H1671" t="n">
        <v>0</v>
      </c>
      <c r="I1671" t="n">
        <v>0</v>
      </c>
      <c r="J1671" t="n">
        <v>0</v>
      </c>
      <c r="K1671" t="n">
        <v>0</v>
      </c>
      <c r="L1671" t="n">
        <v>0</v>
      </c>
      <c r="M1671" t="n">
        <v>0</v>
      </c>
      <c r="N1671" t="n">
        <v>0</v>
      </c>
      <c r="O1671" t="n">
        <v>0</v>
      </c>
      <c r="P1671" t="n">
        <v>0</v>
      </c>
      <c r="Q1671" t="n">
        <v>0</v>
      </c>
      <c r="R1671" s="2" t="inlineStr"/>
    </row>
    <row r="1672" ht="15" customHeight="1">
      <c r="A1672" t="inlineStr">
        <is>
          <t>A 19209-2025</t>
        </is>
      </c>
      <c r="B1672" s="1" t="n">
        <v>45769</v>
      </c>
      <c r="C1672" s="1" t="n">
        <v>46103</v>
      </c>
      <c r="D1672" t="inlineStr">
        <is>
          <t>KRONOBERGS LÄN</t>
        </is>
      </c>
      <c r="E1672" t="inlineStr">
        <is>
          <t>ÄLMHULT</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39497-2025</t>
        </is>
      </c>
      <c r="B1673" s="1" t="n">
        <v>45890.37820601852</v>
      </c>
      <c r="C1673" s="1" t="n">
        <v>46103</v>
      </c>
      <c r="D1673" t="inlineStr">
        <is>
          <t>KRONOBERGS LÄN</t>
        </is>
      </c>
      <c r="E1673" t="inlineStr">
        <is>
          <t>LJUNGBY</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13841-2025</t>
        </is>
      </c>
      <c r="B1674" s="1" t="n">
        <v>45737.55744212963</v>
      </c>
      <c r="C1674" s="1" t="n">
        <v>46103</v>
      </c>
      <c r="D1674" t="inlineStr">
        <is>
          <t>KRONOBERGS LÄN</t>
        </is>
      </c>
      <c r="E1674" t="inlineStr">
        <is>
          <t>VÄXJÖ</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39913-2025</t>
        </is>
      </c>
      <c r="B1675" s="1" t="n">
        <v>45891.65295138889</v>
      </c>
      <c r="C1675" s="1" t="n">
        <v>46103</v>
      </c>
      <c r="D1675" t="inlineStr">
        <is>
          <t>KRONOBERGS LÄN</t>
        </is>
      </c>
      <c r="E1675" t="inlineStr">
        <is>
          <t>LJUNGBY</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39898-2025</t>
        </is>
      </c>
      <c r="B1676" s="1" t="n">
        <v>45891</v>
      </c>
      <c r="C1676" s="1" t="n">
        <v>46103</v>
      </c>
      <c r="D1676" t="inlineStr">
        <is>
          <t>KRONOBERGS LÄN</t>
        </is>
      </c>
      <c r="E1676" t="inlineStr">
        <is>
          <t>ALVESTA</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39910-2025</t>
        </is>
      </c>
      <c r="B1677" s="1" t="n">
        <v>45891.64903935185</v>
      </c>
      <c r="C1677" s="1" t="n">
        <v>46103</v>
      </c>
      <c r="D1677" t="inlineStr">
        <is>
          <t>KRONOBERGS LÄN</t>
        </is>
      </c>
      <c r="E1677" t="inlineStr">
        <is>
          <t>ÄLMHULT</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23051-2025</t>
        </is>
      </c>
      <c r="B1678" s="1" t="n">
        <v>45790.70548611111</v>
      </c>
      <c r="C1678" s="1" t="n">
        <v>46103</v>
      </c>
      <c r="D1678" t="inlineStr">
        <is>
          <t>KRONOBERGS LÄN</t>
        </is>
      </c>
      <c r="E1678" t="inlineStr">
        <is>
          <t>MARKARYD</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39912-2025</t>
        </is>
      </c>
      <c r="B1679" s="1" t="n">
        <v>45891.65096064815</v>
      </c>
      <c r="C1679" s="1" t="n">
        <v>46103</v>
      </c>
      <c r="D1679" t="inlineStr">
        <is>
          <t>KRONOBERGS LÄN</t>
        </is>
      </c>
      <c r="E1679" t="inlineStr">
        <is>
          <t>LJUNGBY</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72857-2021</t>
        </is>
      </c>
      <c r="B1680" s="1" t="n">
        <v>44547</v>
      </c>
      <c r="C1680" s="1" t="n">
        <v>46103</v>
      </c>
      <c r="D1680" t="inlineStr">
        <is>
          <t>KRONOBERGS LÄN</t>
        </is>
      </c>
      <c r="E1680" t="inlineStr">
        <is>
          <t>VÄXJÖ</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11172-2023</t>
        </is>
      </c>
      <c r="B1681" s="1" t="n">
        <v>44992</v>
      </c>
      <c r="C1681" s="1" t="n">
        <v>46103</v>
      </c>
      <c r="D1681" t="inlineStr">
        <is>
          <t>KRONOBERGS LÄN</t>
        </is>
      </c>
      <c r="E1681" t="inlineStr">
        <is>
          <t>MARKARYD</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9901-2025</t>
        </is>
      </c>
      <c r="B1682" s="1" t="n">
        <v>45716.87329861111</v>
      </c>
      <c r="C1682" s="1" t="n">
        <v>46103</v>
      </c>
      <c r="D1682" t="inlineStr">
        <is>
          <t>KRONOBERGS LÄN</t>
        </is>
      </c>
      <c r="E1682" t="inlineStr">
        <is>
          <t>VÄXJÖ</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22581-2024</t>
        </is>
      </c>
      <c r="B1683" s="1" t="n">
        <v>45447</v>
      </c>
      <c r="C1683" s="1" t="n">
        <v>46103</v>
      </c>
      <c r="D1683" t="inlineStr">
        <is>
          <t>KRONOBERGS LÄN</t>
        </is>
      </c>
      <c r="E1683" t="inlineStr">
        <is>
          <t>TINGSRYD</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58732-2025</t>
        </is>
      </c>
      <c r="B1684" s="1" t="n">
        <v>45986.62627314815</v>
      </c>
      <c r="C1684" s="1" t="n">
        <v>46103</v>
      </c>
      <c r="D1684" t="inlineStr">
        <is>
          <t>KRONOBERGS LÄN</t>
        </is>
      </c>
      <c r="E1684" t="inlineStr">
        <is>
          <t>LJUNGBY</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23203-2025</t>
        </is>
      </c>
      <c r="B1685" s="1" t="n">
        <v>45791.46324074074</v>
      </c>
      <c r="C1685" s="1" t="n">
        <v>46103</v>
      </c>
      <c r="D1685" t="inlineStr">
        <is>
          <t>KRONOBERGS LÄN</t>
        </is>
      </c>
      <c r="E1685" t="inlineStr">
        <is>
          <t>VÄXJÖ</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39766-2025</t>
        </is>
      </c>
      <c r="B1686" s="1" t="n">
        <v>45891</v>
      </c>
      <c r="C1686" s="1" t="n">
        <v>46103</v>
      </c>
      <c r="D1686" t="inlineStr">
        <is>
          <t>KRONOBERGS LÄN</t>
        </is>
      </c>
      <c r="E1686" t="inlineStr">
        <is>
          <t>TINGSRYD</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7464-2025</t>
        </is>
      </c>
      <c r="B1687" s="1" t="n">
        <v>45705.44603009259</v>
      </c>
      <c r="C1687" s="1" t="n">
        <v>46103</v>
      </c>
      <c r="D1687" t="inlineStr">
        <is>
          <t>KRONOBERGS LÄN</t>
        </is>
      </c>
      <c r="E1687" t="inlineStr">
        <is>
          <t>ALVESTA</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26381-2022</t>
        </is>
      </c>
      <c r="B1688" s="1" t="n">
        <v>44735.67114583333</v>
      </c>
      <c r="C1688" s="1" t="n">
        <v>46103</v>
      </c>
      <c r="D1688" t="inlineStr">
        <is>
          <t>KRONOBERGS LÄN</t>
        </is>
      </c>
      <c r="E1688" t="inlineStr">
        <is>
          <t>ALVESTA</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57948-2023</t>
        </is>
      </c>
      <c r="B1689" s="1" t="n">
        <v>45247</v>
      </c>
      <c r="C1689" s="1" t="n">
        <v>46103</v>
      </c>
      <c r="D1689" t="inlineStr">
        <is>
          <t>KRONOBERGS LÄN</t>
        </is>
      </c>
      <c r="E1689" t="inlineStr">
        <is>
          <t>ALVESTA</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57952-2023</t>
        </is>
      </c>
      <c r="B1690" s="1" t="n">
        <v>45247.56596064815</v>
      </c>
      <c r="C1690" s="1" t="n">
        <v>46103</v>
      </c>
      <c r="D1690" t="inlineStr">
        <is>
          <t>KRONOBERGS LÄN</t>
        </is>
      </c>
      <c r="E1690" t="inlineStr">
        <is>
          <t>TINGSRYD</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57955-2023</t>
        </is>
      </c>
      <c r="B1691" s="1" t="n">
        <v>45247.56952546296</v>
      </c>
      <c r="C1691" s="1" t="n">
        <v>46103</v>
      </c>
      <c r="D1691" t="inlineStr">
        <is>
          <t>KRONOBERGS LÄN</t>
        </is>
      </c>
      <c r="E1691" t="inlineStr">
        <is>
          <t>TINGSRYD</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39582-2025</t>
        </is>
      </c>
      <c r="B1692" s="1" t="n">
        <v>45890.49473379629</v>
      </c>
      <c r="C1692" s="1" t="n">
        <v>46103</v>
      </c>
      <c r="D1692" t="inlineStr">
        <is>
          <t>KRONOBERGS LÄN</t>
        </is>
      </c>
      <c r="E1692" t="inlineStr">
        <is>
          <t>VÄXJÖ</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60163-2022</t>
        </is>
      </c>
      <c r="B1693" s="1" t="n">
        <v>44909.78114583333</v>
      </c>
      <c r="C1693" s="1" t="n">
        <v>46103</v>
      </c>
      <c r="D1693" t="inlineStr">
        <is>
          <t>KRONOBERGS LÄN</t>
        </is>
      </c>
      <c r="E1693" t="inlineStr">
        <is>
          <t>VÄXJÖ</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42669-2023</t>
        </is>
      </c>
      <c r="B1694" s="1" t="n">
        <v>45181.56171296296</v>
      </c>
      <c r="C1694" s="1" t="n">
        <v>46103</v>
      </c>
      <c r="D1694" t="inlineStr">
        <is>
          <t>KRONOBERGS LÄN</t>
        </is>
      </c>
      <c r="E1694" t="inlineStr">
        <is>
          <t>LJUNGBY</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618-2023</t>
        </is>
      </c>
      <c r="B1695" s="1" t="n">
        <v>44930.60707175926</v>
      </c>
      <c r="C1695" s="1" t="n">
        <v>46103</v>
      </c>
      <c r="D1695" t="inlineStr">
        <is>
          <t>KRONOBERGS LÄN</t>
        </is>
      </c>
      <c r="E1695" t="inlineStr">
        <is>
          <t>TINGSRYD</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58606-2025</t>
        </is>
      </c>
      <c r="B1696" s="1" t="n">
        <v>45986.43984953704</v>
      </c>
      <c r="C1696" s="1" t="n">
        <v>46103</v>
      </c>
      <c r="D1696" t="inlineStr">
        <is>
          <t>KRONOBERGS LÄN</t>
        </is>
      </c>
      <c r="E1696" t="inlineStr">
        <is>
          <t>ALVESTA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39739-2025</t>
        </is>
      </c>
      <c r="B1697" s="1" t="n">
        <v>45891</v>
      </c>
      <c r="C1697" s="1" t="n">
        <v>46103</v>
      </c>
      <c r="D1697" t="inlineStr">
        <is>
          <t>KRONOBERGS LÄN</t>
        </is>
      </c>
      <c r="E1697" t="inlineStr">
        <is>
          <t>MARKARYD</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39795-2025</t>
        </is>
      </c>
      <c r="B1698" s="1" t="n">
        <v>45891.49476851852</v>
      </c>
      <c r="C1698" s="1" t="n">
        <v>46103</v>
      </c>
      <c r="D1698" t="inlineStr">
        <is>
          <t>KRONOBERGS LÄN</t>
        </is>
      </c>
      <c r="E1698" t="inlineStr">
        <is>
          <t>UPPVIDINGE</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39799-2025</t>
        </is>
      </c>
      <c r="B1699" s="1" t="n">
        <v>45891.49868055555</v>
      </c>
      <c r="C1699" s="1" t="n">
        <v>46103</v>
      </c>
      <c r="D1699" t="inlineStr">
        <is>
          <t>KRONOBERGS LÄN</t>
        </is>
      </c>
      <c r="E1699" t="inlineStr">
        <is>
          <t>UPPVIDINGE</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22848-2025</t>
        </is>
      </c>
      <c r="B1700" s="1" t="n">
        <v>45790.33270833334</v>
      </c>
      <c r="C1700" s="1" t="n">
        <v>46103</v>
      </c>
      <c r="D1700" t="inlineStr">
        <is>
          <t>KRONOBERGS LÄN</t>
        </is>
      </c>
      <c r="E1700" t="inlineStr">
        <is>
          <t>MARKARYD</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58875-2025</t>
        </is>
      </c>
      <c r="B1701" s="1" t="n">
        <v>45987.4678125</v>
      </c>
      <c r="C1701" s="1" t="n">
        <v>46103</v>
      </c>
      <c r="D1701" t="inlineStr">
        <is>
          <t>KRONOBERGS LÄN</t>
        </is>
      </c>
      <c r="E1701" t="inlineStr">
        <is>
          <t>LJUNGBY</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39884-2025</t>
        </is>
      </c>
      <c r="B1702" s="1" t="n">
        <v>45891.62295138889</v>
      </c>
      <c r="C1702" s="1" t="n">
        <v>46103</v>
      </c>
      <c r="D1702" t="inlineStr">
        <is>
          <t>KRONOBERGS LÄN</t>
        </is>
      </c>
      <c r="E1702" t="inlineStr">
        <is>
          <t>LESSEBO</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47243-2022</t>
        </is>
      </c>
      <c r="B1703" s="1" t="n">
        <v>44852.89560185185</v>
      </c>
      <c r="C1703" s="1" t="n">
        <v>46103</v>
      </c>
      <c r="D1703" t="inlineStr">
        <is>
          <t>KRONOBERGS LÄN</t>
        </is>
      </c>
      <c r="E1703" t="inlineStr">
        <is>
          <t>LJUNGBY</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32393-2025</t>
        </is>
      </c>
      <c r="B1704" s="1" t="n">
        <v>45837.91177083334</v>
      </c>
      <c r="C1704" s="1" t="n">
        <v>46103</v>
      </c>
      <c r="D1704" t="inlineStr">
        <is>
          <t>KRONOBERGS LÄN</t>
        </is>
      </c>
      <c r="E1704" t="inlineStr">
        <is>
          <t>LJUNGBY</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4412-2025</t>
        </is>
      </c>
      <c r="B1705" s="1" t="n">
        <v>45686.44939814815</v>
      </c>
      <c r="C1705" s="1" t="n">
        <v>46103</v>
      </c>
      <c r="D1705" t="inlineStr">
        <is>
          <t>KRONOBERGS LÄN</t>
        </is>
      </c>
      <c r="E1705" t="inlineStr">
        <is>
          <t>VÄXJÖ</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58594-2025</t>
        </is>
      </c>
      <c r="B1706" s="1" t="n">
        <v>45986.4149537037</v>
      </c>
      <c r="C1706" s="1" t="n">
        <v>46103</v>
      </c>
      <c r="D1706" t="inlineStr">
        <is>
          <t>KRONOBERGS LÄN</t>
        </is>
      </c>
      <c r="E1706" t="inlineStr">
        <is>
          <t>VÄXJÖ</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54397-2023</t>
        </is>
      </c>
      <c r="B1707" s="1" t="n">
        <v>45233.37359953704</v>
      </c>
      <c r="C1707" s="1" t="n">
        <v>46103</v>
      </c>
      <c r="D1707" t="inlineStr">
        <is>
          <t>KRONOBERGS LÄN</t>
        </is>
      </c>
      <c r="E1707" t="inlineStr">
        <is>
          <t>VÄXJÖ</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39485-2025</t>
        </is>
      </c>
      <c r="B1708" s="1" t="n">
        <v>45890.36122685186</v>
      </c>
      <c r="C1708" s="1" t="n">
        <v>46103</v>
      </c>
      <c r="D1708" t="inlineStr">
        <is>
          <t>KRONOBERGS LÄN</t>
        </is>
      </c>
      <c r="E1708" t="inlineStr">
        <is>
          <t>TINGSRYD</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39549-2025</t>
        </is>
      </c>
      <c r="B1709" s="1" t="n">
        <v>45890</v>
      </c>
      <c r="C1709" s="1" t="n">
        <v>46103</v>
      </c>
      <c r="D1709" t="inlineStr">
        <is>
          <t>KRONOBERGS LÄN</t>
        </is>
      </c>
      <c r="E1709" t="inlineStr">
        <is>
          <t>LESSEBO</t>
        </is>
      </c>
      <c r="G1709" t="n">
        <v>7.2</v>
      </c>
      <c r="H1709" t="n">
        <v>0</v>
      </c>
      <c r="I1709" t="n">
        <v>0</v>
      </c>
      <c r="J1709" t="n">
        <v>0</v>
      </c>
      <c r="K1709" t="n">
        <v>0</v>
      </c>
      <c r="L1709" t="n">
        <v>0</v>
      </c>
      <c r="M1709" t="n">
        <v>0</v>
      </c>
      <c r="N1709" t="n">
        <v>0</v>
      </c>
      <c r="O1709" t="n">
        <v>0</v>
      </c>
      <c r="P1709" t="n">
        <v>0</v>
      </c>
      <c r="Q1709" t="n">
        <v>0</v>
      </c>
      <c r="R1709" s="2" t="inlineStr"/>
    </row>
    <row r="1710" ht="15" customHeight="1">
      <c r="A1710" t="inlineStr">
        <is>
          <t>A 37189-2023</t>
        </is>
      </c>
      <c r="B1710" s="1" t="n">
        <v>45155</v>
      </c>
      <c r="C1710" s="1" t="n">
        <v>46103</v>
      </c>
      <c r="D1710" t="inlineStr">
        <is>
          <t>KRONOBERGS LÄN</t>
        </is>
      </c>
      <c r="E1710" t="inlineStr">
        <is>
          <t>TINGSRYD</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37195-2023</t>
        </is>
      </c>
      <c r="B1711" s="1" t="n">
        <v>45155</v>
      </c>
      <c r="C1711" s="1" t="n">
        <v>46103</v>
      </c>
      <c r="D1711" t="inlineStr">
        <is>
          <t>KRONOBERGS LÄN</t>
        </is>
      </c>
      <c r="E1711" t="inlineStr">
        <is>
          <t>TINGSRYD</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49965-2025</t>
        </is>
      </c>
      <c r="B1712" s="1" t="n">
        <v>45941.47780092592</v>
      </c>
      <c r="C1712" s="1" t="n">
        <v>46103</v>
      </c>
      <c r="D1712" t="inlineStr">
        <is>
          <t>KRONOBERGS LÄN</t>
        </is>
      </c>
      <c r="E1712" t="inlineStr">
        <is>
          <t>UPPVIDINGE</t>
        </is>
      </c>
      <c r="F1712" t="inlineStr">
        <is>
          <t>Sveaskog</t>
        </is>
      </c>
      <c r="G1712" t="n">
        <v>5.9</v>
      </c>
      <c r="H1712" t="n">
        <v>0</v>
      </c>
      <c r="I1712" t="n">
        <v>0</v>
      </c>
      <c r="J1712" t="n">
        <v>0</v>
      </c>
      <c r="K1712" t="n">
        <v>0</v>
      </c>
      <c r="L1712" t="n">
        <v>0</v>
      </c>
      <c r="M1712" t="n">
        <v>0</v>
      </c>
      <c r="N1712" t="n">
        <v>0</v>
      </c>
      <c r="O1712" t="n">
        <v>0</v>
      </c>
      <c r="P1712" t="n">
        <v>0</v>
      </c>
      <c r="Q1712" t="n">
        <v>0</v>
      </c>
      <c r="R1712" s="2" t="inlineStr"/>
    </row>
    <row r="1713" ht="15" customHeight="1">
      <c r="A1713" t="inlineStr">
        <is>
          <t>A 39463-2025</t>
        </is>
      </c>
      <c r="B1713" s="1" t="n">
        <v>45889.93328703703</v>
      </c>
      <c r="C1713" s="1" t="n">
        <v>46103</v>
      </c>
      <c r="D1713" t="inlineStr">
        <is>
          <t>KRONOBERGS LÄN</t>
        </is>
      </c>
      <c r="E1713" t="inlineStr">
        <is>
          <t>LJUNGBY</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22889-2025</t>
        </is>
      </c>
      <c r="B1714" s="1" t="n">
        <v>45790.39159722222</v>
      </c>
      <c r="C1714" s="1" t="n">
        <v>46103</v>
      </c>
      <c r="D1714" t="inlineStr">
        <is>
          <t>KRONOBERGS LÄN</t>
        </is>
      </c>
      <c r="E1714" t="inlineStr">
        <is>
          <t>VÄXJÖ</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39712-2025</t>
        </is>
      </c>
      <c r="B1715" s="1" t="n">
        <v>45890.86472222222</v>
      </c>
      <c r="C1715" s="1" t="n">
        <v>46103</v>
      </c>
      <c r="D1715" t="inlineStr">
        <is>
          <t>KRONOBERGS LÄN</t>
        </is>
      </c>
      <c r="E1715" t="inlineStr">
        <is>
          <t>VÄXJÖ</t>
        </is>
      </c>
      <c r="G1715" t="n">
        <v>4.8</v>
      </c>
      <c r="H1715" t="n">
        <v>0</v>
      </c>
      <c r="I1715" t="n">
        <v>0</v>
      </c>
      <c r="J1715" t="n">
        <v>0</v>
      </c>
      <c r="K1715" t="n">
        <v>0</v>
      </c>
      <c r="L1715" t="n">
        <v>0</v>
      </c>
      <c r="M1715" t="n">
        <v>0</v>
      </c>
      <c r="N1715" t="n">
        <v>0</v>
      </c>
      <c r="O1715" t="n">
        <v>0</v>
      </c>
      <c r="P1715" t="n">
        <v>0</v>
      </c>
      <c r="Q1715" t="n">
        <v>0</v>
      </c>
      <c r="R1715" s="2" t="inlineStr"/>
    </row>
    <row r="1716" ht="15" customHeight="1">
      <c r="A1716" t="inlineStr">
        <is>
          <t>A 23006-2025</t>
        </is>
      </c>
      <c r="B1716" s="1" t="n">
        <v>45790</v>
      </c>
      <c r="C1716" s="1" t="n">
        <v>46103</v>
      </c>
      <c r="D1716" t="inlineStr">
        <is>
          <t>KRONOBERGS LÄN</t>
        </is>
      </c>
      <c r="E1716" t="inlineStr">
        <is>
          <t>ALVESTA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2114-2024</t>
        </is>
      </c>
      <c r="B1717" s="1" t="n">
        <v>45309.48623842592</v>
      </c>
      <c r="C1717" s="1" t="n">
        <v>46103</v>
      </c>
      <c r="D1717" t="inlineStr">
        <is>
          <t>KRONOBERGS LÄN</t>
        </is>
      </c>
      <c r="E1717" t="inlineStr">
        <is>
          <t>VÄXJÖ</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58426-2025</t>
        </is>
      </c>
      <c r="B1718" s="1" t="n">
        <v>45982</v>
      </c>
      <c r="C1718" s="1" t="n">
        <v>46103</v>
      </c>
      <c r="D1718" t="inlineStr">
        <is>
          <t>KRONOBERGS LÄN</t>
        </is>
      </c>
      <c r="E1718" t="inlineStr">
        <is>
          <t>ÄLMHULT</t>
        </is>
      </c>
      <c r="F1718" t="inlineStr">
        <is>
          <t>Kyrkan</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10224-2025</t>
        </is>
      </c>
      <c r="B1719" s="1" t="n">
        <v>45720.31155092592</v>
      </c>
      <c r="C1719" s="1" t="n">
        <v>46103</v>
      </c>
      <c r="D1719" t="inlineStr">
        <is>
          <t>KRONOBERGS LÄN</t>
        </is>
      </c>
      <c r="E1719" t="inlineStr">
        <is>
          <t>LJUNGBY</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39899-2025</t>
        </is>
      </c>
      <c r="B1720" s="1" t="n">
        <v>45891.63444444445</v>
      </c>
      <c r="C1720" s="1" t="n">
        <v>46103</v>
      </c>
      <c r="D1720" t="inlineStr">
        <is>
          <t>KRONOBERGS LÄN</t>
        </is>
      </c>
      <c r="E1720" t="inlineStr">
        <is>
          <t>ÄLMHULT</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29335-2024</t>
        </is>
      </c>
      <c r="B1721" s="1" t="n">
        <v>45483</v>
      </c>
      <c r="C1721" s="1" t="n">
        <v>46103</v>
      </c>
      <c r="D1721" t="inlineStr">
        <is>
          <t>KRONOBERGS LÄN</t>
        </is>
      </c>
      <c r="E1721" t="inlineStr">
        <is>
          <t>LJUNGBY</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39909-2025</t>
        </is>
      </c>
      <c r="B1722" s="1" t="n">
        <v>45891.64818287037</v>
      </c>
      <c r="C1722" s="1" t="n">
        <v>46103</v>
      </c>
      <c r="D1722" t="inlineStr">
        <is>
          <t>KRONOBERGS LÄN</t>
        </is>
      </c>
      <c r="E1722" t="inlineStr">
        <is>
          <t>LJUNGBY</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23228-2025</t>
        </is>
      </c>
      <c r="B1723" s="1" t="n">
        <v>45791.48850694444</v>
      </c>
      <c r="C1723" s="1" t="n">
        <v>46103</v>
      </c>
      <c r="D1723" t="inlineStr">
        <is>
          <t>KRONOBERGS LÄN</t>
        </is>
      </c>
      <c r="E1723" t="inlineStr">
        <is>
          <t>VÄXJÖ</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785-2022</t>
        </is>
      </c>
      <c r="B1724" s="1" t="n">
        <v>44570.82280092593</v>
      </c>
      <c r="C1724" s="1" t="n">
        <v>46103</v>
      </c>
      <c r="D1724" t="inlineStr">
        <is>
          <t>KRONOBERGS LÄN</t>
        </is>
      </c>
      <c r="E1724" t="inlineStr">
        <is>
          <t>TINGSRYD</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11777-2022</t>
        </is>
      </c>
      <c r="B1725" s="1" t="n">
        <v>44634</v>
      </c>
      <c r="C1725" s="1" t="n">
        <v>46103</v>
      </c>
      <c r="D1725" t="inlineStr">
        <is>
          <t>KRONOBERGS LÄN</t>
        </is>
      </c>
      <c r="E1725" t="inlineStr">
        <is>
          <t>LJUNGBY</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10225-2025</t>
        </is>
      </c>
      <c r="B1726" s="1" t="n">
        <v>45720.3175462963</v>
      </c>
      <c r="C1726" s="1" t="n">
        <v>46103</v>
      </c>
      <c r="D1726" t="inlineStr">
        <is>
          <t>KRONOBERGS LÄN</t>
        </is>
      </c>
      <c r="E1726" t="inlineStr">
        <is>
          <t>LJUNGBY</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58604-2025</t>
        </is>
      </c>
      <c r="B1727" s="1" t="n">
        <v>45986.43680555555</v>
      </c>
      <c r="C1727" s="1" t="n">
        <v>46103</v>
      </c>
      <c r="D1727" t="inlineStr">
        <is>
          <t>KRONOBERGS LÄN</t>
        </is>
      </c>
      <c r="E1727" t="inlineStr">
        <is>
          <t>ALVESTA</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21266-2022</t>
        </is>
      </c>
      <c r="B1728" s="1" t="n">
        <v>44705</v>
      </c>
      <c r="C1728" s="1" t="n">
        <v>46103</v>
      </c>
      <c r="D1728" t="inlineStr">
        <is>
          <t>KRONOBERGS LÄN</t>
        </is>
      </c>
      <c r="E1728" t="inlineStr">
        <is>
          <t>VÄXJÖ</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39750-2025</t>
        </is>
      </c>
      <c r="B1729" s="1" t="n">
        <v>45891.404375</v>
      </c>
      <c r="C1729" s="1" t="n">
        <v>46103</v>
      </c>
      <c r="D1729" t="inlineStr">
        <is>
          <t>KRONOBERGS LÄN</t>
        </is>
      </c>
      <c r="E1729" t="inlineStr">
        <is>
          <t>LESSEBO</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58877-2025</t>
        </is>
      </c>
      <c r="B1730" s="1" t="n">
        <v>45987.47009259259</v>
      </c>
      <c r="C1730" s="1" t="n">
        <v>46103</v>
      </c>
      <c r="D1730" t="inlineStr">
        <is>
          <t>KRONOBERGS LÄN</t>
        </is>
      </c>
      <c r="E1730" t="inlineStr">
        <is>
          <t>LJUNGBY</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23398-2025</t>
        </is>
      </c>
      <c r="B1731" s="1" t="n">
        <v>45792.30664351852</v>
      </c>
      <c r="C1731" s="1" t="n">
        <v>46103</v>
      </c>
      <c r="D1731" t="inlineStr">
        <is>
          <t>KRONOBERGS LÄN</t>
        </is>
      </c>
      <c r="E1731" t="inlineStr">
        <is>
          <t>LJUNGBY</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58883-2025</t>
        </is>
      </c>
      <c r="B1732" s="1" t="n">
        <v>45986</v>
      </c>
      <c r="C1732" s="1" t="n">
        <v>46103</v>
      </c>
      <c r="D1732" t="inlineStr">
        <is>
          <t>KRONOBERGS LÄN</t>
        </is>
      </c>
      <c r="E1732" t="inlineStr">
        <is>
          <t>ÄLMHULT</t>
        </is>
      </c>
      <c r="F1732" t="inlineStr">
        <is>
          <t>Kyrkan</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23807-2025</t>
        </is>
      </c>
      <c r="B1733" s="1" t="n">
        <v>45793.56459490741</v>
      </c>
      <c r="C1733" s="1" t="n">
        <v>46103</v>
      </c>
      <c r="D1733" t="inlineStr">
        <is>
          <t>KRONOBERGS LÄN</t>
        </is>
      </c>
      <c r="E1733" t="inlineStr">
        <is>
          <t>VÄXJÖ</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23808-2025</t>
        </is>
      </c>
      <c r="B1734" s="1" t="n">
        <v>45793.56537037037</v>
      </c>
      <c r="C1734" s="1" t="n">
        <v>46103</v>
      </c>
      <c r="D1734" t="inlineStr">
        <is>
          <t>KRONOBERGS LÄN</t>
        </is>
      </c>
      <c r="E1734" t="inlineStr">
        <is>
          <t>LJUNGBY</t>
        </is>
      </c>
      <c r="G1734" t="n">
        <v>5.9</v>
      </c>
      <c r="H1734" t="n">
        <v>0</v>
      </c>
      <c r="I1734" t="n">
        <v>0</v>
      </c>
      <c r="J1734" t="n">
        <v>0</v>
      </c>
      <c r="K1734" t="n">
        <v>0</v>
      </c>
      <c r="L1734" t="n">
        <v>0</v>
      </c>
      <c r="M1734" t="n">
        <v>0</v>
      </c>
      <c r="N1734" t="n">
        <v>0</v>
      </c>
      <c r="O1734" t="n">
        <v>0</v>
      </c>
      <c r="P1734" t="n">
        <v>0</v>
      </c>
      <c r="Q1734" t="n">
        <v>0</v>
      </c>
      <c r="R1734" s="2" t="inlineStr"/>
    </row>
    <row r="1735" ht="15" customHeight="1">
      <c r="A1735" t="inlineStr">
        <is>
          <t>A 23823-2025</t>
        </is>
      </c>
      <c r="B1735" s="1" t="n">
        <v>45793.59197916667</v>
      </c>
      <c r="C1735" s="1" t="n">
        <v>46103</v>
      </c>
      <c r="D1735" t="inlineStr">
        <is>
          <t>KRONOBERGS LÄN</t>
        </is>
      </c>
      <c r="E1735" t="inlineStr">
        <is>
          <t>TINGSRYD</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23830-2025</t>
        </is>
      </c>
      <c r="B1736" s="1" t="n">
        <v>45793.60109953704</v>
      </c>
      <c r="C1736" s="1" t="n">
        <v>46103</v>
      </c>
      <c r="D1736" t="inlineStr">
        <is>
          <t>KRONOBERGS LÄN</t>
        </is>
      </c>
      <c r="E1736" t="inlineStr">
        <is>
          <t>TINGSRYD</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35896-2025</t>
        </is>
      </c>
      <c r="B1737" s="1" t="n">
        <v>45862.48434027778</v>
      </c>
      <c r="C1737" s="1" t="n">
        <v>46103</v>
      </c>
      <c r="D1737" t="inlineStr">
        <is>
          <t>KRONOBERGS LÄN</t>
        </is>
      </c>
      <c r="E1737" t="inlineStr">
        <is>
          <t>LESSEBO</t>
        </is>
      </c>
      <c r="F1737" t="inlineStr">
        <is>
          <t>Sveaskog</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40323-2025</t>
        </is>
      </c>
      <c r="B1738" s="1" t="n">
        <v>45895</v>
      </c>
      <c r="C1738" s="1" t="n">
        <v>46103</v>
      </c>
      <c r="D1738" t="inlineStr">
        <is>
          <t>KRONOBERGS LÄN</t>
        </is>
      </c>
      <c r="E1738" t="inlineStr">
        <is>
          <t>LJUNGBY</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40415-2025</t>
        </is>
      </c>
      <c r="B1739" s="1" t="n">
        <v>45895.57550925926</v>
      </c>
      <c r="C1739" s="1" t="n">
        <v>46103</v>
      </c>
      <c r="D1739" t="inlineStr">
        <is>
          <t>KRONOBERGS LÄN</t>
        </is>
      </c>
      <c r="E1739" t="inlineStr">
        <is>
          <t>LJUNGBY</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40247-2025</t>
        </is>
      </c>
      <c r="B1740" s="1" t="n">
        <v>45895.24849537037</v>
      </c>
      <c r="C1740" s="1" t="n">
        <v>46103</v>
      </c>
      <c r="D1740" t="inlineStr">
        <is>
          <t>KRONOBERGS LÄN</t>
        </is>
      </c>
      <c r="E1740" t="inlineStr">
        <is>
          <t>VÄXJÖ</t>
        </is>
      </c>
      <c r="G1740" t="n">
        <v>8.800000000000001</v>
      </c>
      <c r="H1740" t="n">
        <v>0</v>
      </c>
      <c r="I1740" t="n">
        <v>0</v>
      </c>
      <c r="J1740" t="n">
        <v>0</v>
      </c>
      <c r="K1740" t="n">
        <v>0</v>
      </c>
      <c r="L1740" t="n">
        <v>0</v>
      </c>
      <c r="M1740" t="n">
        <v>0</v>
      </c>
      <c r="N1740" t="n">
        <v>0</v>
      </c>
      <c r="O1740" t="n">
        <v>0</v>
      </c>
      <c r="P1740" t="n">
        <v>0</v>
      </c>
      <c r="Q1740" t="n">
        <v>0</v>
      </c>
      <c r="R1740" s="2" t="inlineStr"/>
    </row>
    <row r="1741" ht="15" customHeight="1">
      <c r="A1741" t="inlineStr">
        <is>
          <t>A 859-2025</t>
        </is>
      </c>
      <c r="B1741" s="1" t="n">
        <v>45665.61208333333</v>
      </c>
      <c r="C1741" s="1" t="n">
        <v>46103</v>
      </c>
      <c r="D1741" t="inlineStr">
        <is>
          <t>KRONOBERGS LÄN</t>
        </is>
      </c>
      <c r="E1741" t="inlineStr">
        <is>
          <t>LESSEBO</t>
        </is>
      </c>
      <c r="F1741" t="inlineStr">
        <is>
          <t>Sveaskog</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40309-2025</t>
        </is>
      </c>
      <c r="B1742" s="1" t="n">
        <v>45895</v>
      </c>
      <c r="C1742" s="1" t="n">
        <v>46103</v>
      </c>
      <c r="D1742" t="inlineStr">
        <is>
          <t>KRONOBERGS LÄN</t>
        </is>
      </c>
      <c r="E1742" t="inlineStr">
        <is>
          <t>LJUNGBY</t>
        </is>
      </c>
      <c r="F1742" t="inlineStr">
        <is>
          <t>Sveaskog</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40312-2025</t>
        </is>
      </c>
      <c r="B1743" s="1" t="n">
        <v>45895.41686342593</v>
      </c>
      <c r="C1743" s="1" t="n">
        <v>46103</v>
      </c>
      <c r="D1743" t="inlineStr">
        <is>
          <t>KRONOBERGS LÄN</t>
        </is>
      </c>
      <c r="E1743" t="inlineStr">
        <is>
          <t>LJUNGBY</t>
        </is>
      </c>
      <c r="F1743" t="inlineStr">
        <is>
          <t>Sveaskog</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40317-2025</t>
        </is>
      </c>
      <c r="B1744" s="1" t="n">
        <v>45895.43204861111</v>
      </c>
      <c r="C1744" s="1" t="n">
        <v>46103</v>
      </c>
      <c r="D1744" t="inlineStr">
        <is>
          <t>KRONOBERGS LÄN</t>
        </is>
      </c>
      <c r="E1744" t="inlineStr">
        <is>
          <t>VÄXJÖ</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39338-2025</t>
        </is>
      </c>
      <c r="B1745" s="1" t="n">
        <v>45889</v>
      </c>
      <c r="C1745" s="1" t="n">
        <v>46103</v>
      </c>
      <c r="D1745" t="inlineStr">
        <is>
          <t>KRONOBERGS LÄN</t>
        </is>
      </c>
      <c r="E1745" t="inlineStr">
        <is>
          <t>ALVESTA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59294-2023</t>
        </is>
      </c>
      <c r="B1746" s="1" t="n">
        <v>45253.57648148148</v>
      </c>
      <c r="C1746" s="1" t="n">
        <v>46103</v>
      </c>
      <c r="D1746" t="inlineStr">
        <is>
          <t>KRONOBERGS LÄN</t>
        </is>
      </c>
      <c r="E1746" t="inlineStr">
        <is>
          <t>VÄXJÖ</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40432-2025</t>
        </is>
      </c>
      <c r="B1747" s="1" t="n">
        <v>45895.61116898148</v>
      </c>
      <c r="C1747" s="1" t="n">
        <v>46103</v>
      </c>
      <c r="D1747" t="inlineStr">
        <is>
          <t>KRONOBERGS LÄN</t>
        </is>
      </c>
      <c r="E1747" t="inlineStr">
        <is>
          <t>ÄLMHULT</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49917-2025</t>
        </is>
      </c>
      <c r="B1748" s="1" t="n">
        <v>45940.62878472222</v>
      </c>
      <c r="C1748" s="1" t="n">
        <v>46103</v>
      </c>
      <c r="D1748" t="inlineStr">
        <is>
          <t>KRONOBERGS LÄN</t>
        </is>
      </c>
      <c r="E1748" t="inlineStr">
        <is>
          <t>ALVESTA</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58937-2025</t>
        </is>
      </c>
      <c r="B1749" s="1" t="n">
        <v>45987.56385416666</v>
      </c>
      <c r="C1749" s="1" t="n">
        <v>46103</v>
      </c>
      <c r="D1749" t="inlineStr">
        <is>
          <t>KRONOBERGS LÄN</t>
        </is>
      </c>
      <c r="E1749" t="inlineStr">
        <is>
          <t>UPPVIDINGE</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25598-2023</t>
        </is>
      </c>
      <c r="B1750" s="1" t="n">
        <v>45089.63818287037</v>
      </c>
      <c r="C1750" s="1" t="n">
        <v>46103</v>
      </c>
      <c r="D1750" t="inlineStr">
        <is>
          <t>KRONOBERGS LÄN</t>
        </is>
      </c>
      <c r="E1750" t="inlineStr">
        <is>
          <t>ALVESTA</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23828-2025</t>
        </is>
      </c>
      <c r="B1751" s="1" t="n">
        <v>45793.59478009259</v>
      </c>
      <c r="C1751" s="1" t="n">
        <v>46103</v>
      </c>
      <c r="D1751" t="inlineStr">
        <is>
          <t>KRONOBERGS LÄN</t>
        </is>
      </c>
      <c r="E1751" t="inlineStr">
        <is>
          <t>TINGSRYD</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73827-2021</t>
        </is>
      </c>
      <c r="B1752" s="1" t="n">
        <v>44552.83320601852</v>
      </c>
      <c r="C1752" s="1" t="n">
        <v>46103</v>
      </c>
      <c r="D1752" t="inlineStr">
        <is>
          <t>KRONOBERGS LÄN</t>
        </is>
      </c>
      <c r="E1752" t="inlineStr">
        <is>
          <t>VÄXJÖ</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59340-2025</t>
        </is>
      </c>
      <c r="B1753" s="1" t="n">
        <v>45989</v>
      </c>
      <c r="C1753" s="1" t="n">
        <v>46103</v>
      </c>
      <c r="D1753" t="inlineStr">
        <is>
          <t>KRONOBERGS LÄN</t>
        </is>
      </c>
      <c r="E1753" t="inlineStr">
        <is>
          <t>ALVESTA</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23838-2025</t>
        </is>
      </c>
      <c r="B1754" s="1" t="n">
        <v>45793.61269675926</v>
      </c>
      <c r="C1754" s="1" t="n">
        <v>46103</v>
      </c>
      <c r="D1754" t="inlineStr">
        <is>
          <t>KRONOBERGS LÄN</t>
        </is>
      </c>
      <c r="E1754" t="inlineStr">
        <is>
          <t>TINGSRYD</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40058-2025</t>
        </is>
      </c>
      <c r="B1755" s="1" t="n">
        <v>45894.42326388889</v>
      </c>
      <c r="C1755" s="1" t="n">
        <v>46103</v>
      </c>
      <c r="D1755" t="inlineStr">
        <is>
          <t>KRONOBERGS LÄN</t>
        </is>
      </c>
      <c r="E1755" t="inlineStr">
        <is>
          <t>VÄXJÖ</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44345-2021</t>
        </is>
      </c>
      <c r="B1756" s="1" t="n">
        <v>44435.41690972223</v>
      </c>
      <c r="C1756" s="1" t="n">
        <v>46103</v>
      </c>
      <c r="D1756" t="inlineStr">
        <is>
          <t>KRONOBERGS LÄN</t>
        </is>
      </c>
      <c r="E1756" t="inlineStr">
        <is>
          <t>LJUNGBY</t>
        </is>
      </c>
      <c r="F1756" t="inlineStr">
        <is>
          <t>Kyrkan</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59203-2025</t>
        </is>
      </c>
      <c r="B1757" s="1" t="n">
        <v>45988.60434027778</v>
      </c>
      <c r="C1757" s="1" t="n">
        <v>46103</v>
      </c>
      <c r="D1757" t="inlineStr">
        <is>
          <t>KRONOBERGS LÄN</t>
        </is>
      </c>
      <c r="E1757" t="inlineStr">
        <is>
          <t>LJUNGBY</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2112-2024</t>
        </is>
      </c>
      <c r="B1758" s="1" t="n">
        <v>45309.48236111111</v>
      </c>
      <c r="C1758" s="1" t="n">
        <v>46103</v>
      </c>
      <c r="D1758" t="inlineStr">
        <is>
          <t>KRONOBERGS LÄN</t>
        </is>
      </c>
      <c r="E1758" t="inlineStr">
        <is>
          <t>VÄXJÖ</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57023-2023</t>
        </is>
      </c>
      <c r="B1759" s="1" t="n">
        <v>45244.79412037037</v>
      </c>
      <c r="C1759" s="1" t="n">
        <v>46103</v>
      </c>
      <c r="D1759" t="inlineStr">
        <is>
          <t>KRONOBERGS LÄN</t>
        </is>
      </c>
      <c r="E1759" t="inlineStr">
        <is>
          <t>VÄXJÖ</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57034-2023</t>
        </is>
      </c>
      <c r="B1760" s="1" t="n">
        <v>45244.871875</v>
      </c>
      <c r="C1760" s="1" t="n">
        <v>46103</v>
      </c>
      <c r="D1760" t="inlineStr">
        <is>
          <t>KRONOBERGS LÄN</t>
        </is>
      </c>
      <c r="E1760" t="inlineStr">
        <is>
          <t>VÄXJÖ</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39976-2025</t>
        </is>
      </c>
      <c r="B1761" s="1" t="n">
        <v>45893.60962962963</v>
      </c>
      <c r="C1761" s="1" t="n">
        <v>46103</v>
      </c>
      <c r="D1761" t="inlineStr">
        <is>
          <t>KRONOBERGS LÄN</t>
        </is>
      </c>
      <c r="E1761" t="inlineStr">
        <is>
          <t>LJUNGBY</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59170-2025</t>
        </is>
      </c>
      <c r="B1762" s="1" t="n">
        <v>45988.56508101852</v>
      </c>
      <c r="C1762" s="1" t="n">
        <v>46103</v>
      </c>
      <c r="D1762" t="inlineStr">
        <is>
          <t>KRONOBERGS LÄN</t>
        </is>
      </c>
      <c r="E1762" t="inlineStr">
        <is>
          <t>LJUNGBY</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55846-2025</t>
        </is>
      </c>
      <c r="B1763" s="1" t="n">
        <v>45973.31868055555</v>
      </c>
      <c r="C1763" s="1" t="n">
        <v>46103</v>
      </c>
      <c r="D1763" t="inlineStr">
        <is>
          <t>KRONOBERGS LÄN</t>
        </is>
      </c>
      <c r="E1763" t="inlineStr">
        <is>
          <t>UPPVIDINGE</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40394-2025</t>
        </is>
      </c>
      <c r="B1764" s="1" t="n">
        <v>45895.55729166666</v>
      </c>
      <c r="C1764" s="1" t="n">
        <v>46103</v>
      </c>
      <c r="D1764" t="inlineStr">
        <is>
          <t>KRONOBERGS LÄN</t>
        </is>
      </c>
      <c r="E1764" t="inlineStr">
        <is>
          <t>LJUNGBY</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42871-2024</t>
        </is>
      </c>
      <c r="B1765" s="1" t="n">
        <v>45566.67163194445</v>
      </c>
      <c r="C1765" s="1" t="n">
        <v>46103</v>
      </c>
      <c r="D1765" t="inlineStr">
        <is>
          <t>KRONOBERGS LÄN</t>
        </is>
      </c>
      <c r="E1765" t="inlineStr">
        <is>
          <t>ÄLMHULT</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59311-2025</t>
        </is>
      </c>
      <c r="B1766" s="1" t="n">
        <v>45989.30121527778</v>
      </c>
      <c r="C1766" s="1" t="n">
        <v>46103</v>
      </c>
      <c r="D1766" t="inlineStr">
        <is>
          <t>KRONOBERGS LÄN</t>
        </is>
      </c>
      <c r="E1766" t="inlineStr">
        <is>
          <t>LJUNGBY</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51759-2023</t>
        </is>
      </c>
      <c r="B1767" s="1" t="n">
        <v>45222.69469907408</v>
      </c>
      <c r="C1767" s="1" t="n">
        <v>46103</v>
      </c>
      <c r="D1767" t="inlineStr">
        <is>
          <t>KRONOBERGS LÄN</t>
        </is>
      </c>
      <c r="E1767" t="inlineStr">
        <is>
          <t>ÄLMHULT</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51766-2023</t>
        </is>
      </c>
      <c r="B1768" s="1" t="n">
        <v>45222</v>
      </c>
      <c r="C1768" s="1" t="n">
        <v>46103</v>
      </c>
      <c r="D1768" t="inlineStr">
        <is>
          <t>KRONOBERGS LÄN</t>
        </is>
      </c>
      <c r="E1768" t="inlineStr">
        <is>
          <t>ÄLMHULT</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40274-2025</t>
        </is>
      </c>
      <c r="B1769" s="1" t="n">
        <v>45895.35368055556</v>
      </c>
      <c r="C1769" s="1" t="n">
        <v>46103</v>
      </c>
      <c r="D1769" t="inlineStr">
        <is>
          <t>KRONOBERGS LÄN</t>
        </is>
      </c>
      <c r="E1769" t="inlineStr">
        <is>
          <t>LJUNGBY</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59395-2025</t>
        </is>
      </c>
      <c r="B1770" s="1" t="n">
        <v>45989.47579861111</v>
      </c>
      <c r="C1770" s="1" t="n">
        <v>46103</v>
      </c>
      <c r="D1770" t="inlineStr">
        <is>
          <t>KRONOBERGS LÄN</t>
        </is>
      </c>
      <c r="E1770" t="inlineStr">
        <is>
          <t>UPPVIDINGE</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49966-2025</t>
        </is>
      </c>
      <c r="B1771" s="1" t="n">
        <v>45941.47877314815</v>
      </c>
      <c r="C1771" s="1" t="n">
        <v>46103</v>
      </c>
      <c r="D1771" t="inlineStr">
        <is>
          <t>KRONOBERGS LÄN</t>
        </is>
      </c>
      <c r="E1771" t="inlineStr">
        <is>
          <t>UPPVIDINGE</t>
        </is>
      </c>
      <c r="F1771" t="inlineStr">
        <is>
          <t>Sveaskog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35897-2025</t>
        </is>
      </c>
      <c r="B1772" s="1" t="n">
        <v>45862.48601851852</v>
      </c>
      <c r="C1772" s="1" t="n">
        <v>46103</v>
      </c>
      <c r="D1772" t="inlineStr">
        <is>
          <t>KRONOBERGS LÄN</t>
        </is>
      </c>
      <c r="E1772" t="inlineStr">
        <is>
          <t>LESSEBO</t>
        </is>
      </c>
      <c r="F1772" t="inlineStr">
        <is>
          <t>Sveaskog</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52539-2025</t>
        </is>
      </c>
      <c r="B1773" s="1" t="n">
        <v>45954.54627314815</v>
      </c>
      <c r="C1773" s="1" t="n">
        <v>46103</v>
      </c>
      <c r="D1773" t="inlineStr">
        <is>
          <t>KRONOBERGS LÄN</t>
        </is>
      </c>
      <c r="E1773" t="inlineStr">
        <is>
          <t>LESSEBO</t>
        </is>
      </c>
      <c r="F1773" t="inlineStr">
        <is>
          <t>Sveaskog</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40307-2025</t>
        </is>
      </c>
      <c r="B1774" s="1" t="n">
        <v>45895.41074074074</v>
      </c>
      <c r="C1774" s="1" t="n">
        <v>46103</v>
      </c>
      <c r="D1774" t="inlineStr">
        <is>
          <t>KRONOBERGS LÄN</t>
        </is>
      </c>
      <c r="E1774" t="inlineStr">
        <is>
          <t>LJUNGBY</t>
        </is>
      </c>
      <c r="F1774" t="inlineStr">
        <is>
          <t>Sveaskog</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40329-2025</t>
        </is>
      </c>
      <c r="B1775" s="1" t="n">
        <v>45895</v>
      </c>
      <c r="C1775" s="1" t="n">
        <v>46103</v>
      </c>
      <c r="D1775" t="inlineStr">
        <is>
          <t>KRONOBERGS LÄN</t>
        </is>
      </c>
      <c r="E1775" t="inlineStr">
        <is>
          <t>LJUNGBY</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52859-2023</t>
        </is>
      </c>
      <c r="B1776" s="1" t="n">
        <v>45226.44923611111</v>
      </c>
      <c r="C1776" s="1" t="n">
        <v>46103</v>
      </c>
      <c r="D1776" t="inlineStr">
        <is>
          <t>KRONOBERGS LÄN</t>
        </is>
      </c>
      <c r="E1776" t="inlineStr">
        <is>
          <t>LJUNGBY</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52865-2023</t>
        </is>
      </c>
      <c r="B1777" s="1" t="n">
        <v>45226.45565972223</v>
      </c>
      <c r="C1777" s="1" t="n">
        <v>46103</v>
      </c>
      <c r="D1777" t="inlineStr">
        <is>
          <t>KRONOBERGS LÄN</t>
        </is>
      </c>
      <c r="E1777" t="inlineStr">
        <is>
          <t>UPPVIDINGE</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2081-2025</t>
        </is>
      </c>
      <c r="B1778" s="1" t="n">
        <v>45672.58387731481</v>
      </c>
      <c r="C1778" s="1" t="n">
        <v>46103</v>
      </c>
      <c r="D1778" t="inlineStr">
        <is>
          <t>KRONOBERGS LÄN</t>
        </is>
      </c>
      <c r="E1778" t="inlineStr">
        <is>
          <t>LJUNGBY</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40076-2025</t>
        </is>
      </c>
      <c r="B1779" s="1" t="n">
        <v>45894.45380787037</v>
      </c>
      <c r="C1779" s="1" t="n">
        <v>46103</v>
      </c>
      <c r="D1779" t="inlineStr">
        <is>
          <t>KRONOBERGS LÄN</t>
        </is>
      </c>
      <c r="E1779" t="inlineStr">
        <is>
          <t>VÄXJÖ</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2072-2024</t>
        </is>
      </c>
      <c r="B1780" s="1" t="n">
        <v>45309.33142361111</v>
      </c>
      <c r="C1780" s="1" t="n">
        <v>46103</v>
      </c>
      <c r="D1780" t="inlineStr">
        <is>
          <t>KRONOBERGS LÄN</t>
        </is>
      </c>
      <c r="E1780" t="inlineStr">
        <is>
          <t>ÄLMHULT</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39979-2025</t>
        </is>
      </c>
      <c r="B1781" s="1" t="n">
        <v>45893.72087962963</v>
      </c>
      <c r="C1781" s="1" t="n">
        <v>46103</v>
      </c>
      <c r="D1781" t="inlineStr">
        <is>
          <t>KRONOBERGS LÄN</t>
        </is>
      </c>
      <c r="E1781" t="inlineStr">
        <is>
          <t>LESSEBO</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16965-2021</t>
        </is>
      </c>
      <c r="B1782" s="1" t="n">
        <v>44295</v>
      </c>
      <c r="C1782" s="1" t="n">
        <v>46103</v>
      </c>
      <c r="D1782" t="inlineStr">
        <is>
          <t>KRONOBERGS LÄN</t>
        </is>
      </c>
      <c r="E1782" t="inlineStr">
        <is>
          <t>ALVESTA</t>
        </is>
      </c>
      <c r="G1782" t="n">
        <v>21.8</v>
      </c>
      <c r="H1782" t="n">
        <v>0</v>
      </c>
      <c r="I1782" t="n">
        <v>0</v>
      </c>
      <c r="J1782" t="n">
        <v>0</v>
      </c>
      <c r="K1782" t="n">
        <v>0</v>
      </c>
      <c r="L1782" t="n">
        <v>0</v>
      </c>
      <c r="M1782" t="n">
        <v>0</v>
      </c>
      <c r="N1782" t="n">
        <v>0</v>
      </c>
      <c r="O1782" t="n">
        <v>0</v>
      </c>
      <c r="P1782" t="n">
        <v>0</v>
      </c>
      <c r="Q1782" t="n">
        <v>0</v>
      </c>
      <c r="R1782" s="2" t="inlineStr"/>
    </row>
    <row r="1783" ht="15" customHeight="1">
      <c r="A1783" t="inlineStr">
        <is>
          <t>A 35534-2025</t>
        </is>
      </c>
      <c r="B1783" s="1" t="n">
        <v>45856.43934027778</v>
      </c>
      <c r="C1783" s="1" t="n">
        <v>46103</v>
      </c>
      <c r="D1783" t="inlineStr">
        <is>
          <t>KRONOBERGS LÄN</t>
        </is>
      </c>
      <c r="E1783" t="inlineStr">
        <is>
          <t>VÄXJÖ</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53287-2025</t>
        </is>
      </c>
      <c r="B1784" s="1" t="n">
        <v>45958.78780092593</v>
      </c>
      <c r="C1784" s="1" t="n">
        <v>46103</v>
      </c>
      <c r="D1784" t="inlineStr">
        <is>
          <t>KRONOBERGS LÄN</t>
        </is>
      </c>
      <c r="E1784" t="inlineStr">
        <is>
          <t>VÄXJÖ</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51867-2023</t>
        </is>
      </c>
      <c r="B1785" s="1" t="n">
        <v>45223</v>
      </c>
      <c r="C1785" s="1" t="n">
        <v>46103</v>
      </c>
      <c r="D1785" t="inlineStr">
        <is>
          <t>KRONOBERGS LÄN</t>
        </is>
      </c>
      <c r="E1785" t="inlineStr">
        <is>
          <t>LJUNGBY</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46554-2024</t>
        </is>
      </c>
      <c r="B1786" s="1" t="n">
        <v>45582.66775462963</v>
      </c>
      <c r="C1786" s="1" t="n">
        <v>46103</v>
      </c>
      <c r="D1786" t="inlineStr">
        <is>
          <t>KRONOBERGS LÄN</t>
        </is>
      </c>
      <c r="E1786" t="inlineStr">
        <is>
          <t>MARKARYD</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40310-2025</t>
        </is>
      </c>
      <c r="B1787" s="1" t="n">
        <v>45895</v>
      </c>
      <c r="C1787" s="1" t="n">
        <v>46103</v>
      </c>
      <c r="D1787" t="inlineStr">
        <is>
          <t>KRONOBERGS LÄN</t>
        </is>
      </c>
      <c r="E1787" t="inlineStr">
        <is>
          <t>LJUNGBY</t>
        </is>
      </c>
      <c r="F1787" t="inlineStr">
        <is>
          <t>Sveaskog</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40311-2025</t>
        </is>
      </c>
      <c r="B1788" s="1" t="n">
        <v>45895.41521990741</v>
      </c>
      <c r="C1788" s="1" t="n">
        <v>46103</v>
      </c>
      <c r="D1788" t="inlineStr">
        <is>
          <t>KRONOBERGS LÄN</t>
        </is>
      </c>
      <c r="E1788" t="inlineStr">
        <is>
          <t>LJUNGBY</t>
        </is>
      </c>
      <c r="F1788" t="inlineStr">
        <is>
          <t>Sveaskog</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40320-2025</t>
        </is>
      </c>
      <c r="B1789" s="1" t="n">
        <v>45895</v>
      </c>
      <c r="C1789" s="1" t="n">
        <v>46103</v>
      </c>
      <c r="D1789" t="inlineStr">
        <is>
          <t>KRONOBERGS LÄN</t>
        </is>
      </c>
      <c r="E1789" t="inlineStr">
        <is>
          <t>LJUNGBY</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59209-2025</t>
        </is>
      </c>
      <c r="B1790" s="1" t="n">
        <v>45988.61512731481</v>
      </c>
      <c r="C1790" s="1" t="n">
        <v>46103</v>
      </c>
      <c r="D1790" t="inlineStr">
        <is>
          <t>KRONOBERGS LÄN</t>
        </is>
      </c>
      <c r="E1790" t="inlineStr">
        <is>
          <t>ALVESTA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59211-2025</t>
        </is>
      </c>
      <c r="B1791" s="1" t="n">
        <v>45988.61527777778</v>
      </c>
      <c r="C1791" s="1" t="n">
        <v>46103</v>
      </c>
      <c r="D1791" t="inlineStr">
        <is>
          <t>KRONOBERGS LÄN</t>
        </is>
      </c>
      <c r="E1791" t="inlineStr">
        <is>
          <t>LJUNGBY</t>
        </is>
      </c>
      <c r="G1791" t="n">
        <v>9</v>
      </c>
      <c r="H1791" t="n">
        <v>0</v>
      </c>
      <c r="I1791" t="n">
        <v>0</v>
      </c>
      <c r="J1791" t="n">
        <v>0</v>
      </c>
      <c r="K1791" t="n">
        <v>0</v>
      </c>
      <c r="L1791" t="n">
        <v>0</v>
      </c>
      <c r="M1791" t="n">
        <v>0</v>
      </c>
      <c r="N1791" t="n">
        <v>0</v>
      </c>
      <c r="O1791" t="n">
        <v>0</v>
      </c>
      <c r="P1791" t="n">
        <v>0</v>
      </c>
      <c r="Q1791" t="n">
        <v>0</v>
      </c>
      <c r="R1791" s="2" t="inlineStr"/>
    </row>
    <row r="1792" ht="15" customHeight="1">
      <c r="A1792" t="inlineStr">
        <is>
          <t>A 54454-2022</t>
        </is>
      </c>
      <c r="B1792" s="1" t="n">
        <v>44882</v>
      </c>
      <c r="C1792" s="1" t="n">
        <v>46103</v>
      </c>
      <c r="D1792" t="inlineStr">
        <is>
          <t>KRONOBERGS LÄN</t>
        </is>
      </c>
      <c r="E1792" t="inlineStr">
        <is>
          <t>LJUNGBY</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771-2024</t>
        </is>
      </c>
      <c r="B1793" s="1" t="n">
        <v>45300.52561342593</v>
      </c>
      <c r="C1793" s="1" t="n">
        <v>46103</v>
      </c>
      <c r="D1793" t="inlineStr">
        <is>
          <t>KRONOBERGS LÄN</t>
        </is>
      </c>
      <c r="E1793" t="inlineStr">
        <is>
          <t>VÄXJÖ</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40069-2025</t>
        </is>
      </c>
      <c r="B1794" s="1" t="n">
        <v>45894.43885416666</v>
      </c>
      <c r="C1794" s="1" t="n">
        <v>46103</v>
      </c>
      <c r="D1794" t="inlineStr">
        <is>
          <t>KRONOBERGS LÄN</t>
        </is>
      </c>
      <c r="E1794" t="inlineStr">
        <is>
          <t>VÄXJÖ</t>
        </is>
      </c>
      <c r="G1794" t="n">
        <v>4.5</v>
      </c>
      <c r="H1794" t="n">
        <v>0</v>
      </c>
      <c r="I1794" t="n">
        <v>0</v>
      </c>
      <c r="J1794" t="n">
        <v>0</v>
      </c>
      <c r="K1794" t="n">
        <v>0</v>
      </c>
      <c r="L1794" t="n">
        <v>0</v>
      </c>
      <c r="M1794" t="n">
        <v>0</v>
      </c>
      <c r="N1794" t="n">
        <v>0</v>
      </c>
      <c r="O1794" t="n">
        <v>0</v>
      </c>
      <c r="P1794" t="n">
        <v>0</v>
      </c>
      <c r="Q1794" t="n">
        <v>0</v>
      </c>
      <c r="R1794" s="2" t="inlineStr"/>
    </row>
    <row r="1795" ht="15" customHeight="1">
      <c r="A1795" t="inlineStr">
        <is>
          <t>A 7175-2023</t>
        </is>
      </c>
      <c r="B1795" s="1" t="n">
        <v>44970.5053587963</v>
      </c>
      <c r="C1795" s="1" t="n">
        <v>46103</v>
      </c>
      <c r="D1795" t="inlineStr">
        <is>
          <t>KRONOBERGS LÄN</t>
        </is>
      </c>
      <c r="E1795" t="inlineStr">
        <is>
          <t>ALVESTA</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59339-2025</t>
        </is>
      </c>
      <c r="B1796" s="1" t="n">
        <v>45989.37517361111</v>
      </c>
      <c r="C1796" s="1" t="n">
        <v>46103</v>
      </c>
      <c r="D1796" t="inlineStr">
        <is>
          <t>KRONOBERGS LÄN</t>
        </is>
      </c>
      <c r="E1796" t="inlineStr">
        <is>
          <t>UPPVIDINGE</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40152-2025</t>
        </is>
      </c>
      <c r="B1797" s="1" t="n">
        <v>45894.59266203704</v>
      </c>
      <c r="C1797" s="1" t="n">
        <v>46103</v>
      </c>
      <c r="D1797" t="inlineStr">
        <is>
          <t>KRONOBERGS LÄN</t>
        </is>
      </c>
      <c r="E1797" t="inlineStr">
        <is>
          <t>UPPVIDINGE</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48264-2022</t>
        </is>
      </c>
      <c r="B1798" s="1" t="n">
        <v>44858.48517361111</v>
      </c>
      <c r="C1798" s="1" t="n">
        <v>46103</v>
      </c>
      <c r="D1798" t="inlineStr">
        <is>
          <t>KRONOBERGS LÄN</t>
        </is>
      </c>
      <c r="E1798" t="inlineStr">
        <is>
          <t>VÄXJÖ</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40894-2025</t>
        </is>
      </c>
      <c r="B1799" s="1" t="n">
        <v>45897.61160879629</v>
      </c>
      <c r="C1799" s="1" t="n">
        <v>46103</v>
      </c>
      <c r="D1799" t="inlineStr">
        <is>
          <t>KRONOBERGS LÄN</t>
        </is>
      </c>
      <c r="E1799" t="inlineStr">
        <is>
          <t>LJUNGBY</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994-2025</t>
        </is>
      </c>
      <c r="B1800" s="1" t="n">
        <v>45666.45196759259</v>
      </c>
      <c r="C1800" s="1" t="n">
        <v>46103</v>
      </c>
      <c r="D1800" t="inlineStr">
        <is>
          <t>KRONOBERGS LÄN</t>
        </is>
      </c>
      <c r="E1800" t="inlineStr">
        <is>
          <t>ALVESTA</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37029-2022</t>
        </is>
      </c>
      <c r="B1801" s="1" t="n">
        <v>44806.43237268519</v>
      </c>
      <c r="C1801" s="1" t="n">
        <v>46103</v>
      </c>
      <c r="D1801" t="inlineStr">
        <is>
          <t>KRONOBERGS LÄN</t>
        </is>
      </c>
      <c r="E1801" t="inlineStr">
        <is>
          <t>MARKARYD</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59183-2025</t>
        </is>
      </c>
      <c r="B1802" s="1" t="n">
        <v>45988.57502314815</v>
      </c>
      <c r="C1802" s="1" t="n">
        <v>46103</v>
      </c>
      <c r="D1802" t="inlineStr">
        <is>
          <t>KRONOBERGS LÄN</t>
        </is>
      </c>
      <c r="E1802" t="inlineStr">
        <is>
          <t>LJUNGBY</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59268-2025</t>
        </is>
      </c>
      <c r="B1803" s="1" t="n">
        <v>45988.67298611111</v>
      </c>
      <c r="C1803" s="1" t="n">
        <v>46103</v>
      </c>
      <c r="D1803" t="inlineStr">
        <is>
          <t>KRONOBERGS LÄN</t>
        </is>
      </c>
      <c r="E1803" t="inlineStr">
        <is>
          <t>UPPVIDINGE</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53134-2023</t>
        </is>
      </c>
      <c r="B1804" s="1" t="n">
        <v>45229</v>
      </c>
      <c r="C1804" s="1" t="n">
        <v>46103</v>
      </c>
      <c r="D1804" t="inlineStr">
        <is>
          <t>KRONOBERGS LÄN</t>
        </is>
      </c>
      <c r="E1804" t="inlineStr">
        <is>
          <t>UPPVIDINGE</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40558-2025</t>
        </is>
      </c>
      <c r="B1805" s="1" t="n">
        <v>45896.45018518518</v>
      </c>
      <c r="C1805" s="1" t="n">
        <v>46103</v>
      </c>
      <c r="D1805" t="inlineStr">
        <is>
          <t>KRONOBERGS LÄN</t>
        </is>
      </c>
      <c r="E1805" t="inlineStr">
        <is>
          <t>VÄXJÖ</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62364-2022</t>
        </is>
      </c>
      <c r="B1806" s="1" t="n">
        <v>44923</v>
      </c>
      <c r="C1806" s="1" t="n">
        <v>46103</v>
      </c>
      <c r="D1806" t="inlineStr">
        <is>
          <t>KRONOBERGS LÄN</t>
        </is>
      </c>
      <c r="E1806" t="inlineStr">
        <is>
          <t>LJUNGBY</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38688-2022</t>
        </is>
      </c>
      <c r="B1807" s="1" t="n">
        <v>44814.29394675926</v>
      </c>
      <c r="C1807" s="1" t="n">
        <v>46103</v>
      </c>
      <c r="D1807" t="inlineStr">
        <is>
          <t>KRONOBERGS LÄN</t>
        </is>
      </c>
      <c r="E1807" t="inlineStr">
        <is>
          <t>VÄXJÖ</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38689-2022</t>
        </is>
      </c>
      <c r="B1808" s="1" t="n">
        <v>44814.30006944444</v>
      </c>
      <c r="C1808" s="1" t="n">
        <v>46103</v>
      </c>
      <c r="D1808" t="inlineStr">
        <is>
          <t>KRONOBERGS LÄN</t>
        </is>
      </c>
      <c r="E1808" t="inlineStr">
        <is>
          <t>VÄXJÖ</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59175-2025</t>
        </is>
      </c>
      <c r="B1809" s="1" t="n">
        <v>45988.56981481481</v>
      </c>
      <c r="C1809" s="1" t="n">
        <v>46103</v>
      </c>
      <c r="D1809" t="inlineStr">
        <is>
          <t>KRONOBERGS LÄN</t>
        </is>
      </c>
      <c r="E1809" t="inlineStr">
        <is>
          <t>LJUNGBY</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59225-2025</t>
        </is>
      </c>
      <c r="B1810" s="1" t="n">
        <v>45988.62032407407</v>
      </c>
      <c r="C1810" s="1" t="n">
        <v>46103</v>
      </c>
      <c r="D1810" t="inlineStr">
        <is>
          <t>KRONOBERGS LÄN</t>
        </is>
      </c>
      <c r="E1810" t="inlineStr">
        <is>
          <t>ALVESTA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21023-2023</t>
        </is>
      </c>
      <c r="B1811" s="1" t="n">
        <v>45061</v>
      </c>
      <c r="C1811" s="1" t="n">
        <v>46103</v>
      </c>
      <c r="D1811" t="inlineStr">
        <is>
          <t>KRONOBERGS LÄN</t>
        </is>
      </c>
      <c r="E1811" t="inlineStr">
        <is>
          <t>VÄXJÖ</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12510-2025</t>
        </is>
      </c>
      <c r="B1812" s="1" t="n">
        <v>45730.63616898148</v>
      </c>
      <c r="C1812" s="1" t="n">
        <v>46103</v>
      </c>
      <c r="D1812" t="inlineStr">
        <is>
          <t>KRONOBERGS LÄN</t>
        </is>
      </c>
      <c r="E1812" t="inlineStr">
        <is>
          <t>LJUNGBY</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40961-2025</t>
        </is>
      </c>
      <c r="B1813" s="1" t="n">
        <v>45897.68016203704</v>
      </c>
      <c r="C1813" s="1" t="n">
        <v>46103</v>
      </c>
      <c r="D1813" t="inlineStr">
        <is>
          <t>KRONOBERGS LÄN</t>
        </is>
      </c>
      <c r="E1813" t="inlineStr">
        <is>
          <t>ÄLMHULT</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11624-2025</t>
        </is>
      </c>
      <c r="B1814" s="1" t="n">
        <v>45727.45702546297</v>
      </c>
      <c r="C1814" s="1" t="n">
        <v>46103</v>
      </c>
      <c r="D1814" t="inlineStr">
        <is>
          <t>KRONOBERGS LÄN</t>
        </is>
      </c>
      <c r="E1814" t="inlineStr">
        <is>
          <t>TINGSRYD</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59497-2025</t>
        </is>
      </c>
      <c r="B1815" s="1" t="n">
        <v>45989.61616898148</v>
      </c>
      <c r="C1815" s="1" t="n">
        <v>46103</v>
      </c>
      <c r="D1815" t="inlineStr">
        <is>
          <t>KRONOBERGS LÄN</t>
        </is>
      </c>
      <c r="E1815" t="inlineStr">
        <is>
          <t>LJUNGBY</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60487-2023</t>
        </is>
      </c>
      <c r="B1816" s="1" t="n">
        <v>45259</v>
      </c>
      <c r="C1816" s="1" t="n">
        <v>46103</v>
      </c>
      <c r="D1816" t="inlineStr">
        <is>
          <t>KRONOBERGS LÄN</t>
        </is>
      </c>
      <c r="E1816" t="inlineStr">
        <is>
          <t>ALVESTA</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10489-2024</t>
        </is>
      </c>
      <c r="B1817" s="1" t="n">
        <v>45366</v>
      </c>
      <c r="C1817" s="1" t="n">
        <v>46103</v>
      </c>
      <c r="D1817" t="inlineStr">
        <is>
          <t>KRONOBERGS LÄN</t>
        </is>
      </c>
      <c r="E1817" t="inlineStr">
        <is>
          <t>UPPVIDINGE</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59302-2025</t>
        </is>
      </c>
      <c r="B1818" s="1" t="n">
        <v>45988.90204861111</v>
      </c>
      <c r="C1818" s="1" t="n">
        <v>46103</v>
      </c>
      <c r="D1818" t="inlineStr">
        <is>
          <t>KRONOBERGS LÄN</t>
        </is>
      </c>
      <c r="E1818" t="inlineStr">
        <is>
          <t>LJUNGBY</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52873-2022</t>
        </is>
      </c>
      <c r="B1819" s="1" t="n">
        <v>44875</v>
      </c>
      <c r="C1819" s="1" t="n">
        <v>46103</v>
      </c>
      <c r="D1819" t="inlineStr">
        <is>
          <t>KRONOBERGS LÄN</t>
        </is>
      </c>
      <c r="E1819" t="inlineStr">
        <is>
          <t>MARKARYD</t>
        </is>
      </c>
      <c r="G1819" t="n">
        <v>5.6</v>
      </c>
      <c r="H1819" t="n">
        <v>0</v>
      </c>
      <c r="I1819" t="n">
        <v>0</v>
      </c>
      <c r="J1819" t="n">
        <v>0</v>
      </c>
      <c r="K1819" t="n">
        <v>0</v>
      </c>
      <c r="L1819" t="n">
        <v>0</v>
      </c>
      <c r="M1819" t="n">
        <v>0</v>
      </c>
      <c r="N1819" t="n">
        <v>0</v>
      </c>
      <c r="O1819" t="n">
        <v>0</v>
      </c>
      <c r="P1819" t="n">
        <v>0</v>
      </c>
      <c r="Q1819" t="n">
        <v>0</v>
      </c>
      <c r="R1819" s="2" t="inlineStr"/>
    </row>
    <row r="1820" ht="15" customHeight="1">
      <c r="A1820" t="inlineStr">
        <is>
          <t>A 40875-2025</t>
        </is>
      </c>
      <c r="B1820" s="1" t="n">
        <v>45897.57736111111</v>
      </c>
      <c r="C1820" s="1" t="n">
        <v>46103</v>
      </c>
      <c r="D1820" t="inlineStr">
        <is>
          <t>KRONOBERGS LÄN</t>
        </is>
      </c>
      <c r="E1820" t="inlineStr">
        <is>
          <t>VÄXJÖ</t>
        </is>
      </c>
      <c r="F1820" t="inlineStr">
        <is>
          <t>Sveaskog</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40797-2025</t>
        </is>
      </c>
      <c r="B1821" s="1" t="n">
        <v>45897.44971064815</v>
      </c>
      <c r="C1821" s="1" t="n">
        <v>46103</v>
      </c>
      <c r="D1821" t="inlineStr">
        <is>
          <t>KRONOBERGS LÄN</t>
        </is>
      </c>
      <c r="E1821" t="inlineStr">
        <is>
          <t>UPPVIDINGE</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6812-2025</t>
        </is>
      </c>
      <c r="B1822" s="1" t="n">
        <v>45700.69467592592</v>
      </c>
      <c r="C1822" s="1" t="n">
        <v>46103</v>
      </c>
      <c r="D1822" t="inlineStr">
        <is>
          <t>KRONOBERGS LÄN</t>
        </is>
      </c>
      <c r="E1822" t="inlineStr">
        <is>
          <t>LJUNGBY</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30097-2022</t>
        </is>
      </c>
      <c r="B1823" s="1" t="n">
        <v>44757</v>
      </c>
      <c r="C1823" s="1" t="n">
        <v>46103</v>
      </c>
      <c r="D1823" t="inlineStr">
        <is>
          <t>KRONOBERGS LÄN</t>
        </is>
      </c>
      <c r="E1823" t="inlineStr">
        <is>
          <t>UPPVIDINGE</t>
        </is>
      </c>
      <c r="F1823" t="inlineStr">
        <is>
          <t>Sveaskog</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40787-2025</t>
        </is>
      </c>
      <c r="B1824" s="1" t="n">
        <v>45897.44570601852</v>
      </c>
      <c r="C1824" s="1" t="n">
        <v>46103</v>
      </c>
      <c r="D1824" t="inlineStr">
        <is>
          <t>KRONOBERGS LÄN</t>
        </is>
      </c>
      <c r="E1824" t="inlineStr">
        <is>
          <t>ÄLMHULT</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53053-2022</t>
        </is>
      </c>
      <c r="B1825" s="1" t="n">
        <v>44876.35701388889</v>
      </c>
      <c r="C1825" s="1" t="n">
        <v>46103</v>
      </c>
      <c r="D1825" t="inlineStr">
        <is>
          <t>KRONOBERGS LÄN</t>
        </is>
      </c>
      <c r="E1825" t="inlineStr">
        <is>
          <t>ÄLMHULT</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59970-2025</t>
        </is>
      </c>
      <c r="B1826" s="1" t="n">
        <v>45993</v>
      </c>
      <c r="C1826" s="1" t="n">
        <v>46103</v>
      </c>
      <c r="D1826" t="inlineStr">
        <is>
          <t>KRONOBERGS LÄN</t>
        </is>
      </c>
      <c r="E1826" t="inlineStr">
        <is>
          <t>LJUNGBY</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59803-2025</t>
        </is>
      </c>
      <c r="B1827" s="1" t="n">
        <v>45992.62179398148</v>
      </c>
      <c r="C1827" s="1" t="n">
        <v>46103</v>
      </c>
      <c r="D1827" t="inlineStr">
        <is>
          <t>KRONOBERGS LÄN</t>
        </is>
      </c>
      <c r="E1827" t="inlineStr">
        <is>
          <t>ÄLMHULT</t>
        </is>
      </c>
      <c r="F1827" t="inlineStr">
        <is>
          <t>Sveaskog</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59813-2025</t>
        </is>
      </c>
      <c r="B1828" s="1" t="n">
        <v>45992.6330787037</v>
      </c>
      <c r="C1828" s="1" t="n">
        <v>46103</v>
      </c>
      <c r="D1828" t="inlineStr">
        <is>
          <t>KRONOBERGS LÄN</t>
        </is>
      </c>
      <c r="E1828" t="inlineStr">
        <is>
          <t>LJUNGBY</t>
        </is>
      </c>
      <c r="G1828" t="n">
        <v>6.4</v>
      </c>
      <c r="H1828" t="n">
        <v>0</v>
      </c>
      <c r="I1828" t="n">
        <v>0</v>
      </c>
      <c r="J1828" t="n">
        <v>0</v>
      </c>
      <c r="K1828" t="n">
        <v>0</v>
      </c>
      <c r="L1828" t="n">
        <v>0</v>
      </c>
      <c r="M1828" t="n">
        <v>0</v>
      </c>
      <c r="N1828" t="n">
        <v>0</v>
      </c>
      <c r="O1828" t="n">
        <v>0</v>
      </c>
      <c r="P1828" t="n">
        <v>0</v>
      </c>
      <c r="Q1828" t="n">
        <v>0</v>
      </c>
      <c r="R1828" s="2" t="inlineStr"/>
    </row>
    <row r="1829" ht="15" customHeight="1">
      <c r="A1829" t="inlineStr">
        <is>
          <t>A 57235-2024</t>
        </is>
      </c>
      <c r="B1829" s="1" t="n">
        <v>45629.54510416667</v>
      </c>
      <c r="C1829" s="1" t="n">
        <v>46103</v>
      </c>
      <c r="D1829" t="inlineStr">
        <is>
          <t>KRONOBERGS LÄN</t>
        </is>
      </c>
      <c r="E1829" t="inlineStr">
        <is>
          <t>ALVESTA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49087-2024</t>
        </is>
      </c>
      <c r="B1830" s="1" t="n">
        <v>45594.6340625</v>
      </c>
      <c r="C1830" s="1" t="n">
        <v>46103</v>
      </c>
      <c r="D1830" t="inlineStr">
        <is>
          <t>KRONOBERGS LÄN</t>
        </is>
      </c>
      <c r="E1830" t="inlineStr">
        <is>
          <t>VÄXJÖ</t>
        </is>
      </c>
      <c r="F1830" t="inlineStr">
        <is>
          <t>Sveaskog</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40856-2025</t>
        </is>
      </c>
      <c r="B1831" s="1" t="n">
        <v>45897.55859953703</v>
      </c>
      <c r="C1831" s="1" t="n">
        <v>46103</v>
      </c>
      <c r="D1831" t="inlineStr">
        <is>
          <t>KRONOBERGS LÄN</t>
        </is>
      </c>
      <c r="E1831" t="inlineStr">
        <is>
          <t>TINGSRYD</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40865-2025</t>
        </is>
      </c>
      <c r="B1832" s="1" t="n">
        <v>45897.56900462963</v>
      </c>
      <c r="C1832" s="1" t="n">
        <v>46103</v>
      </c>
      <c r="D1832" t="inlineStr">
        <is>
          <t>KRONOBERGS LÄN</t>
        </is>
      </c>
      <c r="E1832" t="inlineStr">
        <is>
          <t>TINGSRYD</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59797-2025</t>
        </is>
      </c>
      <c r="B1833" s="1" t="n">
        <v>45992</v>
      </c>
      <c r="C1833" s="1" t="n">
        <v>46103</v>
      </c>
      <c r="D1833" t="inlineStr">
        <is>
          <t>KRONOBERGS LÄN</t>
        </is>
      </c>
      <c r="E1833" t="inlineStr">
        <is>
          <t>ALVESTA</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40526-2025</t>
        </is>
      </c>
      <c r="B1834" s="1" t="n">
        <v>45896.37341435185</v>
      </c>
      <c r="C1834" s="1" t="n">
        <v>46103</v>
      </c>
      <c r="D1834" t="inlineStr">
        <is>
          <t>KRONOBERGS LÄN</t>
        </is>
      </c>
      <c r="E1834" t="inlineStr">
        <is>
          <t>VÄXJÖ</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46869-2022</t>
        </is>
      </c>
      <c r="B1835" s="1" t="n">
        <v>44851.61237268519</v>
      </c>
      <c r="C1835" s="1" t="n">
        <v>46103</v>
      </c>
      <c r="D1835" t="inlineStr">
        <is>
          <t>KRONOBERGS LÄN</t>
        </is>
      </c>
      <c r="E1835" t="inlineStr">
        <is>
          <t>LJUNGBY</t>
        </is>
      </c>
      <c r="F1835" t="inlineStr">
        <is>
          <t>Sveaskog</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40953-2025</t>
        </is>
      </c>
      <c r="B1836" s="1" t="n">
        <v>45897</v>
      </c>
      <c r="C1836" s="1" t="n">
        <v>46103</v>
      </c>
      <c r="D1836" t="inlineStr">
        <is>
          <t>KRONOBERGS LÄN</t>
        </is>
      </c>
      <c r="E1836" t="inlineStr">
        <is>
          <t>UPPVIDINGE</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59601-2025</t>
        </is>
      </c>
      <c r="B1837" s="1" t="n">
        <v>45992.35875</v>
      </c>
      <c r="C1837" s="1" t="n">
        <v>46103</v>
      </c>
      <c r="D1837" t="inlineStr">
        <is>
          <t>KRONOBERGS LÄN</t>
        </is>
      </c>
      <c r="E1837" t="inlineStr">
        <is>
          <t>LJUNGBY</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59667-2025</t>
        </is>
      </c>
      <c r="B1838" s="1" t="n">
        <v>45992.45549768519</v>
      </c>
      <c r="C1838" s="1" t="n">
        <v>46103</v>
      </c>
      <c r="D1838" t="inlineStr">
        <is>
          <t>KRONOBERGS LÄN</t>
        </is>
      </c>
      <c r="E1838" t="inlineStr">
        <is>
          <t>TINGSRYD</t>
        </is>
      </c>
      <c r="G1838" t="n">
        <v>4.7</v>
      </c>
      <c r="H1838" t="n">
        <v>0</v>
      </c>
      <c r="I1838" t="n">
        <v>0</v>
      </c>
      <c r="J1838" t="n">
        <v>0</v>
      </c>
      <c r="K1838" t="n">
        <v>0</v>
      </c>
      <c r="L1838" t="n">
        <v>0</v>
      </c>
      <c r="M1838" t="n">
        <v>0</v>
      </c>
      <c r="N1838" t="n">
        <v>0</v>
      </c>
      <c r="O1838" t="n">
        <v>0</v>
      </c>
      <c r="P1838" t="n">
        <v>0</v>
      </c>
      <c r="Q1838" t="n">
        <v>0</v>
      </c>
      <c r="R1838" s="2" t="inlineStr"/>
    </row>
    <row r="1839" ht="15" customHeight="1">
      <c r="A1839" t="inlineStr">
        <is>
          <t>A 40581-2025</t>
        </is>
      </c>
      <c r="B1839" s="1" t="n">
        <v>45896.51361111111</v>
      </c>
      <c r="C1839" s="1" t="n">
        <v>46103</v>
      </c>
      <c r="D1839" t="inlineStr">
        <is>
          <t>KRONOBERGS LÄN</t>
        </is>
      </c>
      <c r="E1839" t="inlineStr">
        <is>
          <t>TINGSRYD</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55847-2025</t>
        </is>
      </c>
      <c r="B1840" s="1" t="n">
        <v>45973.32129629629</v>
      </c>
      <c r="C1840" s="1" t="n">
        <v>46103</v>
      </c>
      <c r="D1840" t="inlineStr">
        <is>
          <t>KRONOBERGS LÄN</t>
        </is>
      </c>
      <c r="E1840" t="inlineStr">
        <is>
          <t>UPPVIDINGE</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40724-2025</t>
        </is>
      </c>
      <c r="B1841" s="1" t="n">
        <v>45897.34547453704</v>
      </c>
      <c r="C1841" s="1" t="n">
        <v>46103</v>
      </c>
      <c r="D1841" t="inlineStr">
        <is>
          <t>KRONOBERGS LÄN</t>
        </is>
      </c>
      <c r="E1841" t="inlineStr">
        <is>
          <t>UPPVIDINGE</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15294-2025</t>
        </is>
      </c>
      <c r="B1842" s="1" t="n">
        <v>45745.75537037037</v>
      </c>
      <c r="C1842" s="1" t="n">
        <v>46103</v>
      </c>
      <c r="D1842" t="inlineStr">
        <is>
          <t>KRONOBERGS LÄN</t>
        </is>
      </c>
      <c r="E1842" t="inlineStr">
        <is>
          <t>UPPVIDINGE</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45838-2022</t>
        </is>
      </c>
      <c r="B1843" s="1" t="n">
        <v>44846.52234953704</v>
      </c>
      <c r="C1843" s="1" t="n">
        <v>46103</v>
      </c>
      <c r="D1843" t="inlineStr">
        <is>
          <t>KRONOBERGS LÄN</t>
        </is>
      </c>
      <c r="E1843" t="inlineStr">
        <is>
          <t>LESSEBO</t>
        </is>
      </c>
      <c r="G1843" t="n">
        <v>4.4</v>
      </c>
      <c r="H1843" t="n">
        <v>0</v>
      </c>
      <c r="I1843" t="n">
        <v>0</v>
      </c>
      <c r="J1843" t="n">
        <v>0</v>
      </c>
      <c r="K1843" t="n">
        <v>0</v>
      </c>
      <c r="L1843" t="n">
        <v>0</v>
      </c>
      <c r="M1843" t="n">
        <v>0</v>
      </c>
      <c r="N1843" t="n">
        <v>0</v>
      </c>
      <c r="O1843" t="n">
        <v>0</v>
      </c>
      <c r="P1843" t="n">
        <v>0</v>
      </c>
      <c r="Q1843" t="n">
        <v>0</v>
      </c>
      <c r="R1843" s="2" t="inlineStr"/>
    </row>
    <row r="1844" ht="15" customHeight="1">
      <c r="A1844" t="inlineStr">
        <is>
          <t>A 74236-2021</t>
        </is>
      </c>
      <c r="B1844" s="1" t="n">
        <v>44558.59878472222</v>
      </c>
      <c r="C1844" s="1" t="n">
        <v>46103</v>
      </c>
      <c r="D1844" t="inlineStr">
        <is>
          <t>KRONOBERGS LÄN</t>
        </is>
      </c>
      <c r="E1844" t="inlineStr">
        <is>
          <t>TINGSRYD</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40612-2025</t>
        </is>
      </c>
      <c r="B1845" s="1" t="n">
        <v>45896</v>
      </c>
      <c r="C1845" s="1" t="n">
        <v>46103</v>
      </c>
      <c r="D1845" t="inlineStr">
        <is>
          <t>KRONOBERGS LÄN</t>
        </is>
      </c>
      <c r="E1845" t="inlineStr">
        <is>
          <t>ALVESTA</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412-2025</t>
        </is>
      </c>
      <c r="B1846" s="1" t="n">
        <v>45663</v>
      </c>
      <c r="C1846" s="1" t="n">
        <v>46103</v>
      </c>
      <c r="D1846" t="inlineStr">
        <is>
          <t>KRONOBERGS LÄN</t>
        </is>
      </c>
      <c r="E1846" t="inlineStr">
        <is>
          <t>MARKARYD</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1808-2025</t>
        </is>
      </c>
      <c r="B1847" s="1" t="n">
        <v>45670</v>
      </c>
      <c r="C1847" s="1" t="n">
        <v>46103</v>
      </c>
      <c r="D1847" t="inlineStr">
        <is>
          <t>KRONOBERGS LÄN</t>
        </is>
      </c>
      <c r="E1847" t="inlineStr">
        <is>
          <t>ALVESTA</t>
        </is>
      </c>
      <c r="F1847" t="inlineStr">
        <is>
          <t>Kyrkan</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30103-2025</t>
        </is>
      </c>
      <c r="B1848" s="1" t="n">
        <v>45826</v>
      </c>
      <c r="C1848" s="1" t="n">
        <v>46103</v>
      </c>
      <c r="D1848" t="inlineStr">
        <is>
          <t>KRONOBERGS LÄN</t>
        </is>
      </c>
      <c r="E1848" t="inlineStr">
        <is>
          <t>LJUNGBY</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39099-2023</t>
        </is>
      </c>
      <c r="B1849" s="1" t="n">
        <v>45164</v>
      </c>
      <c r="C1849" s="1" t="n">
        <v>46103</v>
      </c>
      <c r="D1849" t="inlineStr">
        <is>
          <t>KRONOBERGS LÄN</t>
        </is>
      </c>
      <c r="E1849" t="inlineStr">
        <is>
          <t>TINGSRYD</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39103-2023</t>
        </is>
      </c>
      <c r="B1850" s="1" t="n">
        <v>45164.6913425926</v>
      </c>
      <c r="C1850" s="1" t="n">
        <v>46103</v>
      </c>
      <c r="D1850" t="inlineStr">
        <is>
          <t>KRONOBERGS LÄN</t>
        </is>
      </c>
      <c r="E1850" t="inlineStr">
        <is>
          <t>TINGSRYD</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59963-2025</t>
        </is>
      </c>
      <c r="B1851" s="1" t="n">
        <v>45993.4796412037</v>
      </c>
      <c r="C1851" s="1" t="n">
        <v>46103</v>
      </c>
      <c r="D1851" t="inlineStr">
        <is>
          <t>KRONOBERGS LÄN</t>
        </is>
      </c>
      <c r="E1851" t="inlineStr">
        <is>
          <t>LJUNGBY</t>
        </is>
      </c>
      <c r="G1851" t="n">
        <v>5.5</v>
      </c>
      <c r="H1851" t="n">
        <v>0</v>
      </c>
      <c r="I1851" t="n">
        <v>0</v>
      </c>
      <c r="J1851" t="n">
        <v>0</v>
      </c>
      <c r="K1851" t="n">
        <v>0</v>
      </c>
      <c r="L1851" t="n">
        <v>0</v>
      </c>
      <c r="M1851" t="n">
        <v>0</v>
      </c>
      <c r="N1851" t="n">
        <v>0</v>
      </c>
      <c r="O1851" t="n">
        <v>0</v>
      </c>
      <c r="P1851" t="n">
        <v>0</v>
      </c>
      <c r="Q1851" t="n">
        <v>0</v>
      </c>
      <c r="R1851" s="2" t="inlineStr"/>
    </row>
    <row r="1852" ht="15" customHeight="1">
      <c r="A1852" t="inlineStr">
        <is>
          <t>A 40673-2025</t>
        </is>
      </c>
      <c r="B1852" s="1" t="n">
        <v>45896.68458333334</v>
      </c>
      <c r="C1852" s="1" t="n">
        <v>46103</v>
      </c>
      <c r="D1852" t="inlineStr">
        <is>
          <t>KRONOBERGS LÄN</t>
        </is>
      </c>
      <c r="E1852" t="inlineStr">
        <is>
          <t>ÄLMHULT</t>
        </is>
      </c>
      <c r="G1852" t="n">
        <v>6.7</v>
      </c>
      <c r="H1852" t="n">
        <v>0</v>
      </c>
      <c r="I1852" t="n">
        <v>0</v>
      </c>
      <c r="J1852" t="n">
        <v>0</v>
      </c>
      <c r="K1852" t="n">
        <v>0</v>
      </c>
      <c r="L1852" t="n">
        <v>0</v>
      </c>
      <c r="M1852" t="n">
        <v>0</v>
      </c>
      <c r="N1852" t="n">
        <v>0</v>
      </c>
      <c r="O1852" t="n">
        <v>0</v>
      </c>
      <c r="P1852" t="n">
        <v>0</v>
      </c>
      <c r="Q1852" t="n">
        <v>0</v>
      </c>
      <c r="R1852" s="2" t="inlineStr"/>
    </row>
    <row r="1853" ht="15" customHeight="1">
      <c r="A1853" t="inlineStr">
        <is>
          <t>A 40950-2025</t>
        </is>
      </c>
      <c r="B1853" s="1" t="n">
        <v>45897</v>
      </c>
      <c r="C1853" s="1" t="n">
        <v>46103</v>
      </c>
      <c r="D1853" t="inlineStr">
        <is>
          <t>KRONOBERGS LÄN</t>
        </is>
      </c>
      <c r="E1853" t="inlineStr">
        <is>
          <t>UPPVIDINGE</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23436-2025</t>
        </is>
      </c>
      <c r="B1854" s="1" t="n">
        <v>45792.37166666667</v>
      </c>
      <c r="C1854" s="1" t="n">
        <v>46103</v>
      </c>
      <c r="D1854" t="inlineStr">
        <is>
          <t>KRONOBERGS LÄN</t>
        </is>
      </c>
      <c r="E1854" t="inlineStr">
        <is>
          <t>MARKARYD</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40727-2025</t>
        </is>
      </c>
      <c r="B1855" s="1" t="n">
        <v>45897.35350694445</v>
      </c>
      <c r="C1855" s="1" t="n">
        <v>46103</v>
      </c>
      <c r="D1855" t="inlineStr">
        <is>
          <t>KRONOBERGS LÄN</t>
        </is>
      </c>
      <c r="E1855" t="inlineStr">
        <is>
          <t>UPPVIDINGE</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40578-2025</t>
        </is>
      </c>
      <c r="B1856" s="1" t="n">
        <v>45896.51149305556</v>
      </c>
      <c r="C1856" s="1" t="n">
        <v>46103</v>
      </c>
      <c r="D1856" t="inlineStr">
        <is>
          <t>KRONOBERGS LÄN</t>
        </is>
      </c>
      <c r="E1856" t="inlineStr">
        <is>
          <t>TINGSRYD</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59794-2025</t>
        </is>
      </c>
      <c r="B1857" s="1" t="n">
        <v>45992.61707175926</v>
      </c>
      <c r="C1857" s="1" t="n">
        <v>46103</v>
      </c>
      <c r="D1857" t="inlineStr">
        <is>
          <t>KRONOBERGS LÄN</t>
        </is>
      </c>
      <c r="E1857" t="inlineStr">
        <is>
          <t>LJUNGBY</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41462-2025</t>
        </is>
      </c>
      <c r="B1858" s="1" t="n">
        <v>45901.44929398148</v>
      </c>
      <c r="C1858" s="1" t="n">
        <v>46103</v>
      </c>
      <c r="D1858" t="inlineStr">
        <is>
          <t>KRONOBERGS LÄN</t>
        </is>
      </c>
      <c r="E1858" t="inlineStr">
        <is>
          <t>UPPVIDINGE</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63824-2021</t>
        </is>
      </c>
      <c r="B1859" s="1" t="n">
        <v>44509.57325231482</v>
      </c>
      <c r="C1859" s="1" t="n">
        <v>46103</v>
      </c>
      <c r="D1859" t="inlineStr">
        <is>
          <t>KRONOBERGS LÄN</t>
        </is>
      </c>
      <c r="E1859" t="inlineStr">
        <is>
          <t>TINGSRYD</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39258-2023</t>
        </is>
      </c>
      <c r="B1860" s="1" t="n">
        <v>45166.48193287037</v>
      </c>
      <c r="C1860" s="1" t="n">
        <v>46103</v>
      </c>
      <c r="D1860" t="inlineStr">
        <is>
          <t>KRONOBERGS LÄN</t>
        </is>
      </c>
      <c r="E1860" t="inlineStr">
        <is>
          <t>ALVESTA</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59807-2025</t>
        </is>
      </c>
      <c r="B1861" s="1" t="n">
        <v>45992</v>
      </c>
      <c r="C1861" s="1" t="n">
        <v>46103</v>
      </c>
      <c r="D1861" t="inlineStr">
        <is>
          <t>KRONOBERGS LÄN</t>
        </is>
      </c>
      <c r="E1861" t="inlineStr">
        <is>
          <t>ALVESTA</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50916-2023</t>
        </is>
      </c>
      <c r="B1862" s="1" t="n">
        <v>45218.430625</v>
      </c>
      <c r="C1862" s="1" t="n">
        <v>46103</v>
      </c>
      <c r="D1862" t="inlineStr">
        <is>
          <t>KRONOBERGS LÄN</t>
        </is>
      </c>
      <c r="E1862" t="inlineStr">
        <is>
          <t>MARKARYD</t>
        </is>
      </c>
      <c r="G1862" t="n">
        <v>5.4</v>
      </c>
      <c r="H1862" t="n">
        <v>0</v>
      </c>
      <c r="I1862" t="n">
        <v>0</v>
      </c>
      <c r="J1862" t="n">
        <v>0</v>
      </c>
      <c r="K1862" t="n">
        <v>0</v>
      </c>
      <c r="L1862" t="n">
        <v>0</v>
      </c>
      <c r="M1862" t="n">
        <v>0</v>
      </c>
      <c r="N1862" t="n">
        <v>0</v>
      </c>
      <c r="O1862" t="n">
        <v>0</v>
      </c>
      <c r="P1862" t="n">
        <v>0</v>
      </c>
      <c r="Q1862" t="n">
        <v>0</v>
      </c>
      <c r="R1862" s="2" t="inlineStr"/>
    </row>
    <row r="1863" ht="15" customHeight="1">
      <c r="A1863" t="inlineStr">
        <is>
          <t>A 59584-2025</t>
        </is>
      </c>
      <c r="B1863" s="1" t="n">
        <v>45992.3244212963</v>
      </c>
      <c r="C1863" s="1" t="n">
        <v>46103</v>
      </c>
      <c r="D1863" t="inlineStr">
        <is>
          <t>KRONOBERGS LÄN</t>
        </is>
      </c>
      <c r="E1863" t="inlineStr">
        <is>
          <t>TINGSRYD</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3495-2025</t>
        </is>
      </c>
      <c r="B1864" s="1" t="n">
        <v>45680</v>
      </c>
      <c r="C1864" s="1" t="n">
        <v>46103</v>
      </c>
      <c r="D1864" t="inlineStr">
        <is>
          <t>KRONOBERGS LÄN</t>
        </is>
      </c>
      <c r="E1864" t="inlineStr">
        <is>
          <t>ÄLMHULT</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41129-2025</t>
        </is>
      </c>
      <c r="B1865" s="1" t="n">
        <v>45898.47987268519</v>
      </c>
      <c r="C1865" s="1" t="n">
        <v>46103</v>
      </c>
      <c r="D1865" t="inlineStr">
        <is>
          <t>KRONOBERGS LÄN</t>
        </is>
      </c>
      <c r="E1865" t="inlineStr">
        <is>
          <t>ÄLMHULT</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41146-2025</t>
        </is>
      </c>
      <c r="B1866" s="1" t="n">
        <v>45898.49733796297</v>
      </c>
      <c r="C1866" s="1" t="n">
        <v>46103</v>
      </c>
      <c r="D1866" t="inlineStr">
        <is>
          <t>KRONOBERGS LÄN</t>
        </is>
      </c>
      <c r="E1866" t="inlineStr">
        <is>
          <t>LJUNGBY</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4829-2024</t>
        </is>
      </c>
      <c r="B1867" s="1" t="n">
        <v>45329</v>
      </c>
      <c r="C1867" s="1" t="n">
        <v>46103</v>
      </c>
      <c r="D1867" t="inlineStr">
        <is>
          <t>KRONOBERGS LÄN</t>
        </is>
      </c>
      <c r="E1867" t="inlineStr">
        <is>
          <t>MARKARYD</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29895-2023</t>
        </is>
      </c>
      <c r="B1868" s="1" t="n">
        <v>45107.63880787037</v>
      </c>
      <c r="C1868" s="1" t="n">
        <v>46103</v>
      </c>
      <c r="D1868" t="inlineStr">
        <is>
          <t>KRONOBERGS LÄN</t>
        </is>
      </c>
      <c r="E1868" t="inlineStr">
        <is>
          <t>TINGSRYD</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57275-2025</t>
        </is>
      </c>
      <c r="B1869" s="1" t="n">
        <v>45979.68732638889</v>
      </c>
      <c r="C1869" s="1" t="n">
        <v>46103</v>
      </c>
      <c r="D1869" t="inlineStr">
        <is>
          <t>KRONOBERGS LÄN</t>
        </is>
      </c>
      <c r="E1869" t="inlineStr">
        <is>
          <t>TINGSRYD</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64295-2023</t>
        </is>
      </c>
      <c r="B1870" s="1" t="n">
        <v>45280.34623842593</v>
      </c>
      <c r="C1870" s="1" t="n">
        <v>46103</v>
      </c>
      <c r="D1870" t="inlineStr">
        <is>
          <t>KRONOBERGS LÄN</t>
        </is>
      </c>
      <c r="E1870" t="inlineStr">
        <is>
          <t>VÄXJÖ</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23401-2025</t>
        </is>
      </c>
      <c r="B1871" s="1" t="n">
        <v>45792.33170138889</v>
      </c>
      <c r="C1871" s="1" t="n">
        <v>46103</v>
      </c>
      <c r="D1871" t="inlineStr">
        <is>
          <t>KRONOBERGS LÄN</t>
        </is>
      </c>
      <c r="E1871" t="inlineStr">
        <is>
          <t>LJUNGBY</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64338-2023</t>
        </is>
      </c>
      <c r="B1872" s="1" t="n">
        <v>45279</v>
      </c>
      <c r="C1872" s="1" t="n">
        <v>46103</v>
      </c>
      <c r="D1872" t="inlineStr">
        <is>
          <t>KRONOBERGS LÄN</t>
        </is>
      </c>
      <c r="E1872" t="inlineStr">
        <is>
          <t>LJUNGBY</t>
        </is>
      </c>
      <c r="F1872" t="inlineStr">
        <is>
          <t>Kyrkan</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52010-2023</t>
        </is>
      </c>
      <c r="B1873" s="1" t="n">
        <v>45223.60331018519</v>
      </c>
      <c r="C1873" s="1" t="n">
        <v>46103</v>
      </c>
      <c r="D1873" t="inlineStr">
        <is>
          <t>KRONOBERGS LÄN</t>
        </is>
      </c>
      <c r="E1873" t="inlineStr">
        <is>
          <t>UPPVIDINGE</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52061-2023</t>
        </is>
      </c>
      <c r="B1874" s="1" t="n">
        <v>45216</v>
      </c>
      <c r="C1874" s="1" t="n">
        <v>46103</v>
      </c>
      <c r="D1874" t="inlineStr">
        <is>
          <t>KRONOBERGS LÄN</t>
        </is>
      </c>
      <c r="E1874" t="inlineStr">
        <is>
          <t>ALVESTA</t>
        </is>
      </c>
      <c r="G1874" t="n">
        <v>6</v>
      </c>
      <c r="H1874" t="n">
        <v>0</v>
      </c>
      <c r="I1874" t="n">
        <v>0</v>
      </c>
      <c r="J1874" t="n">
        <v>0</v>
      </c>
      <c r="K1874" t="n">
        <v>0</v>
      </c>
      <c r="L1874" t="n">
        <v>0</v>
      </c>
      <c r="M1874" t="n">
        <v>0</v>
      </c>
      <c r="N1874" t="n">
        <v>0</v>
      </c>
      <c r="O1874" t="n">
        <v>0</v>
      </c>
      <c r="P1874" t="n">
        <v>0</v>
      </c>
      <c r="Q1874" t="n">
        <v>0</v>
      </c>
      <c r="R1874" s="2" t="inlineStr"/>
    </row>
    <row r="1875" ht="15" customHeight="1">
      <c r="A1875" t="inlineStr">
        <is>
          <t>A 59611-2025</t>
        </is>
      </c>
      <c r="B1875" s="1" t="n">
        <v>45992.36965277778</v>
      </c>
      <c r="C1875" s="1" t="n">
        <v>46103</v>
      </c>
      <c r="D1875" t="inlineStr">
        <is>
          <t>KRONOBERGS LÄN</t>
        </is>
      </c>
      <c r="E1875" t="inlineStr">
        <is>
          <t>LJUNGBY</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49809-2024</t>
        </is>
      </c>
      <c r="B1876" s="1" t="n">
        <v>45597.38953703704</v>
      </c>
      <c r="C1876" s="1" t="n">
        <v>46103</v>
      </c>
      <c r="D1876" t="inlineStr">
        <is>
          <t>KRONOBERGS LÄN</t>
        </is>
      </c>
      <c r="E1876" t="inlineStr">
        <is>
          <t>UPPVIDINGE</t>
        </is>
      </c>
      <c r="F1876" t="inlineStr">
        <is>
          <t>Sveaskog</t>
        </is>
      </c>
      <c r="G1876" t="n">
        <v>4.7</v>
      </c>
      <c r="H1876" t="n">
        <v>0</v>
      </c>
      <c r="I1876" t="n">
        <v>0</v>
      </c>
      <c r="J1876" t="n">
        <v>0</v>
      </c>
      <c r="K1876" t="n">
        <v>0</v>
      </c>
      <c r="L1876" t="n">
        <v>0</v>
      </c>
      <c r="M1876" t="n">
        <v>0</v>
      </c>
      <c r="N1876" t="n">
        <v>0</v>
      </c>
      <c r="O1876" t="n">
        <v>0</v>
      </c>
      <c r="P1876" t="n">
        <v>0</v>
      </c>
      <c r="Q1876" t="n">
        <v>0</v>
      </c>
      <c r="R1876" s="2" t="inlineStr"/>
    </row>
    <row r="1877" ht="15" customHeight="1">
      <c r="A1877" t="inlineStr">
        <is>
          <t>A 53736-2025</t>
        </is>
      </c>
      <c r="B1877" s="1" t="n">
        <v>45960.64515046297</v>
      </c>
      <c r="C1877" s="1" t="n">
        <v>46103</v>
      </c>
      <c r="D1877" t="inlineStr">
        <is>
          <t>KRONOBERGS LÄN</t>
        </is>
      </c>
      <c r="E1877" t="inlineStr">
        <is>
          <t>UPPVIDINGE</t>
        </is>
      </c>
      <c r="F1877" t="inlineStr">
        <is>
          <t>Sveaskog</t>
        </is>
      </c>
      <c r="G1877" t="n">
        <v>23.5</v>
      </c>
      <c r="H1877" t="n">
        <v>0</v>
      </c>
      <c r="I1877" t="n">
        <v>0</v>
      </c>
      <c r="J1877" t="n">
        <v>0</v>
      </c>
      <c r="K1877" t="n">
        <v>0</v>
      </c>
      <c r="L1877" t="n">
        <v>0</v>
      </c>
      <c r="M1877" t="n">
        <v>0</v>
      </c>
      <c r="N1877" t="n">
        <v>0</v>
      </c>
      <c r="O1877" t="n">
        <v>0</v>
      </c>
      <c r="P1877" t="n">
        <v>0</v>
      </c>
      <c r="Q1877" t="n">
        <v>0</v>
      </c>
      <c r="R1877" s="2" t="inlineStr"/>
    </row>
    <row r="1878" ht="15" customHeight="1">
      <c r="A1878" t="inlineStr">
        <is>
          <t>A 59093-2021</t>
        </is>
      </c>
      <c r="B1878" s="1" t="n">
        <v>44490</v>
      </c>
      <c r="C1878" s="1" t="n">
        <v>46103</v>
      </c>
      <c r="D1878" t="inlineStr">
        <is>
          <t>KRONOBERGS LÄN</t>
        </is>
      </c>
      <c r="E1878" t="inlineStr">
        <is>
          <t>TINGSRYD</t>
        </is>
      </c>
      <c r="F1878" t="inlineStr">
        <is>
          <t>Sveaskog</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53176-2021</t>
        </is>
      </c>
      <c r="B1879" s="1" t="n">
        <v>44467</v>
      </c>
      <c r="C1879" s="1" t="n">
        <v>46103</v>
      </c>
      <c r="D1879" t="inlineStr">
        <is>
          <t>KRONOBERGS LÄN</t>
        </is>
      </c>
      <c r="E1879" t="inlineStr">
        <is>
          <t>TINGSRYD</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41541-2025</t>
        </is>
      </c>
      <c r="B1880" s="1" t="n">
        <v>45901.57252314815</v>
      </c>
      <c r="C1880" s="1" t="n">
        <v>46103</v>
      </c>
      <c r="D1880" t="inlineStr">
        <is>
          <t>KRONOBERGS LÄN</t>
        </is>
      </c>
      <c r="E1880" t="inlineStr">
        <is>
          <t>UPPVIDINGE</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41552-2025</t>
        </is>
      </c>
      <c r="B1881" s="1" t="n">
        <v>45901.59040509259</v>
      </c>
      <c r="C1881" s="1" t="n">
        <v>46103</v>
      </c>
      <c r="D1881" t="inlineStr">
        <is>
          <t>KRONOBERGS LÄN</t>
        </is>
      </c>
      <c r="E1881" t="inlineStr">
        <is>
          <t>ALVESTA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17010-2024</t>
        </is>
      </c>
      <c r="B1882" s="1" t="n">
        <v>45412.37150462963</v>
      </c>
      <c r="C1882" s="1" t="n">
        <v>46103</v>
      </c>
      <c r="D1882" t="inlineStr">
        <is>
          <t>KRONOBERGS LÄN</t>
        </is>
      </c>
      <c r="E1882" t="inlineStr">
        <is>
          <t>VÄXJÖ</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49018-2024</t>
        </is>
      </c>
      <c r="B1883" s="1" t="n">
        <v>45594.50951388889</v>
      </c>
      <c r="C1883" s="1" t="n">
        <v>46103</v>
      </c>
      <c r="D1883" t="inlineStr">
        <is>
          <t>KRONOBERGS LÄN</t>
        </is>
      </c>
      <c r="E1883" t="inlineStr">
        <is>
          <t>VÄXJÖ</t>
        </is>
      </c>
      <c r="F1883" t="inlineStr">
        <is>
          <t>Sveaskog</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59701-2025</t>
        </is>
      </c>
      <c r="B1884" s="1" t="n">
        <v>45992.4956712963</v>
      </c>
      <c r="C1884" s="1" t="n">
        <v>46103</v>
      </c>
      <c r="D1884" t="inlineStr">
        <is>
          <t>KRONOBERGS LÄN</t>
        </is>
      </c>
      <c r="E1884" t="inlineStr">
        <is>
          <t>LJUNGBY</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32290-2024</t>
        </is>
      </c>
      <c r="B1885" s="1" t="n">
        <v>45512.42822916667</v>
      </c>
      <c r="C1885" s="1" t="n">
        <v>46103</v>
      </c>
      <c r="D1885" t="inlineStr">
        <is>
          <t>KRONOBERGS LÄN</t>
        </is>
      </c>
      <c r="E1885" t="inlineStr">
        <is>
          <t>ÄLMHULT</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59604-2025</t>
        </is>
      </c>
      <c r="B1886" s="1" t="n">
        <v>45992.36101851852</v>
      </c>
      <c r="C1886" s="1" t="n">
        <v>46103</v>
      </c>
      <c r="D1886" t="inlineStr">
        <is>
          <t>KRONOBERGS LÄN</t>
        </is>
      </c>
      <c r="E1886" t="inlineStr">
        <is>
          <t>LJUNGBY</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49086-2024</t>
        </is>
      </c>
      <c r="B1887" s="1" t="n">
        <v>45594.63260416667</v>
      </c>
      <c r="C1887" s="1" t="n">
        <v>46103</v>
      </c>
      <c r="D1887" t="inlineStr">
        <is>
          <t>KRONOBERGS LÄN</t>
        </is>
      </c>
      <c r="E1887" t="inlineStr">
        <is>
          <t>VÄXJÖ</t>
        </is>
      </c>
      <c r="F1887" t="inlineStr">
        <is>
          <t>Sveaskog</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49779-2024</t>
        </is>
      </c>
      <c r="B1888" s="1" t="n">
        <v>45597.3521412037</v>
      </c>
      <c r="C1888" s="1" t="n">
        <v>46103</v>
      </c>
      <c r="D1888" t="inlineStr">
        <is>
          <t>KRONOBERGS LÄN</t>
        </is>
      </c>
      <c r="E1888" t="inlineStr">
        <is>
          <t>UPPVIDINGE</t>
        </is>
      </c>
      <c r="F1888" t="inlineStr">
        <is>
          <t>Sveaskog</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41279-2025</t>
        </is>
      </c>
      <c r="B1889" s="1" t="n">
        <v>45898.63071759259</v>
      </c>
      <c r="C1889" s="1" t="n">
        <v>46103</v>
      </c>
      <c r="D1889" t="inlineStr">
        <is>
          <t>KRONOBERGS LÄN</t>
        </is>
      </c>
      <c r="E1889" t="inlineStr">
        <is>
          <t>VÄXJÖ</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59771-2025</t>
        </is>
      </c>
      <c r="B1890" s="1" t="n">
        <v>45992.60458333333</v>
      </c>
      <c r="C1890" s="1" t="n">
        <v>46103</v>
      </c>
      <c r="D1890" t="inlineStr">
        <is>
          <t>KRONOBERGS LÄN</t>
        </is>
      </c>
      <c r="E1890" t="inlineStr">
        <is>
          <t>ÄLMHULT</t>
        </is>
      </c>
      <c r="F1890" t="inlineStr">
        <is>
          <t>Sveaskog</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59778-2025</t>
        </is>
      </c>
      <c r="B1891" s="1" t="n">
        <v>45992.60752314814</v>
      </c>
      <c r="C1891" s="1" t="n">
        <v>46103</v>
      </c>
      <c r="D1891" t="inlineStr">
        <is>
          <t>KRONOBERGS LÄN</t>
        </is>
      </c>
      <c r="E1891" t="inlineStr">
        <is>
          <t>LJUNGBY</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59918-2025</t>
        </is>
      </c>
      <c r="B1892" s="1" t="n">
        <v>45993.37643518519</v>
      </c>
      <c r="C1892" s="1" t="n">
        <v>46103</v>
      </c>
      <c r="D1892" t="inlineStr">
        <is>
          <t>KRONOBERGS LÄN</t>
        </is>
      </c>
      <c r="E1892" t="inlineStr">
        <is>
          <t>TINGSRYD</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40984-2025</t>
        </is>
      </c>
      <c r="B1893" s="1" t="n">
        <v>45898.30145833334</v>
      </c>
      <c r="C1893" s="1" t="n">
        <v>46103</v>
      </c>
      <c r="D1893" t="inlineStr">
        <is>
          <t>KRONOBERGS LÄN</t>
        </is>
      </c>
      <c r="E1893" t="inlineStr">
        <is>
          <t>TINGSRYD</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27810-2024</t>
        </is>
      </c>
      <c r="B1894" s="1" t="n">
        <v>45475</v>
      </c>
      <c r="C1894" s="1" t="n">
        <v>46103</v>
      </c>
      <c r="D1894" t="inlineStr">
        <is>
          <t>KRONOBERGS LÄN</t>
        </is>
      </c>
      <c r="E1894" t="inlineStr">
        <is>
          <t>LJUNGBY</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32374-2023</t>
        </is>
      </c>
      <c r="B1895" s="1" t="n">
        <v>45110</v>
      </c>
      <c r="C1895" s="1" t="n">
        <v>46103</v>
      </c>
      <c r="D1895" t="inlineStr">
        <is>
          <t>KRONOBERGS LÄN</t>
        </is>
      </c>
      <c r="E1895" t="inlineStr">
        <is>
          <t>ALVESTA</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59948-2025</t>
        </is>
      </c>
      <c r="B1896" s="1" t="n">
        <v>45993.45324074074</v>
      </c>
      <c r="C1896" s="1" t="n">
        <v>46103</v>
      </c>
      <c r="D1896" t="inlineStr">
        <is>
          <t>KRONOBERGS LÄN</t>
        </is>
      </c>
      <c r="E1896" t="inlineStr">
        <is>
          <t>VÄXJÖ</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18440-2022</t>
        </is>
      </c>
      <c r="B1897" s="1" t="n">
        <v>44686.47582175926</v>
      </c>
      <c r="C1897" s="1" t="n">
        <v>46103</v>
      </c>
      <c r="D1897" t="inlineStr">
        <is>
          <t>KRONOBERGS LÄN</t>
        </is>
      </c>
      <c r="E1897" t="inlineStr">
        <is>
          <t>ÄLMHULT</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40985-2025</t>
        </is>
      </c>
      <c r="B1898" s="1" t="n">
        <v>45898.30258101852</v>
      </c>
      <c r="C1898" s="1" t="n">
        <v>46103</v>
      </c>
      <c r="D1898" t="inlineStr">
        <is>
          <t>KRONOBERGS LÄN</t>
        </is>
      </c>
      <c r="E1898" t="inlineStr">
        <is>
          <t>TINGSRYD</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53742-2025</t>
        </is>
      </c>
      <c r="B1899" s="1" t="n">
        <v>45960.6469212963</v>
      </c>
      <c r="C1899" s="1" t="n">
        <v>46103</v>
      </c>
      <c r="D1899" t="inlineStr">
        <is>
          <t>KRONOBERGS LÄN</t>
        </is>
      </c>
      <c r="E1899" t="inlineStr">
        <is>
          <t>UPPVIDINGE</t>
        </is>
      </c>
      <c r="F1899" t="inlineStr">
        <is>
          <t>Sveaskog</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59703-2025</t>
        </is>
      </c>
      <c r="B1900" s="1" t="n">
        <v>45992.49641203704</v>
      </c>
      <c r="C1900" s="1" t="n">
        <v>46103</v>
      </c>
      <c r="D1900" t="inlineStr">
        <is>
          <t>KRONOBERGS LÄN</t>
        </is>
      </c>
      <c r="E1900" t="inlineStr">
        <is>
          <t>LJUNGBY</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60003-2025</t>
        </is>
      </c>
      <c r="B1901" s="1" t="n">
        <v>45993.58273148148</v>
      </c>
      <c r="C1901" s="1" t="n">
        <v>46103</v>
      </c>
      <c r="D1901" t="inlineStr">
        <is>
          <t>KRONOBERGS LÄN</t>
        </is>
      </c>
      <c r="E1901" t="inlineStr">
        <is>
          <t>VÄXJÖ</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11800-2023</t>
        </is>
      </c>
      <c r="B1902" s="1" t="n">
        <v>44994</v>
      </c>
      <c r="C1902" s="1" t="n">
        <v>46103</v>
      </c>
      <c r="D1902" t="inlineStr">
        <is>
          <t>KRONOBERGS LÄN</t>
        </is>
      </c>
      <c r="E1902" t="inlineStr">
        <is>
          <t>ÄLMHULT</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59777-2025</t>
        </is>
      </c>
      <c r="B1903" s="1" t="n">
        <v>45992</v>
      </c>
      <c r="C1903" s="1" t="n">
        <v>46103</v>
      </c>
      <c r="D1903" t="inlineStr">
        <is>
          <t>KRONOBERGS LÄN</t>
        </is>
      </c>
      <c r="E1903" t="inlineStr">
        <is>
          <t>ÄLMHULT</t>
        </is>
      </c>
      <c r="F1903" t="inlineStr">
        <is>
          <t>Sveaskog</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59780-2025</t>
        </is>
      </c>
      <c r="B1904" s="1" t="n">
        <v>45992.60956018518</v>
      </c>
      <c r="C1904" s="1" t="n">
        <v>46103</v>
      </c>
      <c r="D1904" t="inlineStr">
        <is>
          <t>KRONOBERGS LÄN</t>
        </is>
      </c>
      <c r="E1904" t="inlineStr">
        <is>
          <t>ÄLMHULT</t>
        </is>
      </c>
      <c r="F1904" t="inlineStr">
        <is>
          <t>Sveaskog</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59782-2025</t>
        </is>
      </c>
      <c r="B1905" s="1" t="n">
        <v>45992</v>
      </c>
      <c r="C1905" s="1" t="n">
        <v>46103</v>
      </c>
      <c r="D1905" t="inlineStr">
        <is>
          <t>KRONOBERGS LÄN</t>
        </is>
      </c>
      <c r="E1905" t="inlineStr">
        <is>
          <t>ALVESTA</t>
        </is>
      </c>
      <c r="G1905" t="n">
        <v>4.1</v>
      </c>
      <c r="H1905" t="n">
        <v>0</v>
      </c>
      <c r="I1905" t="n">
        <v>0</v>
      </c>
      <c r="J1905" t="n">
        <v>0</v>
      </c>
      <c r="K1905" t="n">
        <v>0</v>
      </c>
      <c r="L1905" t="n">
        <v>0</v>
      </c>
      <c r="M1905" t="n">
        <v>0</v>
      </c>
      <c r="N1905" t="n">
        <v>0</v>
      </c>
      <c r="O1905" t="n">
        <v>0</v>
      </c>
      <c r="P1905" t="n">
        <v>0</v>
      </c>
      <c r="Q1905" t="n">
        <v>0</v>
      </c>
      <c r="R1905" s="2" t="inlineStr"/>
    </row>
    <row r="1906" ht="15" customHeight="1">
      <c r="A1906" t="inlineStr">
        <is>
          <t>A 59793-2025</t>
        </is>
      </c>
      <c r="B1906" s="1" t="n">
        <v>45992.61700231482</v>
      </c>
      <c r="C1906" s="1" t="n">
        <v>46103</v>
      </c>
      <c r="D1906" t="inlineStr">
        <is>
          <t>KRONOBERGS LÄN</t>
        </is>
      </c>
      <c r="E1906" t="inlineStr">
        <is>
          <t>ÄLMHULT</t>
        </is>
      </c>
      <c r="F1906" t="inlineStr">
        <is>
          <t>Sveaskog</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1096-2023</t>
        </is>
      </c>
      <c r="B1907" s="1" t="n">
        <v>44929</v>
      </c>
      <c r="C1907" s="1" t="n">
        <v>46103</v>
      </c>
      <c r="D1907" t="inlineStr">
        <is>
          <t>KRONOBERGS LÄN</t>
        </is>
      </c>
      <c r="E1907" t="inlineStr">
        <is>
          <t>VÄXJÖ</t>
        </is>
      </c>
      <c r="F1907" t="inlineStr">
        <is>
          <t>Kyrkan</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60539-2025</t>
        </is>
      </c>
      <c r="B1908" s="1" t="n">
        <v>45995.67541666667</v>
      </c>
      <c r="C1908" s="1" t="n">
        <v>46103</v>
      </c>
      <c r="D1908" t="inlineStr">
        <is>
          <t>KRONOBERGS LÄN</t>
        </is>
      </c>
      <c r="E1908" t="inlineStr">
        <is>
          <t>UPPVIDINGE</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35904-2025</t>
        </is>
      </c>
      <c r="B1909" s="1" t="n">
        <v>45862.49270833333</v>
      </c>
      <c r="C1909" s="1" t="n">
        <v>46103</v>
      </c>
      <c r="D1909" t="inlineStr">
        <is>
          <t>KRONOBERGS LÄN</t>
        </is>
      </c>
      <c r="E1909" t="inlineStr">
        <is>
          <t>LESSEBO</t>
        </is>
      </c>
      <c r="F1909" t="inlineStr">
        <is>
          <t>Sveaskog</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11519-2024</t>
        </is>
      </c>
      <c r="B1910" s="1" t="n">
        <v>45372.83673611111</v>
      </c>
      <c r="C1910" s="1" t="n">
        <v>46103</v>
      </c>
      <c r="D1910" t="inlineStr">
        <is>
          <t>KRONOBERGS LÄN</t>
        </is>
      </c>
      <c r="E1910" t="inlineStr">
        <is>
          <t>VÄXJÖ</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30756-2021</t>
        </is>
      </c>
      <c r="B1911" s="1" t="n">
        <v>44365</v>
      </c>
      <c r="C1911" s="1" t="n">
        <v>46103</v>
      </c>
      <c r="D1911" t="inlineStr">
        <is>
          <t>KRONOBERGS LÄN</t>
        </is>
      </c>
      <c r="E1911" t="inlineStr">
        <is>
          <t>ALVESTA</t>
        </is>
      </c>
      <c r="G1911" t="n">
        <v>0.1</v>
      </c>
      <c r="H1911" t="n">
        <v>0</v>
      </c>
      <c r="I1911" t="n">
        <v>0</v>
      </c>
      <c r="J1911" t="n">
        <v>0</v>
      </c>
      <c r="K1911" t="n">
        <v>0</v>
      </c>
      <c r="L1911" t="n">
        <v>0</v>
      </c>
      <c r="M1911" t="n">
        <v>0</v>
      </c>
      <c r="N1911" t="n">
        <v>0</v>
      </c>
      <c r="O1911" t="n">
        <v>0</v>
      </c>
      <c r="P1911" t="n">
        <v>0</v>
      </c>
      <c r="Q1911" t="n">
        <v>0</v>
      </c>
      <c r="R1911" s="2" t="inlineStr"/>
    </row>
    <row r="1912" ht="15" customHeight="1">
      <c r="A1912" t="inlineStr">
        <is>
          <t>A 208-2023</t>
        </is>
      </c>
      <c r="B1912" s="1" t="n">
        <v>44928</v>
      </c>
      <c r="C1912" s="1" t="n">
        <v>46103</v>
      </c>
      <c r="D1912" t="inlineStr">
        <is>
          <t>KRONOBERGS LÄN</t>
        </is>
      </c>
      <c r="E1912" t="inlineStr">
        <is>
          <t>TINGSRYD</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28096-2022</t>
        </is>
      </c>
      <c r="B1913" s="1" t="n">
        <v>44746.47082175926</v>
      </c>
      <c r="C1913" s="1" t="n">
        <v>46103</v>
      </c>
      <c r="D1913" t="inlineStr">
        <is>
          <t>KRONOBERGS LÄN</t>
        </is>
      </c>
      <c r="E1913" t="inlineStr">
        <is>
          <t>VÄXJÖ</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37216-2025</t>
        </is>
      </c>
      <c r="B1914" s="1" t="n">
        <v>45875</v>
      </c>
      <c r="C1914" s="1" t="n">
        <v>46103</v>
      </c>
      <c r="D1914" t="inlineStr">
        <is>
          <t>KRONOBERGS LÄN</t>
        </is>
      </c>
      <c r="E1914" t="inlineStr">
        <is>
          <t>ÄLMHULT</t>
        </is>
      </c>
      <c r="F1914" t="inlineStr">
        <is>
          <t>Kyrkan</t>
        </is>
      </c>
      <c r="G1914" t="n">
        <v>7.4</v>
      </c>
      <c r="H1914" t="n">
        <v>0</v>
      </c>
      <c r="I1914" t="n">
        <v>0</v>
      </c>
      <c r="J1914" t="n">
        <v>0</v>
      </c>
      <c r="K1914" t="n">
        <v>0</v>
      </c>
      <c r="L1914" t="n">
        <v>0</v>
      </c>
      <c r="M1914" t="n">
        <v>0</v>
      </c>
      <c r="N1914" t="n">
        <v>0</v>
      </c>
      <c r="O1914" t="n">
        <v>0</v>
      </c>
      <c r="P1914" t="n">
        <v>0</v>
      </c>
      <c r="Q1914" t="n">
        <v>0</v>
      </c>
      <c r="R1914" s="2" t="inlineStr"/>
    </row>
    <row r="1915" ht="15" customHeight="1">
      <c r="A1915" t="inlineStr">
        <is>
          <t>A 41389-2025</t>
        </is>
      </c>
      <c r="B1915" s="1" t="n">
        <v>45901.30445601852</v>
      </c>
      <c r="C1915" s="1" t="n">
        <v>46103</v>
      </c>
      <c r="D1915" t="inlineStr">
        <is>
          <t>KRONOBERGS LÄN</t>
        </is>
      </c>
      <c r="E1915" t="inlineStr">
        <is>
          <t>MARKARYD</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19722-2023</t>
        </is>
      </c>
      <c r="B1916" s="1" t="n">
        <v>45051</v>
      </c>
      <c r="C1916" s="1" t="n">
        <v>46103</v>
      </c>
      <c r="D1916" t="inlineStr">
        <is>
          <t>KRONOBERGS LÄN</t>
        </is>
      </c>
      <c r="E1916" t="inlineStr">
        <is>
          <t>ÄLMHULT</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58405-2025</t>
        </is>
      </c>
      <c r="B1917" s="1" t="n">
        <v>45985.56792824074</v>
      </c>
      <c r="C1917" s="1" t="n">
        <v>46103</v>
      </c>
      <c r="D1917" t="inlineStr">
        <is>
          <t>KRONOBERGS LÄN</t>
        </is>
      </c>
      <c r="E1917" t="inlineStr">
        <is>
          <t>VÄXJÖ</t>
        </is>
      </c>
      <c r="G1917" t="n">
        <v>7.4</v>
      </c>
      <c r="H1917" t="n">
        <v>0</v>
      </c>
      <c r="I1917" t="n">
        <v>0</v>
      </c>
      <c r="J1917" t="n">
        <v>0</v>
      </c>
      <c r="K1917" t="n">
        <v>0</v>
      </c>
      <c r="L1917" t="n">
        <v>0</v>
      </c>
      <c r="M1917" t="n">
        <v>0</v>
      </c>
      <c r="N1917" t="n">
        <v>0</v>
      </c>
      <c r="O1917" t="n">
        <v>0</v>
      </c>
      <c r="P1917" t="n">
        <v>0</v>
      </c>
      <c r="Q1917" t="n">
        <v>0</v>
      </c>
      <c r="R1917" s="2" t="inlineStr"/>
    </row>
    <row r="1918" ht="15" customHeight="1">
      <c r="A1918" t="inlineStr">
        <is>
          <t>A 22637-2023</t>
        </is>
      </c>
      <c r="B1918" s="1" t="n">
        <v>45071</v>
      </c>
      <c r="C1918" s="1" t="n">
        <v>46103</v>
      </c>
      <c r="D1918" t="inlineStr">
        <is>
          <t>KRONOBERGS LÄN</t>
        </is>
      </c>
      <c r="E1918" t="inlineStr">
        <is>
          <t>TINGSRYD</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28547-2023</t>
        </is>
      </c>
      <c r="B1919" s="1" t="n">
        <v>45103</v>
      </c>
      <c r="C1919" s="1" t="n">
        <v>46103</v>
      </c>
      <c r="D1919" t="inlineStr">
        <is>
          <t>KRONOBERGS LÄN</t>
        </is>
      </c>
      <c r="E1919" t="inlineStr">
        <is>
          <t>TINGSRYD</t>
        </is>
      </c>
      <c r="F1919" t="inlineStr">
        <is>
          <t>Kommuner</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44144-2023</t>
        </is>
      </c>
      <c r="B1920" s="1" t="n">
        <v>45188.4716550926</v>
      </c>
      <c r="C1920" s="1" t="n">
        <v>46103</v>
      </c>
      <c r="D1920" t="inlineStr">
        <is>
          <t>KRONOBERGS LÄN</t>
        </is>
      </c>
      <c r="E1920" t="inlineStr">
        <is>
          <t>LJUNGBY</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41043-2025</t>
        </is>
      </c>
      <c r="B1921" s="1" t="n">
        <v>45898.39543981481</v>
      </c>
      <c r="C1921" s="1" t="n">
        <v>46103</v>
      </c>
      <c r="D1921" t="inlineStr">
        <is>
          <t>KRONOBERGS LÄN</t>
        </is>
      </c>
      <c r="E1921" t="inlineStr">
        <is>
          <t>UPPVIDINGE</t>
        </is>
      </c>
      <c r="G1921" t="n">
        <v>7.3</v>
      </c>
      <c r="H1921" t="n">
        <v>0</v>
      </c>
      <c r="I1921" t="n">
        <v>0</v>
      </c>
      <c r="J1921" t="n">
        <v>0</v>
      </c>
      <c r="K1921" t="n">
        <v>0</v>
      </c>
      <c r="L1921" t="n">
        <v>0</v>
      </c>
      <c r="M1921" t="n">
        <v>0</v>
      </c>
      <c r="N1921" t="n">
        <v>0</v>
      </c>
      <c r="O1921" t="n">
        <v>0</v>
      </c>
      <c r="P1921" t="n">
        <v>0</v>
      </c>
      <c r="Q1921" t="n">
        <v>0</v>
      </c>
      <c r="R1921" s="2" t="inlineStr"/>
    </row>
    <row r="1922" ht="15" customHeight="1">
      <c r="A1922" t="inlineStr">
        <is>
          <t>A 34433-2021</t>
        </is>
      </c>
      <c r="B1922" s="1" t="n">
        <v>44380</v>
      </c>
      <c r="C1922" s="1" t="n">
        <v>46103</v>
      </c>
      <c r="D1922" t="inlineStr">
        <is>
          <t>KRONOBERGS LÄN</t>
        </is>
      </c>
      <c r="E1922" t="inlineStr">
        <is>
          <t>LJUNGBY</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34434-2021</t>
        </is>
      </c>
      <c r="B1923" s="1" t="n">
        <v>44380</v>
      </c>
      <c r="C1923" s="1" t="n">
        <v>46103</v>
      </c>
      <c r="D1923" t="inlineStr">
        <is>
          <t>KRONOBERGS LÄN</t>
        </is>
      </c>
      <c r="E1923" t="inlineStr">
        <is>
          <t>LJUNGBY</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28677-2023</t>
        </is>
      </c>
      <c r="B1924" s="1" t="n">
        <v>45103</v>
      </c>
      <c r="C1924" s="1" t="n">
        <v>46103</v>
      </c>
      <c r="D1924" t="inlineStr">
        <is>
          <t>KRONOBERGS LÄN</t>
        </is>
      </c>
      <c r="E1924" t="inlineStr">
        <is>
          <t>LJUNGBY</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28694-2023</t>
        </is>
      </c>
      <c r="B1925" s="1" t="n">
        <v>45103.70469907407</v>
      </c>
      <c r="C1925" s="1" t="n">
        <v>46103</v>
      </c>
      <c r="D1925" t="inlineStr">
        <is>
          <t>KRONOBERGS LÄN</t>
        </is>
      </c>
      <c r="E1925" t="inlineStr">
        <is>
          <t>ÄLMHULT</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57367-2022</t>
        </is>
      </c>
      <c r="B1926" s="1" t="n">
        <v>44896</v>
      </c>
      <c r="C1926" s="1" t="n">
        <v>46103</v>
      </c>
      <c r="D1926" t="inlineStr">
        <is>
          <t>KRONOBERGS LÄN</t>
        </is>
      </c>
      <c r="E1926" t="inlineStr">
        <is>
          <t>VÄXJÖ</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24884-2024</t>
        </is>
      </c>
      <c r="B1927" s="1" t="n">
        <v>45461</v>
      </c>
      <c r="C1927" s="1" t="n">
        <v>46103</v>
      </c>
      <c r="D1927" t="inlineStr">
        <is>
          <t>KRONOBERGS LÄN</t>
        </is>
      </c>
      <c r="E1927" t="inlineStr">
        <is>
          <t>LJUNGBY</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59122-2025</t>
        </is>
      </c>
      <c r="B1928" s="1" t="n">
        <v>45988.49306712963</v>
      </c>
      <c r="C1928" s="1" t="n">
        <v>46103</v>
      </c>
      <c r="D1928" t="inlineStr">
        <is>
          <t>KRONOBERGS LÄN</t>
        </is>
      </c>
      <c r="E1928" t="inlineStr">
        <is>
          <t>VÄXJÖ</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15358-2025</t>
        </is>
      </c>
      <c r="B1929" s="1" t="n">
        <v>45747.39269675926</v>
      </c>
      <c r="C1929" s="1" t="n">
        <v>46103</v>
      </c>
      <c r="D1929" t="inlineStr">
        <is>
          <t>KRONOBERGS LÄN</t>
        </is>
      </c>
      <c r="E1929" t="inlineStr">
        <is>
          <t>LJUNGBY</t>
        </is>
      </c>
      <c r="F1929" t="inlineStr">
        <is>
          <t>Sveaskog</t>
        </is>
      </c>
      <c r="G1929" t="n">
        <v>18.9</v>
      </c>
      <c r="H1929" t="n">
        <v>0</v>
      </c>
      <c r="I1929" t="n">
        <v>0</v>
      </c>
      <c r="J1929" t="n">
        <v>0</v>
      </c>
      <c r="K1929" t="n">
        <v>0</v>
      </c>
      <c r="L1929" t="n">
        <v>0</v>
      </c>
      <c r="M1929" t="n">
        <v>0</v>
      </c>
      <c r="N1929" t="n">
        <v>0</v>
      </c>
      <c r="O1929" t="n">
        <v>0</v>
      </c>
      <c r="P1929" t="n">
        <v>0</v>
      </c>
      <c r="Q1929" t="n">
        <v>0</v>
      </c>
      <c r="R1929" s="2" t="inlineStr"/>
    </row>
    <row r="1930" ht="15" customHeight="1">
      <c r="A1930" t="inlineStr">
        <is>
          <t>A 15359-2025</t>
        </is>
      </c>
      <c r="B1930" s="1" t="n">
        <v>45747.39408564815</v>
      </c>
      <c r="C1930" s="1" t="n">
        <v>46103</v>
      </c>
      <c r="D1930" t="inlineStr">
        <is>
          <t>KRONOBERGS LÄN</t>
        </is>
      </c>
      <c r="E1930" t="inlineStr">
        <is>
          <t>LJUNGBY</t>
        </is>
      </c>
      <c r="F1930" t="inlineStr">
        <is>
          <t>Sveaskog</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64003-2023</t>
        </is>
      </c>
      <c r="B1931" s="1" t="n">
        <v>45278.88578703703</v>
      </c>
      <c r="C1931" s="1" t="n">
        <v>46103</v>
      </c>
      <c r="D1931" t="inlineStr">
        <is>
          <t>KRONOBERGS LÄN</t>
        </is>
      </c>
      <c r="E1931" t="inlineStr">
        <is>
          <t>LJUNGBY</t>
        </is>
      </c>
      <c r="F1931" t="inlineStr">
        <is>
          <t>Kyrkan</t>
        </is>
      </c>
      <c r="G1931" t="n">
        <v>4.7</v>
      </c>
      <c r="H1931" t="n">
        <v>0</v>
      </c>
      <c r="I1931" t="n">
        <v>0</v>
      </c>
      <c r="J1931" t="n">
        <v>0</v>
      </c>
      <c r="K1931" t="n">
        <v>0</v>
      </c>
      <c r="L1931" t="n">
        <v>0</v>
      </c>
      <c r="M1931" t="n">
        <v>0</v>
      </c>
      <c r="N1931" t="n">
        <v>0</v>
      </c>
      <c r="O1931" t="n">
        <v>0</v>
      </c>
      <c r="P1931" t="n">
        <v>0</v>
      </c>
      <c r="Q1931" t="n">
        <v>0</v>
      </c>
      <c r="R1931" s="2" t="inlineStr"/>
    </row>
    <row r="1932" ht="15" customHeight="1">
      <c r="A1932" t="inlineStr">
        <is>
          <t>A 21724-2022</t>
        </is>
      </c>
      <c r="B1932" s="1" t="n">
        <v>44706</v>
      </c>
      <c r="C1932" s="1" t="n">
        <v>46103</v>
      </c>
      <c r="D1932" t="inlineStr">
        <is>
          <t>KRONOBERGS LÄN</t>
        </is>
      </c>
      <c r="E1932" t="inlineStr">
        <is>
          <t>LJUNGBY</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60484-2025</t>
        </is>
      </c>
      <c r="B1933" s="1" t="n">
        <v>45995.59886574074</v>
      </c>
      <c r="C1933" s="1" t="n">
        <v>46103</v>
      </c>
      <c r="D1933" t="inlineStr">
        <is>
          <t>KRONOBERGS LÄN</t>
        </is>
      </c>
      <c r="E1933" t="inlineStr">
        <is>
          <t>UPPVIDINGE</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59585-2024</t>
        </is>
      </c>
      <c r="B1934" s="1" t="n">
        <v>45638.67876157408</v>
      </c>
      <c r="C1934" s="1" t="n">
        <v>46103</v>
      </c>
      <c r="D1934" t="inlineStr">
        <is>
          <t>KRONOBERGS LÄN</t>
        </is>
      </c>
      <c r="E1934" t="inlineStr">
        <is>
          <t>ÄLMHULT</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37882-2025</t>
        </is>
      </c>
      <c r="B1935" s="1" t="n">
        <v>45881.4999537037</v>
      </c>
      <c r="C1935" s="1" t="n">
        <v>46103</v>
      </c>
      <c r="D1935" t="inlineStr">
        <is>
          <t>KRONOBERGS LÄN</t>
        </is>
      </c>
      <c r="E1935" t="inlineStr">
        <is>
          <t>TINGSRYD</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41392-2025</t>
        </is>
      </c>
      <c r="B1936" s="1" t="n">
        <v>45901.31172453704</v>
      </c>
      <c r="C1936" s="1" t="n">
        <v>46103</v>
      </c>
      <c r="D1936" t="inlineStr">
        <is>
          <t>KRONOBERGS LÄN</t>
        </is>
      </c>
      <c r="E1936" t="inlineStr">
        <is>
          <t>UPPVIDINGE</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59631-2024</t>
        </is>
      </c>
      <c r="B1937" s="1" t="n">
        <v>45638.91269675926</v>
      </c>
      <c r="C1937" s="1" t="n">
        <v>46103</v>
      </c>
      <c r="D1937" t="inlineStr">
        <is>
          <t>KRONOBERGS LÄN</t>
        </is>
      </c>
      <c r="E1937" t="inlineStr">
        <is>
          <t>ÄLMHULT</t>
        </is>
      </c>
      <c r="G1937" t="n">
        <v>4.7</v>
      </c>
      <c r="H1937" t="n">
        <v>0</v>
      </c>
      <c r="I1937" t="n">
        <v>0</v>
      </c>
      <c r="J1937" t="n">
        <v>0</v>
      </c>
      <c r="K1937" t="n">
        <v>0</v>
      </c>
      <c r="L1937" t="n">
        <v>0</v>
      </c>
      <c r="M1937" t="n">
        <v>0</v>
      </c>
      <c r="N1937" t="n">
        <v>0</v>
      </c>
      <c r="O1937" t="n">
        <v>0</v>
      </c>
      <c r="P1937" t="n">
        <v>0</v>
      </c>
      <c r="Q1937" t="n">
        <v>0</v>
      </c>
      <c r="R1937" s="2" t="inlineStr"/>
    </row>
    <row r="1938" ht="15" customHeight="1">
      <c r="A1938" t="inlineStr">
        <is>
          <t>A 9397-2023</t>
        </is>
      </c>
      <c r="B1938" s="1" t="n">
        <v>44981</v>
      </c>
      <c r="C1938" s="1" t="n">
        <v>46103</v>
      </c>
      <c r="D1938" t="inlineStr">
        <is>
          <t>KRONOBERGS LÄN</t>
        </is>
      </c>
      <c r="E1938" t="inlineStr">
        <is>
          <t>VÄXJÖ</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41530-2025</t>
        </is>
      </c>
      <c r="B1939" s="1" t="n">
        <v>45901.55628472222</v>
      </c>
      <c r="C1939" s="1" t="n">
        <v>46103</v>
      </c>
      <c r="D1939" t="inlineStr">
        <is>
          <t>KRONOBERGS LÄN</t>
        </is>
      </c>
      <c r="E1939" t="inlineStr">
        <is>
          <t>UPPVIDINGE</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60495-2025</t>
        </is>
      </c>
      <c r="B1940" s="1" t="n">
        <v>45995</v>
      </c>
      <c r="C1940" s="1" t="n">
        <v>46103</v>
      </c>
      <c r="D1940" t="inlineStr">
        <is>
          <t>KRONOBERGS LÄN</t>
        </is>
      </c>
      <c r="E1940" t="inlineStr">
        <is>
          <t>UPPVIDINGE</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60480-2025</t>
        </is>
      </c>
      <c r="B1941" s="1" t="n">
        <v>45995.59618055556</v>
      </c>
      <c r="C1941" s="1" t="n">
        <v>46103</v>
      </c>
      <c r="D1941" t="inlineStr">
        <is>
          <t>KRONOBERGS LÄN</t>
        </is>
      </c>
      <c r="E1941" t="inlineStr">
        <is>
          <t>LJUNGBY</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60488-2025</t>
        </is>
      </c>
      <c r="B1942" s="1" t="n">
        <v>45995.60241898148</v>
      </c>
      <c r="C1942" s="1" t="n">
        <v>46103</v>
      </c>
      <c r="D1942" t="inlineStr">
        <is>
          <t>KRONOBERGS LÄN</t>
        </is>
      </c>
      <c r="E1942" t="inlineStr">
        <is>
          <t>ÄLMHULT</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60490-2025</t>
        </is>
      </c>
      <c r="B1943" s="1" t="n">
        <v>45995.60341435186</v>
      </c>
      <c r="C1943" s="1" t="n">
        <v>46103</v>
      </c>
      <c r="D1943" t="inlineStr">
        <is>
          <t>KRONOBERGS LÄN</t>
        </is>
      </c>
      <c r="E1943" t="inlineStr">
        <is>
          <t>ÄLMHULT</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41393-2025</t>
        </is>
      </c>
      <c r="B1944" s="1" t="n">
        <v>45901.31505787037</v>
      </c>
      <c r="C1944" s="1" t="n">
        <v>46103</v>
      </c>
      <c r="D1944" t="inlineStr">
        <is>
          <t>KRONOBERGS LÄN</t>
        </is>
      </c>
      <c r="E1944" t="inlineStr">
        <is>
          <t>UPPVIDINGE</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41428-2025</t>
        </is>
      </c>
      <c r="B1945" s="1" t="n">
        <v>45901.3906712963</v>
      </c>
      <c r="C1945" s="1" t="n">
        <v>46103</v>
      </c>
      <c r="D1945" t="inlineStr">
        <is>
          <t>KRONOBERGS LÄN</t>
        </is>
      </c>
      <c r="E1945" t="inlineStr">
        <is>
          <t>ÄLMHULT</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38736-2023</t>
        </is>
      </c>
      <c r="B1946" s="1" t="n">
        <v>45163.37561342592</v>
      </c>
      <c r="C1946" s="1" t="n">
        <v>46103</v>
      </c>
      <c r="D1946" t="inlineStr">
        <is>
          <t>KRONOBERGS LÄN</t>
        </is>
      </c>
      <c r="E1946" t="inlineStr">
        <is>
          <t>LJUNGBY</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23431-2025</t>
        </is>
      </c>
      <c r="B1947" s="1" t="n">
        <v>45792.36583333334</v>
      </c>
      <c r="C1947" s="1" t="n">
        <v>46103</v>
      </c>
      <c r="D1947" t="inlineStr">
        <is>
          <t>KRONOBERGS LÄN</t>
        </is>
      </c>
      <c r="E1947" t="inlineStr">
        <is>
          <t>VÄXJÖ</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41071-2025</t>
        </is>
      </c>
      <c r="B1948" s="1" t="n">
        <v>45898.41762731481</v>
      </c>
      <c r="C1948" s="1" t="n">
        <v>46103</v>
      </c>
      <c r="D1948" t="inlineStr">
        <is>
          <t>KRONOBERGS LÄN</t>
        </is>
      </c>
      <c r="E1948" t="inlineStr">
        <is>
          <t>TINGSRYD</t>
        </is>
      </c>
      <c r="F1948" t="inlineStr">
        <is>
          <t>Kommuner</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60447-2025</t>
        </is>
      </c>
      <c r="B1949" s="1" t="n">
        <v>45995.49789351852</v>
      </c>
      <c r="C1949" s="1" t="n">
        <v>46103</v>
      </c>
      <c r="D1949" t="inlineStr">
        <is>
          <t>KRONOBERGS LÄN</t>
        </is>
      </c>
      <c r="E1949" t="inlineStr">
        <is>
          <t>ALVESTA</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60560-2024</t>
        </is>
      </c>
      <c r="B1950" s="1" t="n">
        <v>45644.02509259259</v>
      </c>
      <c r="C1950" s="1" t="n">
        <v>46103</v>
      </c>
      <c r="D1950" t="inlineStr">
        <is>
          <t>KRONOBERGS LÄN</t>
        </is>
      </c>
      <c r="E1950" t="inlineStr">
        <is>
          <t>LJUNGBY</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60468-2025</t>
        </is>
      </c>
      <c r="B1951" s="1" t="n">
        <v>45995</v>
      </c>
      <c r="C1951" s="1" t="n">
        <v>46103</v>
      </c>
      <c r="D1951" t="inlineStr">
        <is>
          <t>KRONOBERGS LÄN</t>
        </is>
      </c>
      <c r="E1951" t="inlineStr">
        <is>
          <t>VÄXJÖ</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43878-2024</t>
        </is>
      </c>
      <c r="B1952" s="1" t="n">
        <v>45572.38957175926</v>
      </c>
      <c r="C1952" s="1" t="n">
        <v>46103</v>
      </c>
      <c r="D1952" t="inlineStr">
        <is>
          <t>KRONOBERGS LÄN</t>
        </is>
      </c>
      <c r="E1952" t="inlineStr">
        <is>
          <t>VÄXJÖ</t>
        </is>
      </c>
      <c r="G1952" t="n">
        <v>5.6</v>
      </c>
      <c r="H1952" t="n">
        <v>0</v>
      </c>
      <c r="I1952" t="n">
        <v>0</v>
      </c>
      <c r="J1952" t="n">
        <v>0</v>
      </c>
      <c r="K1952" t="n">
        <v>0</v>
      </c>
      <c r="L1952" t="n">
        <v>0</v>
      </c>
      <c r="M1952" t="n">
        <v>0</v>
      </c>
      <c r="N1952" t="n">
        <v>0</v>
      </c>
      <c r="O1952" t="n">
        <v>0</v>
      </c>
      <c r="P1952" t="n">
        <v>0</v>
      </c>
      <c r="Q1952" t="n">
        <v>0</v>
      </c>
      <c r="R1952" s="2" t="inlineStr"/>
    </row>
    <row r="1953" ht="15" customHeight="1">
      <c r="A1953" t="inlineStr">
        <is>
          <t>A 61657-2024</t>
        </is>
      </c>
      <c r="B1953" s="1" t="n">
        <v>45646.79543981481</v>
      </c>
      <c r="C1953" s="1" t="n">
        <v>46103</v>
      </c>
      <c r="D1953" t="inlineStr">
        <is>
          <t>KRONOBERGS LÄN</t>
        </is>
      </c>
      <c r="E1953" t="inlineStr">
        <is>
          <t>TINGSRYD</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43852-2023</t>
        </is>
      </c>
      <c r="B1954" s="1" t="n">
        <v>45187.60745370371</v>
      </c>
      <c r="C1954" s="1" t="n">
        <v>46103</v>
      </c>
      <c r="D1954" t="inlineStr">
        <is>
          <t>KRONOBERGS LÄN</t>
        </is>
      </c>
      <c r="E1954" t="inlineStr">
        <is>
          <t>ÄLMHULT</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60354-2025</t>
        </is>
      </c>
      <c r="B1955" s="1" t="n">
        <v>45995.31268518518</v>
      </c>
      <c r="C1955" s="1" t="n">
        <v>46103</v>
      </c>
      <c r="D1955" t="inlineStr">
        <is>
          <t>KRONOBERGS LÄN</t>
        </is>
      </c>
      <c r="E1955" t="inlineStr">
        <is>
          <t>UPPVIDINGE</t>
        </is>
      </c>
      <c r="F1955" t="inlineStr">
        <is>
          <t>Sveaskog</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15180-2023</t>
        </is>
      </c>
      <c r="B1956" s="1" t="n">
        <v>45016</v>
      </c>
      <c r="C1956" s="1" t="n">
        <v>46103</v>
      </c>
      <c r="D1956" t="inlineStr">
        <is>
          <t>KRONOBERGS LÄN</t>
        </is>
      </c>
      <c r="E1956" t="inlineStr">
        <is>
          <t>LESSEBO</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15218-2023</t>
        </is>
      </c>
      <c r="B1957" s="1" t="n">
        <v>45019.29746527778</v>
      </c>
      <c r="C1957" s="1" t="n">
        <v>46103</v>
      </c>
      <c r="D1957" t="inlineStr">
        <is>
          <t>KRONOBERGS LÄN</t>
        </is>
      </c>
      <c r="E1957" t="inlineStr">
        <is>
          <t>VÄXJÖ</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41823-2025</t>
        </is>
      </c>
      <c r="B1958" s="1" t="n">
        <v>45902</v>
      </c>
      <c r="C1958" s="1" t="n">
        <v>46103</v>
      </c>
      <c r="D1958" t="inlineStr">
        <is>
          <t>KRONOBERGS LÄN</t>
        </is>
      </c>
      <c r="E1958" t="inlineStr">
        <is>
          <t>VÄXJÖ</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60819-2025</t>
        </is>
      </c>
      <c r="B1959" s="1" t="n">
        <v>45999.45065972222</v>
      </c>
      <c r="C1959" s="1" t="n">
        <v>46103</v>
      </c>
      <c r="D1959" t="inlineStr">
        <is>
          <t>KRONOBERGS LÄN</t>
        </is>
      </c>
      <c r="E1959" t="inlineStr">
        <is>
          <t>ÄLMHULT</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60626-2025</t>
        </is>
      </c>
      <c r="B1960" s="1" t="n">
        <v>45996.40357638889</v>
      </c>
      <c r="C1960" s="1" t="n">
        <v>46103</v>
      </c>
      <c r="D1960" t="inlineStr">
        <is>
          <t>KRONOBERGS LÄN</t>
        </is>
      </c>
      <c r="E1960" t="inlineStr">
        <is>
          <t>ALVESTA</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60628-2025</t>
        </is>
      </c>
      <c r="B1961" s="1" t="n">
        <v>45996.40797453704</v>
      </c>
      <c r="C1961" s="1" t="n">
        <v>46103</v>
      </c>
      <c r="D1961" t="inlineStr">
        <is>
          <t>KRONOBERGS LÄN</t>
        </is>
      </c>
      <c r="E1961" t="inlineStr">
        <is>
          <t>ALVESTA</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36623-2022</t>
        </is>
      </c>
      <c r="B1962" s="1" t="n">
        <v>44804</v>
      </c>
      <c r="C1962" s="1" t="n">
        <v>46103</v>
      </c>
      <c r="D1962" t="inlineStr">
        <is>
          <t>KRONOBERGS LÄN</t>
        </is>
      </c>
      <c r="E1962" t="inlineStr">
        <is>
          <t>TINGSRYD</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36626-2022</t>
        </is>
      </c>
      <c r="B1963" s="1" t="n">
        <v>44804</v>
      </c>
      <c r="C1963" s="1" t="n">
        <v>46103</v>
      </c>
      <c r="D1963" t="inlineStr">
        <is>
          <t>KRONOBERGS LÄN</t>
        </is>
      </c>
      <c r="E1963" t="inlineStr">
        <is>
          <t>TINGSRYD</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41818-2025</t>
        </is>
      </c>
      <c r="B1964" s="1" t="n">
        <v>45902.66104166667</v>
      </c>
      <c r="C1964" s="1" t="n">
        <v>46103</v>
      </c>
      <c r="D1964" t="inlineStr">
        <is>
          <t>KRONOBERGS LÄN</t>
        </is>
      </c>
      <c r="E1964" t="inlineStr">
        <is>
          <t>LJUNGBY</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41833-2025</t>
        </is>
      </c>
      <c r="B1965" s="1" t="n">
        <v>45902.7003125</v>
      </c>
      <c r="C1965" s="1" t="n">
        <v>46103</v>
      </c>
      <c r="D1965" t="inlineStr">
        <is>
          <t>KRONOBERGS LÄN</t>
        </is>
      </c>
      <c r="E1965" t="inlineStr">
        <is>
          <t>TINGSRYD</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60984-2025</t>
        </is>
      </c>
      <c r="B1966" s="1" t="n">
        <v>45999.70637731482</v>
      </c>
      <c r="C1966" s="1" t="n">
        <v>46103</v>
      </c>
      <c r="D1966" t="inlineStr">
        <is>
          <t>KRONOBERGS LÄN</t>
        </is>
      </c>
      <c r="E1966" t="inlineStr">
        <is>
          <t>ÄLMHULT</t>
        </is>
      </c>
      <c r="F1966" t="inlineStr">
        <is>
          <t>Kommuner</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60793-2025</t>
        </is>
      </c>
      <c r="B1967" s="1" t="n">
        <v>45999.4191087963</v>
      </c>
      <c r="C1967" s="1" t="n">
        <v>46103</v>
      </c>
      <c r="D1967" t="inlineStr">
        <is>
          <t>KRONOBERGS LÄN</t>
        </is>
      </c>
      <c r="E1967" t="inlineStr">
        <is>
          <t>VÄXJÖ</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60951-2025</t>
        </is>
      </c>
      <c r="B1968" s="1" t="n">
        <v>45999.6527199074</v>
      </c>
      <c r="C1968" s="1" t="n">
        <v>46103</v>
      </c>
      <c r="D1968" t="inlineStr">
        <is>
          <t>KRONOBERGS LÄN</t>
        </is>
      </c>
      <c r="E1968" t="inlineStr">
        <is>
          <t>UPPVIDINGE</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26801-2025</t>
        </is>
      </c>
      <c r="B1969" s="1" t="n">
        <v>45810.60581018519</v>
      </c>
      <c r="C1969" s="1" t="n">
        <v>46103</v>
      </c>
      <c r="D1969" t="inlineStr">
        <is>
          <t>KRONOBERGS LÄN</t>
        </is>
      </c>
      <c r="E1969" t="inlineStr">
        <is>
          <t>VÄXJÖ</t>
        </is>
      </c>
      <c r="F1969" t="inlineStr">
        <is>
          <t>Övriga Aktiebolag</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60741-2025</t>
        </is>
      </c>
      <c r="B1970" s="1" t="n">
        <v>45996</v>
      </c>
      <c r="C1970" s="1" t="n">
        <v>46103</v>
      </c>
      <c r="D1970" t="inlineStr">
        <is>
          <t>KRONOBERGS LÄN</t>
        </is>
      </c>
      <c r="E1970" t="inlineStr">
        <is>
          <t>ALVESTA</t>
        </is>
      </c>
      <c r="F1970" t="inlineStr">
        <is>
          <t>Kyrkan</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15753-2025</t>
        </is>
      </c>
      <c r="B1971" s="1" t="n">
        <v>45748</v>
      </c>
      <c r="C1971" s="1" t="n">
        <v>46103</v>
      </c>
      <c r="D1971" t="inlineStr">
        <is>
          <t>KRONOBERGS LÄN</t>
        </is>
      </c>
      <c r="E1971" t="inlineStr">
        <is>
          <t>ÄLMHULT</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46585-2023</t>
        </is>
      </c>
      <c r="B1972" s="1" t="n">
        <v>45194</v>
      </c>
      <c r="C1972" s="1" t="n">
        <v>46103</v>
      </c>
      <c r="D1972" t="inlineStr">
        <is>
          <t>KRONOBERGS LÄN</t>
        </is>
      </c>
      <c r="E1972" t="inlineStr">
        <is>
          <t>VÄXJÖ</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15925-2025</t>
        </is>
      </c>
      <c r="B1973" s="1" t="n">
        <v>45749.46461805556</v>
      </c>
      <c r="C1973" s="1" t="n">
        <v>46103</v>
      </c>
      <c r="D1973" t="inlineStr">
        <is>
          <t>KRONOBERGS LÄN</t>
        </is>
      </c>
      <c r="E1973" t="inlineStr">
        <is>
          <t>UPPVIDINGE</t>
        </is>
      </c>
      <c r="G1973" t="n">
        <v>5</v>
      </c>
      <c r="H1973" t="n">
        <v>0</v>
      </c>
      <c r="I1973" t="n">
        <v>0</v>
      </c>
      <c r="J1973" t="n">
        <v>0</v>
      </c>
      <c r="K1973" t="n">
        <v>0</v>
      </c>
      <c r="L1973" t="n">
        <v>0</v>
      </c>
      <c r="M1973" t="n">
        <v>0</v>
      </c>
      <c r="N1973" t="n">
        <v>0</v>
      </c>
      <c r="O1973" t="n">
        <v>0</v>
      </c>
      <c r="P1973" t="n">
        <v>0</v>
      </c>
      <c r="Q1973" t="n">
        <v>0</v>
      </c>
      <c r="R1973" s="2" t="inlineStr"/>
    </row>
    <row r="1974" ht="15" customHeight="1">
      <c r="A1974" t="inlineStr">
        <is>
          <t>A 15928-2025</t>
        </is>
      </c>
      <c r="B1974" s="1" t="n">
        <v>45749.46740740741</v>
      </c>
      <c r="C1974" s="1" t="n">
        <v>46103</v>
      </c>
      <c r="D1974" t="inlineStr">
        <is>
          <t>KRONOBERGS LÄN</t>
        </is>
      </c>
      <c r="E1974" t="inlineStr">
        <is>
          <t>UPPVIDINGE</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21980-2024</t>
        </is>
      </c>
      <c r="B1975" s="1" t="n">
        <v>45443</v>
      </c>
      <c r="C1975" s="1" t="n">
        <v>46103</v>
      </c>
      <c r="D1975" t="inlineStr">
        <is>
          <t>KRONOBERGS LÄN</t>
        </is>
      </c>
      <c r="E1975" t="inlineStr">
        <is>
          <t>TINGSRYD</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61658-2024</t>
        </is>
      </c>
      <c r="B1976" s="1" t="n">
        <v>45646.7996412037</v>
      </c>
      <c r="C1976" s="1" t="n">
        <v>46103</v>
      </c>
      <c r="D1976" t="inlineStr">
        <is>
          <t>KRONOBERGS LÄN</t>
        </is>
      </c>
      <c r="E1976" t="inlineStr">
        <is>
          <t>TINGSRYD</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42001-2025</t>
        </is>
      </c>
      <c r="B1977" s="1" t="n">
        <v>45903.55363425926</v>
      </c>
      <c r="C1977" s="1" t="n">
        <v>46103</v>
      </c>
      <c r="D1977" t="inlineStr">
        <is>
          <t>KRONOBERGS LÄN</t>
        </is>
      </c>
      <c r="E1977" t="inlineStr">
        <is>
          <t>TINGSRYD</t>
        </is>
      </c>
      <c r="F1977" t="inlineStr">
        <is>
          <t>Övriga Aktiebolag</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19218-2024</t>
        </is>
      </c>
      <c r="B1978" s="1" t="n">
        <v>45428.55199074074</v>
      </c>
      <c r="C1978" s="1" t="n">
        <v>46103</v>
      </c>
      <c r="D1978" t="inlineStr">
        <is>
          <t>KRONOBERGS LÄN</t>
        </is>
      </c>
      <c r="E1978" t="inlineStr">
        <is>
          <t>UPPVIDINGE</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19237-2024</t>
        </is>
      </c>
      <c r="B1979" s="1" t="n">
        <v>45428.57160879629</v>
      </c>
      <c r="C1979" s="1" t="n">
        <v>46103</v>
      </c>
      <c r="D1979" t="inlineStr">
        <is>
          <t>KRONOBERGS LÄN</t>
        </is>
      </c>
      <c r="E1979" t="inlineStr">
        <is>
          <t>UPPVIDINGE</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33252-2025</t>
        </is>
      </c>
      <c r="B1980" s="1" t="n">
        <v>45840.66209490741</v>
      </c>
      <c r="C1980" s="1" t="n">
        <v>46103</v>
      </c>
      <c r="D1980" t="inlineStr">
        <is>
          <t>KRONOBERGS LÄN</t>
        </is>
      </c>
      <c r="E1980" t="inlineStr">
        <is>
          <t>UPPVIDINGE</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22684-2025</t>
        </is>
      </c>
      <c r="B1981" s="1" t="n">
        <v>45789.51069444444</v>
      </c>
      <c r="C1981" s="1" t="n">
        <v>46103</v>
      </c>
      <c r="D1981" t="inlineStr">
        <is>
          <t>KRONOBERGS LÄN</t>
        </is>
      </c>
      <c r="E1981" t="inlineStr">
        <is>
          <t>VÄXJÖ</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56860-2021</t>
        </is>
      </c>
      <c r="B1982" s="1" t="n">
        <v>44481.71746527778</v>
      </c>
      <c r="C1982" s="1" t="n">
        <v>46103</v>
      </c>
      <c r="D1982" t="inlineStr">
        <is>
          <t>KRONOBERGS LÄN</t>
        </is>
      </c>
      <c r="E1982" t="inlineStr">
        <is>
          <t>TINGSRYD</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60058-2025</t>
        </is>
      </c>
      <c r="B1983" s="1" t="n">
        <v>45993.65320601852</v>
      </c>
      <c r="C1983" s="1" t="n">
        <v>46103</v>
      </c>
      <c r="D1983" t="inlineStr">
        <is>
          <t>KRONOBERGS LÄN</t>
        </is>
      </c>
      <c r="E1983" t="inlineStr">
        <is>
          <t>LJUNGBY</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60305-2025</t>
        </is>
      </c>
      <c r="B1984" s="1" t="n">
        <v>45994.68217592593</v>
      </c>
      <c r="C1984" s="1" t="n">
        <v>46103</v>
      </c>
      <c r="D1984" t="inlineStr">
        <is>
          <t>KRONOBERGS LÄN</t>
        </is>
      </c>
      <c r="E1984" t="inlineStr">
        <is>
          <t>LJUNGBY</t>
        </is>
      </c>
      <c r="G1984" t="n">
        <v>5.6</v>
      </c>
      <c r="H1984" t="n">
        <v>0</v>
      </c>
      <c r="I1984" t="n">
        <v>0</v>
      </c>
      <c r="J1984" t="n">
        <v>0</v>
      </c>
      <c r="K1984" t="n">
        <v>0</v>
      </c>
      <c r="L1984" t="n">
        <v>0</v>
      </c>
      <c r="M1984" t="n">
        <v>0</v>
      </c>
      <c r="N1984" t="n">
        <v>0</v>
      </c>
      <c r="O1984" t="n">
        <v>0</v>
      </c>
      <c r="P1984" t="n">
        <v>0</v>
      </c>
      <c r="Q1984" t="n">
        <v>0</v>
      </c>
      <c r="R1984" s="2" t="inlineStr"/>
    </row>
    <row r="1985" ht="15" customHeight="1">
      <c r="A1985" t="inlineStr">
        <is>
          <t>A 41849-2025</t>
        </is>
      </c>
      <c r="B1985" s="1" t="n">
        <v>45902.78745370371</v>
      </c>
      <c r="C1985" s="1" t="n">
        <v>46103</v>
      </c>
      <c r="D1985" t="inlineStr">
        <is>
          <t>KRONOBERGS LÄN</t>
        </is>
      </c>
      <c r="E1985" t="inlineStr">
        <is>
          <t>UPPVIDINGE</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60700-2025</t>
        </is>
      </c>
      <c r="B1986" s="1" t="n">
        <v>45996</v>
      </c>
      <c r="C1986" s="1" t="n">
        <v>46103</v>
      </c>
      <c r="D1986" t="inlineStr">
        <is>
          <t>KRONOBERGS LÄN</t>
        </is>
      </c>
      <c r="E1986" t="inlineStr">
        <is>
          <t>ALVESTA</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60729-2025</t>
        </is>
      </c>
      <c r="B1987" s="1" t="n">
        <v>45996.68310185185</v>
      </c>
      <c r="C1987" s="1" t="n">
        <v>46103</v>
      </c>
      <c r="D1987" t="inlineStr">
        <is>
          <t>KRONOBERGS LÄN</t>
        </is>
      </c>
      <c r="E1987" t="inlineStr">
        <is>
          <t>ALVESTA</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41643-2025</t>
        </is>
      </c>
      <c r="B1988" s="1" t="n">
        <v>45902.3184375</v>
      </c>
      <c r="C1988" s="1" t="n">
        <v>46103</v>
      </c>
      <c r="D1988" t="inlineStr">
        <is>
          <t>KRONOBERGS LÄN</t>
        </is>
      </c>
      <c r="E1988" t="inlineStr">
        <is>
          <t>LJUNGBY</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41824-2025</t>
        </is>
      </c>
      <c r="B1989" s="1" t="n">
        <v>45902.66581018519</v>
      </c>
      <c r="C1989" s="1" t="n">
        <v>46103</v>
      </c>
      <c r="D1989" t="inlineStr">
        <is>
          <t>KRONOBERGS LÄN</t>
        </is>
      </c>
      <c r="E1989" t="inlineStr">
        <is>
          <t>VÄXJÖ</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56933-2023</t>
        </is>
      </c>
      <c r="B1990" s="1" t="n">
        <v>45244.59684027778</v>
      </c>
      <c r="C1990" s="1" t="n">
        <v>46103</v>
      </c>
      <c r="D1990" t="inlineStr">
        <is>
          <t>KRONOBERGS LÄN</t>
        </is>
      </c>
      <c r="E1990" t="inlineStr">
        <is>
          <t>TINGSRYD</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41835-2025</t>
        </is>
      </c>
      <c r="B1991" s="1" t="n">
        <v>45902.70890046296</v>
      </c>
      <c r="C1991" s="1" t="n">
        <v>46103</v>
      </c>
      <c r="D1991" t="inlineStr">
        <is>
          <t>KRONOBERGS LÄN</t>
        </is>
      </c>
      <c r="E1991" t="inlineStr">
        <is>
          <t>TINGSRYD</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10061-2025</t>
        </is>
      </c>
      <c r="B1992" s="1" t="n">
        <v>45719.53642361111</v>
      </c>
      <c r="C1992" s="1" t="n">
        <v>46103</v>
      </c>
      <c r="D1992" t="inlineStr">
        <is>
          <t>KRONOBERGS LÄN</t>
        </is>
      </c>
      <c r="E1992" t="inlineStr">
        <is>
          <t>VÄXJÖ</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60650-2025</t>
        </is>
      </c>
      <c r="B1993" s="1" t="n">
        <v>45995</v>
      </c>
      <c r="C1993" s="1" t="n">
        <v>46103</v>
      </c>
      <c r="D1993" t="inlineStr">
        <is>
          <t>KRONOBERGS LÄN</t>
        </is>
      </c>
      <c r="E1993" t="inlineStr">
        <is>
          <t>VÄXJÖ</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61187-2024</t>
        </is>
      </c>
      <c r="B1994" s="1" t="n">
        <v>45645.62145833333</v>
      </c>
      <c r="C1994" s="1" t="n">
        <v>46103</v>
      </c>
      <c r="D1994" t="inlineStr">
        <is>
          <t>KRONOBERGS LÄN</t>
        </is>
      </c>
      <c r="E1994" t="inlineStr">
        <is>
          <t>VÄXJÖ</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32005-2025</t>
        </is>
      </c>
      <c r="B1995" s="1" t="n">
        <v>45835.38336805555</v>
      </c>
      <c r="C1995" s="1" t="n">
        <v>46103</v>
      </c>
      <c r="D1995" t="inlineStr">
        <is>
          <t>KRONOBERGS LÄN</t>
        </is>
      </c>
      <c r="E1995" t="inlineStr">
        <is>
          <t>VÄXJÖ</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39187-2022</t>
        </is>
      </c>
      <c r="B1996" s="1" t="n">
        <v>44817</v>
      </c>
      <c r="C1996" s="1" t="n">
        <v>46103</v>
      </c>
      <c r="D1996" t="inlineStr">
        <is>
          <t>KRONOBERGS LÄN</t>
        </is>
      </c>
      <c r="E1996" t="inlineStr">
        <is>
          <t>LJUNGBY</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42074-2025</t>
        </is>
      </c>
      <c r="B1997" s="1" t="n">
        <v>45903.66820601852</v>
      </c>
      <c r="C1997" s="1" t="n">
        <v>46103</v>
      </c>
      <c r="D1997" t="inlineStr">
        <is>
          <t>KRONOBERGS LÄN</t>
        </is>
      </c>
      <c r="E1997" t="inlineStr">
        <is>
          <t>ALVESTA</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51918-2023</t>
        </is>
      </c>
      <c r="B1998" s="1" t="n">
        <v>45223.46996527778</v>
      </c>
      <c r="C1998" s="1" t="n">
        <v>46103</v>
      </c>
      <c r="D1998" t="inlineStr">
        <is>
          <t>KRONOBERGS LÄN</t>
        </is>
      </c>
      <c r="E1998" t="inlineStr">
        <is>
          <t>MARKARYD</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60068-2025</t>
        </is>
      </c>
      <c r="B1999" s="1" t="n">
        <v>45993.66306712963</v>
      </c>
      <c r="C1999" s="1" t="n">
        <v>46103</v>
      </c>
      <c r="D1999" t="inlineStr">
        <is>
          <t>KRONOBERGS LÄN</t>
        </is>
      </c>
      <c r="E1999" t="inlineStr">
        <is>
          <t>LJUNGBY</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51202-2023</t>
        </is>
      </c>
      <c r="B2000" s="1" t="n">
        <v>45219.42969907408</v>
      </c>
      <c r="C2000" s="1" t="n">
        <v>46103</v>
      </c>
      <c r="D2000" t="inlineStr">
        <is>
          <t>KRONOBERGS LÄN</t>
        </is>
      </c>
      <c r="E2000" t="inlineStr">
        <is>
          <t>MARKARYD</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41998-2025</t>
        </is>
      </c>
      <c r="B2001" s="1" t="n">
        <v>45903.55202546297</v>
      </c>
      <c r="C2001" s="1" t="n">
        <v>46103</v>
      </c>
      <c r="D2001" t="inlineStr">
        <is>
          <t>KRONOBERGS LÄN</t>
        </is>
      </c>
      <c r="E2001" t="inlineStr">
        <is>
          <t>TINGSRYD</t>
        </is>
      </c>
      <c r="F2001" t="inlineStr">
        <is>
          <t>Övriga Aktiebolag</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42014-2025</t>
        </is>
      </c>
      <c r="B2002" s="1" t="n">
        <v>45903.57832175926</v>
      </c>
      <c r="C2002" s="1" t="n">
        <v>46103</v>
      </c>
      <c r="D2002" t="inlineStr">
        <is>
          <t>KRONOBERGS LÄN</t>
        </is>
      </c>
      <c r="E2002" t="inlineStr">
        <is>
          <t>ÄLMHULT</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43094-2024</t>
        </is>
      </c>
      <c r="B2003" s="1" t="n">
        <v>45567.53571759259</v>
      </c>
      <c r="C2003" s="1" t="n">
        <v>46103</v>
      </c>
      <c r="D2003" t="inlineStr">
        <is>
          <t>KRONOBERGS LÄN</t>
        </is>
      </c>
      <c r="E2003" t="inlineStr">
        <is>
          <t>UPPVIDINGE</t>
        </is>
      </c>
      <c r="G2003" t="n">
        <v>5.3</v>
      </c>
      <c r="H2003" t="n">
        <v>0</v>
      </c>
      <c r="I2003" t="n">
        <v>0</v>
      </c>
      <c r="J2003" t="n">
        <v>0</v>
      </c>
      <c r="K2003" t="n">
        <v>0</v>
      </c>
      <c r="L2003" t="n">
        <v>0</v>
      </c>
      <c r="M2003" t="n">
        <v>0</v>
      </c>
      <c r="N2003" t="n">
        <v>0</v>
      </c>
      <c r="O2003" t="n">
        <v>0</v>
      </c>
      <c r="P2003" t="n">
        <v>0</v>
      </c>
      <c r="Q2003" t="n">
        <v>0</v>
      </c>
      <c r="R2003" s="2" t="inlineStr"/>
    </row>
    <row r="2004" ht="15" customHeight="1">
      <c r="A2004" t="inlineStr">
        <is>
          <t>A 60822-2025</t>
        </is>
      </c>
      <c r="B2004" s="1" t="n">
        <v>45999.45556712963</v>
      </c>
      <c r="C2004" s="1" t="n">
        <v>46103</v>
      </c>
      <c r="D2004" t="inlineStr">
        <is>
          <t>KRONOBERGS LÄN</t>
        </is>
      </c>
      <c r="E2004" t="inlineStr">
        <is>
          <t>ÄLMHULT</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60667-2025</t>
        </is>
      </c>
      <c r="B2005" s="1" t="n">
        <v>45996.51903935185</v>
      </c>
      <c r="C2005" s="1" t="n">
        <v>46103</v>
      </c>
      <c r="D2005" t="inlineStr">
        <is>
          <t>KRONOBERGS LÄN</t>
        </is>
      </c>
      <c r="E2005" t="inlineStr">
        <is>
          <t>UPPVIDINGE</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41776-2025</t>
        </is>
      </c>
      <c r="B2006" s="1" t="n">
        <v>45902.56516203703</v>
      </c>
      <c r="C2006" s="1" t="n">
        <v>46103</v>
      </c>
      <c r="D2006" t="inlineStr">
        <is>
          <t>KRONOBERGS LÄN</t>
        </is>
      </c>
      <c r="E2006" t="inlineStr">
        <is>
          <t>UPPVIDINGE</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41796-2025</t>
        </is>
      </c>
      <c r="B2007" s="1" t="n">
        <v>45902.60076388889</v>
      </c>
      <c r="C2007" s="1" t="n">
        <v>46103</v>
      </c>
      <c r="D2007" t="inlineStr">
        <is>
          <t>KRONOBERGS LÄN</t>
        </is>
      </c>
      <c r="E2007" t="inlineStr">
        <is>
          <t>ÄLMHULT</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41797-2025</t>
        </is>
      </c>
      <c r="B2008" s="1" t="n">
        <v>45902.6025</v>
      </c>
      <c r="C2008" s="1" t="n">
        <v>46103</v>
      </c>
      <c r="D2008" t="inlineStr">
        <is>
          <t>KRONOBERGS LÄN</t>
        </is>
      </c>
      <c r="E2008" t="inlineStr">
        <is>
          <t>LJUNGBY</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9177-2025</t>
        </is>
      </c>
      <c r="B2009" s="1" t="n">
        <v>45714.41549768519</v>
      </c>
      <c r="C2009" s="1" t="n">
        <v>46103</v>
      </c>
      <c r="D2009" t="inlineStr">
        <is>
          <t>KRONOBERGS LÄN</t>
        </is>
      </c>
      <c r="E2009" t="inlineStr">
        <is>
          <t>VÄXJÖ</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41817-2025</t>
        </is>
      </c>
      <c r="B2010" s="1" t="n">
        <v>45902</v>
      </c>
      <c r="C2010" s="1" t="n">
        <v>46103</v>
      </c>
      <c r="D2010" t="inlineStr">
        <is>
          <t>KRONOBERGS LÄN</t>
        </is>
      </c>
      <c r="E2010" t="inlineStr">
        <is>
          <t>VÄXJÖ</t>
        </is>
      </c>
      <c r="G2010" t="n">
        <v>8.4</v>
      </c>
      <c r="H2010" t="n">
        <v>0</v>
      </c>
      <c r="I2010" t="n">
        <v>0</v>
      </c>
      <c r="J2010" t="n">
        <v>0</v>
      </c>
      <c r="K2010" t="n">
        <v>0</v>
      </c>
      <c r="L2010" t="n">
        <v>0</v>
      </c>
      <c r="M2010" t="n">
        <v>0</v>
      </c>
      <c r="N2010" t="n">
        <v>0</v>
      </c>
      <c r="O2010" t="n">
        <v>0</v>
      </c>
      <c r="P2010" t="n">
        <v>0</v>
      </c>
      <c r="Q2010" t="n">
        <v>0</v>
      </c>
      <c r="R2010" s="2" t="inlineStr"/>
    </row>
    <row r="2011" ht="15" customHeight="1">
      <c r="A2011" t="inlineStr">
        <is>
          <t>A 60813-2025</t>
        </is>
      </c>
      <c r="B2011" s="1" t="n">
        <v>45999.44767361111</v>
      </c>
      <c r="C2011" s="1" t="n">
        <v>46103</v>
      </c>
      <c r="D2011" t="inlineStr">
        <is>
          <t>KRONOBERGS LÄN</t>
        </is>
      </c>
      <c r="E2011" t="inlineStr">
        <is>
          <t>MARKARYD</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60972-2025</t>
        </is>
      </c>
      <c r="B2012" s="1" t="n">
        <v>45999.69384259259</v>
      </c>
      <c r="C2012" s="1" t="n">
        <v>46103</v>
      </c>
      <c r="D2012" t="inlineStr">
        <is>
          <t>KRONOBERGS LÄN</t>
        </is>
      </c>
      <c r="E2012" t="inlineStr">
        <is>
          <t>ÄLMHULT</t>
        </is>
      </c>
      <c r="F2012" t="inlineStr">
        <is>
          <t>Kommuner</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49089-2024</t>
        </is>
      </c>
      <c r="B2013" s="1" t="n">
        <v>45594.63467592592</v>
      </c>
      <c r="C2013" s="1" t="n">
        <v>46103</v>
      </c>
      <c r="D2013" t="inlineStr">
        <is>
          <t>KRONOBERGS LÄN</t>
        </is>
      </c>
      <c r="E2013" t="inlineStr">
        <is>
          <t>VÄXJÖ</t>
        </is>
      </c>
      <c r="F2013" t="inlineStr">
        <is>
          <t>Sveaskog</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57444-2023</t>
        </is>
      </c>
      <c r="B2014" s="1" t="n">
        <v>45246.34271990741</v>
      </c>
      <c r="C2014" s="1" t="n">
        <v>46103</v>
      </c>
      <c r="D2014" t="inlineStr">
        <is>
          <t>KRONOBERGS LÄN</t>
        </is>
      </c>
      <c r="E2014" t="inlineStr">
        <is>
          <t>VÄXJÖ</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57451-2023</t>
        </is>
      </c>
      <c r="B2015" s="1" t="n">
        <v>45246.34444444445</v>
      </c>
      <c r="C2015" s="1" t="n">
        <v>46103</v>
      </c>
      <c r="D2015" t="inlineStr">
        <is>
          <t>KRONOBERGS LÄN</t>
        </is>
      </c>
      <c r="E2015" t="inlineStr">
        <is>
          <t>TINGSRYD</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41798-2025</t>
        </is>
      </c>
      <c r="B2016" s="1" t="n">
        <v>45902.60481481482</v>
      </c>
      <c r="C2016" s="1" t="n">
        <v>46103</v>
      </c>
      <c r="D2016" t="inlineStr">
        <is>
          <t>KRONOBERGS LÄN</t>
        </is>
      </c>
      <c r="E2016" t="inlineStr">
        <is>
          <t>LJUNGBY</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61258-2025</t>
        </is>
      </c>
      <c r="B2017" s="1" t="n">
        <v>46000</v>
      </c>
      <c r="C2017" s="1" t="n">
        <v>46103</v>
      </c>
      <c r="D2017" t="inlineStr">
        <is>
          <t>KRONOBERGS LÄN</t>
        </is>
      </c>
      <c r="E2017" t="inlineStr">
        <is>
          <t>ALVESTA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61264-2025</t>
        </is>
      </c>
      <c r="B2018" s="1" t="n">
        <v>46000.6762962963</v>
      </c>
      <c r="C2018" s="1" t="n">
        <v>46103</v>
      </c>
      <c r="D2018" t="inlineStr">
        <is>
          <t>KRONOBERGS LÄN</t>
        </is>
      </c>
      <c r="E2018" t="inlineStr">
        <is>
          <t>ALVESTA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41978-2025</t>
        </is>
      </c>
      <c r="B2019" s="1" t="n">
        <v>45903.51274305556</v>
      </c>
      <c r="C2019" s="1" t="n">
        <v>46103</v>
      </c>
      <c r="D2019" t="inlineStr">
        <is>
          <t>KRONOBERGS LÄN</t>
        </is>
      </c>
      <c r="E2019" t="inlineStr">
        <is>
          <t>TINGSRYD</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41979-2025</t>
        </is>
      </c>
      <c r="B2020" s="1" t="n">
        <v>45903.51604166667</v>
      </c>
      <c r="C2020" s="1" t="n">
        <v>46103</v>
      </c>
      <c r="D2020" t="inlineStr">
        <is>
          <t>KRONOBERGS LÄN</t>
        </is>
      </c>
      <c r="E2020" t="inlineStr">
        <is>
          <t>LJUNGBY</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41822-2025</t>
        </is>
      </c>
      <c r="B2021" s="1" t="n">
        <v>45902.6637962963</v>
      </c>
      <c r="C2021" s="1" t="n">
        <v>46103</v>
      </c>
      <c r="D2021" t="inlineStr">
        <is>
          <t>KRONOBERGS LÄN</t>
        </is>
      </c>
      <c r="E2021" t="inlineStr">
        <is>
          <t>VÄXJÖ</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54015-2023</t>
        </is>
      </c>
      <c r="B2022" s="1" t="n">
        <v>45231</v>
      </c>
      <c r="C2022" s="1" t="n">
        <v>46103</v>
      </c>
      <c r="D2022" t="inlineStr">
        <is>
          <t>KRONOBERGS LÄN</t>
        </is>
      </c>
      <c r="E2022" t="inlineStr">
        <is>
          <t>ALVESTA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60474-2025</t>
        </is>
      </c>
      <c r="B2023" s="1" t="n">
        <v>45995</v>
      </c>
      <c r="C2023" s="1" t="n">
        <v>46103</v>
      </c>
      <c r="D2023" t="inlineStr">
        <is>
          <t>KRONOBERGS LÄN</t>
        </is>
      </c>
      <c r="E2023" t="inlineStr">
        <is>
          <t>UPPVIDINGE</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42367-2025</t>
        </is>
      </c>
      <c r="B2024" s="1" t="n">
        <v>45905.32910879629</v>
      </c>
      <c r="C2024" s="1" t="n">
        <v>46103</v>
      </c>
      <c r="D2024" t="inlineStr">
        <is>
          <t>KRONOBERGS LÄN</t>
        </is>
      </c>
      <c r="E2024" t="inlineStr">
        <is>
          <t>VÄXJÖ</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42537-2025</t>
        </is>
      </c>
      <c r="B2025" s="1" t="n">
        <v>45905.56949074074</v>
      </c>
      <c r="C2025" s="1" t="n">
        <v>46103</v>
      </c>
      <c r="D2025" t="inlineStr">
        <is>
          <t>KRONOBERGS LÄN</t>
        </is>
      </c>
      <c r="E2025" t="inlineStr">
        <is>
          <t>VÄXJÖ</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34636-2023</t>
        </is>
      </c>
      <c r="B2026" s="1" t="n">
        <v>45140.6528125</v>
      </c>
      <c r="C2026" s="1" t="n">
        <v>46103</v>
      </c>
      <c r="D2026" t="inlineStr">
        <is>
          <t>KRONOBERGS LÄN</t>
        </is>
      </c>
      <c r="E2026" t="inlineStr">
        <is>
          <t>VÄXJÖ</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42465-2025</t>
        </is>
      </c>
      <c r="B2027" s="1" t="n">
        <v>45905.45804398148</v>
      </c>
      <c r="C2027" s="1" t="n">
        <v>46103</v>
      </c>
      <c r="D2027" t="inlineStr">
        <is>
          <t>KRONOBERGS LÄN</t>
        </is>
      </c>
      <c r="E2027" t="inlineStr">
        <is>
          <t>LJUNGBY</t>
        </is>
      </c>
      <c r="G2027" t="n">
        <v>7.1</v>
      </c>
      <c r="H2027" t="n">
        <v>0</v>
      </c>
      <c r="I2027" t="n">
        <v>0</v>
      </c>
      <c r="J2027" t="n">
        <v>0</v>
      </c>
      <c r="K2027" t="n">
        <v>0</v>
      </c>
      <c r="L2027" t="n">
        <v>0</v>
      </c>
      <c r="M2027" t="n">
        <v>0</v>
      </c>
      <c r="N2027" t="n">
        <v>0</v>
      </c>
      <c r="O2027" t="n">
        <v>0</v>
      </c>
      <c r="P2027" t="n">
        <v>0</v>
      </c>
      <c r="Q2027" t="n">
        <v>0</v>
      </c>
      <c r="R2027" s="2" t="inlineStr"/>
    </row>
    <row r="2028" ht="15" customHeight="1">
      <c r="A2028" t="inlineStr">
        <is>
          <t>A 30680-2023</t>
        </is>
      </c>
      <c r="B2028" s="1" t="n">
        <v>45112</v>
      </c>
      <c r="C2028" s="1" t="n">
        <v>46103</v>
      </c>
      <c r="D2028" t="inlineStr">
        <is>
          <t>KRONOBERGS LÄN</t>
        </is>
      </c>
      <c r="E2028" t="inlineStr">
        <is>
          <t>VÄXJÖ</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61283-2022</t>
        </is>
      </c>
      <c r="B2029" s="1" t="n">
        <v>44915.61844907407</v>
      </c>
      <c r="C2029" s="1" t="n">
        <v>46103</v>
      </c>
      <c r="D2029" t="inlineStr">
        <is>
          <t>KRONOBERGS LÄN</t>
        </is>
      </c>
      <c r="E2029" t="inlineStr">
        <is>
          <t>MARKARYD</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40392-2025</t>
        </is>
      </c>
      <c r="B2030" s="1" t="n">
        <v>45895</v>
      </c>
      <c r="C2030" s="1" t="n">
        <v>46103</v>
      </c>
      <c r="D2030" t="inlineStr">
        <is>
          <t>KRONOBERGS LÄN</t>
        </is>
      </c>
      <c r="E2030" t="inlineStr">
        <is>
          <t>ALVESTA</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7627-2023</t>
        </is>
      </c>
      <c r="B2031" s="1" t="n">
        <v>44972.54864583333</v>
      </c>
      <c r="C2031" s="1" t="n">
        <v>46103</v>
      </c>
      <c r="D2031" t="inlineStr">
        <is>
          <t>KRONOBERGS LÄN</t>
        </is>
      </c>
      <c r="E2031" t="inlineStr">
        <is>
          <t>ALVESTA</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39992-2023</t>
        </is>
      </c>
      <c r="B2032" s="1" t="n">
        <v>45167</v>
      </c>
      <c r="C2032" s="1" t="n">
        <v>46103</v>
      </c>
      <c r="D2032" t="inlineStr">
        <is>
          <t>KRONOBERGS LÄN</t>
        </is>
      </c>
      <c r="E2032" t="inlineStr">
        <is>
          <t>TINGSRYD</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61277-2025</t>
        </is>
      </c>
      <c r="B2033" s="1" t="n">
        <v>46000</v>
      </c>
      <c r="C2033" s="1" t="n">
        <v>46103</v>
      </c>
      <c r="D2033" t="inlineStr">
        <is>
          <t>KRONOBERGS LÄN</t>
        </is>
      </c>
      <c r="E2033" t="inlineStr">
        <is>
          <t>ALVESTA</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42194-2025</t>
        </is>
      </c>
      <c r="B2034" s="1" t="n">
        <v>45904.48097222222</v>
      </c>
      <c r="C2034" s="1" t="n">
        <v>46103</v>
      </c>
      <c r="D2034" t="inlineStr">
        <is>
          <t>KRONOBERGS LÄN</t>
        </is>
      </c>
      <c r="E2034" t="inlineStr">
        <is>
          <t>ALVESTA</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61312-2025</t>
        </is>
      </c>
      <c r="B2035" s="1" t="n">
        <v>46000.85388888889</v>
      </c>
      <c r="C2035" s="1" t="n">
        <v>46103</v>
      </c>
      <c r="D2035" t="inlineStr">
        <is>
          <t>KRONOBERGS LÄN</t>
        </is>
      </c>
      <c r="E2035" t="inlineStr">
        <is>
          <t>UPPVIDINGE</t>
        </is>
      </c>
      <c r="G2035" t="n">
        <v>7.3</v>
      </c>
      <c r="H2035" t="n">
        <v>0</v>
      </c>
      <c r="I2035" t="n">
        <v>0</v>
      </c>
      <c r="J2035" t="n">
        <v>0</v>
      </c>
      <c r="K2035" t="n">
        <v>0</v>
      </c>
      <c r="L2035" t="n">
        <v>0</v>
      </c>
      <c r="M2035" t="n">
        <v>0</v>
      </c>
      <c r="N2035" t="n">
        <v>0</v>
      </c>
      <c r="O2035" t="n">
        <v>0</v>
      </c>
      <c r="P2035" t="n">
        <v>0</v>
      </c>
      <c r="Q2035" t="n">
        <v>0</v>
      </c>
      <c r="R2035" s="2" t="inlineStr"/>
    </row>
    <row r="2036" ht="15" customHeight="1">
      <c r="A2036" t="inlineStr">
        <is>
          <t>A 61106-2025</t>
        </is>
      </c>
      <c r="B2036" s="1" t="n">
        <v>46000.44898148148</v>
      </c>
      <c r="C2036" s="1" t="n">
        <v>46103</v>
      </c>
      <c r="D2036" t="inlineStr">
        <is>
          <t>KRONOBERGS LÄN</t>
        </is>
      </c>
      <c r="E2036" t="inlineStr">
        <is>
          <t>TINGSRYD</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61274-2025</t>
        </is>
      </c>
      <c r="B2037" s="1" t="n">
        <v>46000.68638888889</v>
      </c>
      <c r="C2037" s="1" t="n">
        <v>46103</v>
      </c>
      <c r="D2037" t="inlineStr">
        <is>
          <t>KRONOBERGS LÄN</t>
        </is>
      </c>
      <c r="E2037" t="inlineStr">
        <is>
          <t>ALVESTA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61111-2025</t>
        </is>
      </c>
      <c r="B2038" s="1" t="n">
        <v>46000.45493055556</v>
      </c>
      <c r="C2038" s="1" t="n">
        <v>46103</v>
      </c>
      <c r="D2038" t="inlineStr">
        <is>
          <t>KRONOBERGS LÄN</t>
        </is>
      </c>
      <c r="E2038" t="inlineStr">
        <is>
          <t>TINGSRYD</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8572-2025</t>
        </is>
      </c>
      <c r="B2039" s="1" t="n">
        <v>45709.64976851852</v>
      </c>
      <c r="C2039" s="1" t="n">
        <v>46103</v>
      </c>
      <c r="D2039" t="inlineStr">
        <is>
          <t>KRONOBERGS LÄN</t>
        </is>
      </c>
      <c r="E2039" t="inlineStr">
        <is>
          <t>LJUNGBY</t>
        </is>
      </c>
      <c r="G2039" t="n">
        <v>6</v>
      </c>
      <c r="H2039" t="n">
        <v>0</v>
      </c>
      <c r="I2039" t="n">
        <v>0</v>
      </c>
      <c r="J2039" t="n">
        <v>0</v>
      </c>
      <c r="K2039" t="n">
        <v>0</v>
      </c>
      <c r="L2039" t="n">
        <v>0</v>
      </c>
      <c r="M2039" t="n">
        <v>0</v>
      </c>
      <c r="N2039" t="n">
        <v>0</v>
      </c>
      <c r="O2039" t="n">
        <v>0</v>
      </c>
      <c r="P2039" t="n">
        <v>0</v>
      </c>
      <c r="Q2039" t="n">
        <v>0</v>
      </c>
      <c r="R2039" s="2" t="inlineStr"/>
    </row>
    <row r="2040" ht="15" customHeight="1">
      <c r="A2040" t="inlineStr">
        <is>
          <t>A 9216-2025</t>
        </is>
      </c>
      <c r="B2040" s="1" t="n">
        <v>45714.513125</v>
      </c>
      <c r="C2040" s="1" t="n">
        <v>46103</v>
      </c>
      <c r="D2040" t="inlineStr">
        <is>
          <t>KRONOBERGS LÄN</t>
        </is>
      </c>
      <c r="E2040" t="inlineStr">
        <is>
          <t>LESSEBO</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42111-2025</t>
        </is>
      </c>
      <c r="B2041" s="1" t="n">
        <v>45904.31614583333</v>
      </c>
      <c r="C2041" s="1" t="n">
        <v>46103</v>
      </c>
      <c r="D2041" t="inlineStr">
        <is>
          <t>KRONOBERGS LÄN</t>
        </is>
      </c>
      <c r="E2041" t="inlineStr">
        <is>
          <t>TINGSRYD</t>
        </is>
      </c>
      <c r="F2041" t="inlineStr">
        <is>
          <t>Kommuner</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61313-2025</t>
        </is>
      </c>
      <c r="B2042" s="1" t="n">
        <v>46000.85453703703</v>
      </c>
      <c r="C2042" s="1" t="n">
        <v>46103</v>
      </c>
      <c r="D2042" t="inlineStr">
        <is>
          <t>KRONOBERGS LÄN</t>
        </is>
      </c>
      <c r="E2042" t="inlineStr">
        <is>
          <t>UPPVIDINGE</t>
        </is>
      </c>
      <c r="G2042" t="n">
        <v>6.9</v>
      </c>
      <c r="H2042" t="n">
        <v>0</v>
      </c>
      <c r="I2042" t="n">
        <v>0</v>
      </c>
      <c r="J2042" t="n">
        <v>0</v>
      </c>
      <c r="K2042" t="n">
        <v>0</v>
      </c>
      <c r="L2042" t="n">
        <v>0</v>
      </c>
      <c r="M2042" t="n">
        <v>0</v>
      </c>
      <c r="N2042" t="n">
        <v>0</v>
      </c>
      <c r="O2042" t="n">
        <v>0</v>
      </c>
      <c r="P2042" t="n">
        <v>0</v>
      </c>
      <c r="Q2042" t="n">
        <v>0</v>
      </c>
      <c r="R2042" s="2" t="inlineStr"/>
    </row>
    <row r="2043" ht="15" customHeight="1">
      <c r="A2043" t="inlineStr">
        <is>
          <t>A 61315-2025</t>
        </is>
      </c>
      <c r="B2043" s="1" t="n">
        <v>46000.92856481481</v>
      </c>
      <c r="C2043" s="1" t="n">
        <v>46103</v>
      </c>
      <c r="D2043" t="inlineStr">
        <is>
          <t>KRONOBERGS LÄN</t>
        </is>
      </c>
      <c r="E2043" t="inlineStr">
        <is>
          <t>TINGSRYD</t>
        </is>
      </c>
      <c r="G2043" t="n">
        <v>6.7</v>
      </c>
      <c r="H2043" t="n">
        <v>0</v>
      </c>
      <c r="I2043" t="n">
        <v>0</v>
      </c>
      <c r="J2043" t="n">
        <v>0</v>
      </c>
      <c r="K2043" t="n">
        <v>0</v>
      </c>
      <c r="L2043" t="n">
        <v>0</v>
      </c>
      <c r="M2043" t="n">
        <v>0</v>
      </c>
      <c r="N2043" t="n">
        <v>0</v>
      </c>
      <c r="O2043" t="n">
        <v>0</v>
      </c>
      <c r="P2043" t="n">
        <v>0</v>
      </c>
      <c r="Q2043" t="n">
        <v>0</v>
      </c>
      <c r="R2043" s="2" t="inlineStr"/>
    </row>
    <row r="2044" ht="15" customHeight="1">
      <c r="A2044" t="inlineStr">
        <is>
          <t>A 51196-2023</t>
        </is>
      </c>
      <c r="B2044" s="1" t="n">
        <v>45219.41693287037</v>
      </c>
      <c r="C2044" s="1" t="n">
        <v>46103</v>
      </c>
      <c r="D2044" t="inlineStr">
        <is>
          <t>KRONOBERGS LÄN</t>
        </is>
      </c>
      <c r="E2044" t="inlineStr">
        <is>
          <t>VÄXJÖ</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61418-2025</t>
        </is>
      </c>
      <c r="B2045" s="1" t="n">
        <v>46000</v>
      </c>
      <c r="C2045" s="1" t="n">
        <v>46103</v>
      </c>
      <c r="D2045" t="inlineStr">
        <is>
          <t>KRONOBERGS LÄN</t>
        </is>
      </c>
      <c r="E2045" t="inlineStr">
        <is>
          <t>ÄLMHULT</t>
        </is>
      </c>
      <c r="F2045" t="inlineStr">
        <is>
          <t>Kommuner</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42374-2025</t>
        </is>
      </c>
      <c r="B2046" s="1" t="n">
        <v>45905.33540509259</v>
      </c>
      <c r="C2046" s="1" t="n">
        <v>46103</v>
      </c>
      <c r="D2046" t="inlineStr">
        <is>
          <t>KRONOBERGS LÄN</t>
        </is>
      </c>
      <c r="E2046" t="inlineStr">
        <is>
          <t>VÄXJÖ</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57834-2024</t>
        </is>
      </c>
      <c r="B2047" s="1" t="n">
        <v>45631.39725694444</v>
      </c>
      <c r="C2047" s="1" t="n">
        <v>46103</v>
      </c>
      <c r="D2047" t="inlineStr">
        <is>
          <t>KRONOBERGS LÄN</t>
        </is>
      </c>
      <c r="E2047" t="inlineStr">
        <is>
          <t>VÄXJÖ</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61150-2025</t>
        </is>
      </c>
      <c r="B2048" s="1" t="n">
        <v>46000</v>
      </c>
      <c r="C2048" s="1" t="n">
        <v>46103</v>
      </c>
      <c r="D2048" t="inlineStr">
        <is>
          <t>KRONOBERGS LÄN</t>
        </is>
      </c>
      <c r="E2048" t="inlineStr">
        <is>
          <t>TINGSRYD</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42494-2025</t>
        </is>
      </c>
      <c r="B2049" s="1" t="n">
        <v>45905.50523148148</v>
      </c>
      <c r="C2049" s="1" t="n">
        <v>46103</v>
      </c>
      <c r="D2049" t="inlineStr">
        <is>
          <t>KRONOBERGS LÄN</t>
        </is>
      </c>
      <c r="E2049" t="inlineStr">
        <is>
          <t>LJUNGBY</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44818-2024</t>
        </is>
      </c>
      <c r="B2050" s="1" t="n">
        <v>45574.66055555556</v>
      </c>
      <c r="C2050" s="1" t="n">
        <v>46103</v>
      </c>
      <c r="D2050" t="inlineStr">
        <is>
          <t>KRONOBERGS LÄN</t>
        </is>
      </c>
      <c r="E2050" t="inlineStr">
        <is>
          <t>ALVESTA</t>
        </is>
      </c>
      <c r="G2050" t="n">
        <v>0.2</v>
      </c>
      <c r="H2050" t="n">
        <v>0</v>
      </c>
      <c r="I2050" t="n">
        <v>0</v>
      </c>
      <c r="J2050" t="n">
        <v>0</v>
      </c>
      <c r="K2050" t="n">
        <v>0</v>
      </c>
      <c r="L2050" t="n">
        <v>0</v>
      </c>
      <c r="M2050" t="n">
        <v>0</v>
      </c>
      <c r="N2050" t="n">
        <v>0</v>
      </c>
      <c r="O2050" t="n">
        <v>0</v>
      </c>
      <c r="P2050" t="n">
        <v>0</v>
      </c>
      <c r="Q2050" t="n">
        <v>0</v>
      </c>
      <c r="R2050" s="2" t="inlineStr"/>
    </row>
    <row r="2051" ht="15" customHeight="1">
      <c r="A2051" t="inlineStr">
        <is>
          <t>A 62862-2023</t>
        </is>
      </c>
      <c r="B2051" s="1" t="n">
        <v>45272</v>
      </c>
      <c r="C2051" s="1" t="n">
        <v>46103</v>
      </c>
      <c r="D2051" t="inlineStr">
        <is>
          <t>KRONOBERGS LÄN</t>
        </is>
      </c>
      <c r="E2051" t="inlineStr">
        <is>
          <t>LJUNGBY</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49609-2024</t>
        </is>
      </c>
      <c r="B2052" s="1" t="n">
        <v>45596.57131944445</v>
      </c>
      <c r="C2052" s="1" t="n">
        <v>46103</v>
      </c>
      <c r="D2052" t="inlineStr">
        <is>
          <t>KRONOBERGS LÄN</t>
        </is>
      </c>
      <c r="E2052" t="inlineStr">
        <is>
          <t>LJUNGBY</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42707-2025</t>
        </is>
      </c>
      <c r="B2053" s="1" t="n">
        <v>45905</v>
      </c>
      <c r="C2053" s="1" t="n">
        <v>46103</v>
      </c>
      <c r="D2053" t="inlineStr">
        <is>
          <t>KRONOBERGS LÄN</t>
        </is>
      </c>
      <c r="E2053" t="inlineStr">
        <is>
          <t>LJUNGBY</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8-2023</t>
        </is>
      </c>
      <c r="B2054" s="1" t="n">
        <v>44927.74953703704</v>
      </c>
      <c r="C2054" s="1" t="n">
        <v>46103</v>
      </c>
      <c r="D2054" t="inlineStr">
        <is>
          <t>KRONOBERGS LÄN</t>
        </is>
      </c>
      <c r="E2054" t="inlineStr">
        <is>
          <t>LJUNGBY</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6554-2022</t>
        </is>
      </c>
      <c r="B2055" s="1" t="n">
        <v>44601</v>
      </c>
      <c r="C2055" s="1" t="n">
        <v>46103</v>
      </c>
      <c r="D2055" t="inlineStr">
        <is>
          <t>KRONOBERGS LÄN</t>
        </is>
      </c>
      <c r="E2055" t="inlineStr">
        <is>
          <t>MARKARYD</t>
        </is>
      </c>
      <c r="F2055" t="inlineStr">
        <is>
          <t>Kommuner</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49600-2024</t>
        </is>
      </c>
      <c r="B2056" s="1" t="n">
        <v>45596</v>
      </c>
      <c r="C2056" s="1" t="n">
        <v>46103</v>
      </c>
      <c r="D2056" t="inlineStr">
        <is>
          <t>KRONOBERGS LÄN</t>
        </is>
      </c>
      <c r="E2056" t="inlineStr">
        <is>
          <t>ALVESTA</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17931-2022</t>
        </is>
      </c>
      <c r="B2057" s="1" t="n">
        <v>44683</v>
      </c>
      <c r="C2057" s="1" t="n">
        <v>46103</v>
      </c>
      <c r="D2057" t="inlineStr">
        <is>
          <t>KRONOBERGS LÄN</t>
        </is>
      </c>
      <c r="E2057" t="inlineStr">
        <is>
          <t>TINGSRYD</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56038-2023</t>
        </is>
      </c>
      <c r="B2058" s="1" t="n">
        <v>45233</v>
      </c>
      <c r="C2058" s="1" t="n">
        <v>46103</v>
      </c>
      <c r="D2058" t="inlineStr">
        <is>
          <t>KRONOBERGS LÄN</t>
        </is>
      </c>
      <c r="E2058" t="inlineStr">
        <is>
          <t>UPPVIDINGE</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5272-2023</t>
        </is>
      </c>
      <c r="B2059" s="1" t="n">
        <v>44959.48167824074</v>
      </c>
      <c r="C2059" s="1" t="n">
        <v>46103</v>
      </c>
      <c r="D2059" t="inlineStr">
        <is>
          <t>KRONOBERGS LÄN</t>
        </is>
      </c>
      <c r="E2059" t="inlineStr">
        <is>
          <t>VÄXJÖ</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38498-2024</t>
        </is>
      </c>
      <c r="B2060" s="1" t="n">
        <v>45546.51900462963</v>
      </c>
      <c r="C2060" s="1" t="n">
        <v>46103</v>
      </c>
      <c r="D2060" t="inlineStr">
        <is>
          <t>KRONOBERGS LÄN</t>
        </is>
      </c>
      <c r="E2060" t="inlineStr">
        <is>
          <t>ALVESTA</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40366-2023</t>
        </is>
      </c>
      <c r="B2061" s="1" t="n">
        <v>45169</v>
      </c>
      <c r="C2061" s="1" t="n">
        <v>46103</v>
      </c>
      <c r="D2061" t="inlineStr">
        <is>
          <t>KRONOBERGS LÄN</t>
        </is>
      </c>
      <c r="E2061" t="inlineStr">
        <is>
          <t>ALVESTA</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50781-2024</t>
        </is>
      </c>
      <c r="B2062" s="1" t="n">
        <v>45602.46759259259</v>
      </c>
      <c r="C2062" s="1" t="n">
        <v>46103</v>
      </c>
      <c r="D2062" t="inlineStr">
        <is>
          <t>KRONOBERGS LÄN</t>
        </is>
      </c>
      <c r="E2062" t="inlineStr">
        <is>
          <t>MARKARYD</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42167-2025</t>
        </is>
      </c>
      <c r="B2063" s="1" t="n">
        <v>45904.42247685185</v>
      </c>
      <c r="C2063" s="1" t="n">
        <v>46103</v>
      </c>
      <c r="D2063" t="inlineStr">
        <is>
          <t>KRONOBERGS LÄN</t>
        </is>
      </c>
      <c r="E2063" t="inlineStr">
        <is>
          <t>TINGSRYD</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5850-2024</t>
        </is>
      </c>
      <c r="B2064" s="1" t="n">
        <v>45335.63466435186</v>
      </c>
      <c r="C2064" s="1" t="n">
        <v>46103</v>
      </c>
      <c r="D2064" t="inlineStr">
        <is>
          <t>KRONOBERGS LÄN</t>
        </is>
      </c>
      <c r="E2064" t="inlineStr">
        <is>
          <t>UPPVIDINGE</t>
        </is>
      </c>
      <c r="F2064" t="inlineStr">
        <is>
          <t>Sveaskog</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42585-2025</t>
        </is>
      </c>
      <c r="B2065" s="1" t="n">
        <v>45905.62797453703</v>
      </c>
      <c r="C2065" s="1" t="n">
        <v>46103</v>
      </c>
      <c r="D2065" t="inlineStr">
        <is>
          <t>KRONOBERGS LÄN</t>
        </is>
      </c>
      <c r="E2065" t="inlineStr">
        <is>
          <t>UPPVIDINGE</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42598-2025</t>
        </is>
      </c>
      <c r="B2066" s="1" t="n">
        <v>45905.66465277778</v>
      </c>
      <c r="C2066" s="1" t="n">
        <v>46103</v>
      </c>
      <c r="D2066" t="inlineStr">
        <is>
          <t>KRONOBERGS LÄN</t>
        </is>
      </c>
      <c r="E2066" t="inlineStr">
        <is>
          <t>TINGSRYD</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42193-2025</t>
        </is>
      </c>
      <c r="B2067" s="1" t="n">
        <v>45904.48038194444</v>
      </c>
      <c r="C2067" s="1" t="n">
        <v>46103</v>
      </c>
      <c r="D2067" t="inlineStr">
        <is>
          <t>KRONOBERGS LÄN</t>
        </is>
      </c>
      <c r="E2067" t="inlineStr">
        <is>
          <t>UPPVIDINGE</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66789-2021</t>
        </is>
      </c>
      <c r="B2068" s="1" t="n">
        <v>44522.34871527777</v>
      </c>
      <c r="C2068" s="1" t="n">
        <v>46103</v>
      </c>
      <c r="D2068" t="inlineStr">
        <is>
          <t>KRONOBERGS LÄN</t>
        </is>
      </c>
      <c r="E2068" t="inlineStr">
        <is>
          <t>TINGSRYD</t>
        </is>
      </c>
      <c r="F2068" t="inlineStr">
        <is>
          <t>Övriga Aktiebolag</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15202-2025</t>
        </is>
      </c>
      <c r="B2069" s="1" t="n">
        <v>45744.56912037037</v>
      </c>
      <c r="C2069" s="1" t="n">
        <v>46103</v>
      </c>
      <c r="D2069" t="inlineStr">
        <is>
          <t>KRONOBERGS LÄN</t>
        </is>
      </c>
      <c r="E2069" t="inlineStr">
        <is>
          <t>LJUNGBY</t>
        </is>
      </c>
      <c r="F2069" t="inlineStr">
        <is>
          <t>Sveaskog</t>
        </is>
      </c>
      <c r="G2069" t="n">
        <v>18.6</v>
      </c>
      <c r="H2069" t="n">
        <v>0</v>
      </c>
      <c r="I2069" t="n">
        <v>0</v>
      </c>
      <c r="J2069" t="n">
        <v>0</v>
      </c>
      <c r="K2069" t="n">
        <v>0</v>
      </c>
      <c r="L2069" t="n">
        <v>0</v>
      </c>
      <c r="M2069" t="n">
        <v>0</v>
      </c>
      <c r="N2069" t="n">
        <v>0</v>
      </c>
      <c r="O2069" t="n">
        <v>0</v>
      </c>
      <c r="P2069" t="n">
        <v>0</v>
      </c>
      <c r="Q2069" t="n">
        <v>0</v>
      </c>
      <c r="R2069" s="2" t="inlineStr"/>
    </row>
    <row r="2070" ht="15" customHeight="1">
      <c r="A2070" t="inlineStr">
        <is>
          <t>A 67714-2021</t>
        </is>
      </c>
      <c r="B2070" s="1" t="n">
        <v>44524</v>
      </c>
      <c r="C2070" s="1" t="n">
        <v>46103</v>
      </c>
      <c r="D2070" t="inlineStr">
        <is>
          <t>KRONOBERGS LÄN</t>
        </is>
      </c>
      <c r="E2070" t="inlineStr">
        <is>
          <t>UPPVIDINGE</t>
        </is>
      </c>
      <c r="F2070" t="inlineStr">
        <is>
          <t>Kyrkan</t>
        </is>
      </c>
      <c r="G2070" t="n">
        <v>18.8</v>
      </c>
      <c r="H2070" t="n">
        <v>0</v>
      </c>
      <c r="I2070" t="n">
        <v>0</v>
      </c>
      <c r="J2070" t="n">
        <v>0</v>
      </c>
      <c r="K2070" t="n">
        <v>0</v>
      </c>
      <c r="L2070" t="n">
        <v>0</v>
      </c>
      <c r="M2070" t="n">
        <v>0</v>
      </c>
      <c r="N2070" t="n">
        <v>0</v>
      </c>
      <c r="O2070" t="n">
        <v>0</v>
      </c>
      <c r="P2070" t="n">
        <v>0</v>
      </c>
      <c r="Q2070" t="n">
        <v>0</v>
      </c>
      <c r="R2070" s="2" t="inlineStr"/>
    </row>
    <row r="2071" ht="15" customHeight="1">
      <c r="A2071" t="inlineStr">
        <is>
          <t>A 42195-2025</t>
        </is>
      </c>
      <c r="B2071" s="1" t="n">
        <v>45904.48261574074</v>
      </c>
      <c r="C2071" s="1" t="n">
        <v>46103</v>
      </c>
      <c r="D2071" t="inlineStr">
        <is>
          <t>KRONOBERGS LÄN</t>
        </is>
      </c>
      <c r="E2071" t="inlineStr">
        <is>
          <t>ALVESTA</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24089-2025</t>
        </is>
      </c>
      <c r="B2072" s="1" t="n">
        <v>45796.56827546296</v>
      </c>
      <c r="C2072" s="1" t="n">
        <v>46103</v>
      </c>
      <c r="D2072" t="inlineStr">
        <is>
          <t>KRONOBERGS LÄN</t>
        </is>
      </c>
      <c r="E2072" t="inlineStr">
        <is>
          <t>LJUNGBY</t>
        </is>
      </c>
      <c r="F2072" t="inlineStr">
        <is>
          <t>Sveaskog</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24108-2025</t>
        </is>
      </c>
      <c r="B2073" s="1" t="n">
        <v>45796.60440972223</v>
      </c>
      <c r="C2073" s="1" t="n">
        <v>46103</v>
      </c>
      <c r="D2073" t="inlineStr">
        <is>
          <t>KRONOBERGS LÄN</t>
        </is>
      </c>
      <c r="E2073" t="inlineStr">
        <is>
          <t>LJUNGBY</t>
        </is>
      </c>
      <c r="F2073" t="inlineStr">
        <is>
          <t>Sveaskog</t>
        </is>
      </c>
      <c r="G2073" t="n">
        <v>5.9</v>
      </c>
      <c r="H2073" t="n">
        <v>0</v>
      </c>
      <c r="I2073" t="n">
        <v>0</v>
      </c>
      <c r="J2073" t="n">
        <v>0</v>
      </c>
      <c r="K2073" t="n">
        <v>0</v>
      </c>
      <c r="L2073" t="n">
        <v>0</v>
      </c>
      <c r="M2073" t="n">
        <v>0</v>
      </c>
      <c r="N2073" t="n">
        <v>0</v>
      </c>
      <c r="O2073" t="n">
        <v>0</v>
      </c>
      <c r="P2073" t="n">
        <v>0</v>
      </c>
      <c r="Q2073" t="n">
        <v>0</v>
      </c>
      <c r="R2073" s="2" t="inlineStr"/>
    </row>
    <row r="2074" ht="15" customHeight="1">
      <c r="A2074" t="inlineStr">
        <is>
          <t>A 23985-2025</t>
        </is>
      </c>
      <c r="B2074" s="1" t="n">
        <v>45796.39645833334</v>
      </c>
      <c r="C2074" s="1" t="n">
        <v>46103</v>
      </c>
      <c r="D2074" t="inlineStr">
        <is>
          <t>KRONOBERGS LÄN</t>
        </is>
      </c>
      <c r="E2074" t="inlineStr">
        <is>
          <t>TINGSRYD</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40388-2025</t>
        </is>
      </c>
      <c r="B2075" s="1" t="n">
        <v>45895</v>
      </c>
      <c r="C2075" s="1" t="n">
        <v>46103</v>
      </c>
      <c r="D2075" t="inlineStr">
        <is>
          <t>KRONOBERGS LÄN</t>
        </is>
      </c>
      <c r="E2075" t="inlineStr">
        <is>
          <t>ALVESTA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28953-2022</t>
        </is>
      </c>
      <c r="B2076" s="1" t="n">
        <v>44749.61423611111</v>
      </c>
      <c r="C2076" s="1" t="n">
        <v>46103</v>
      </c>
      <c r="D2076" t="inlineStr">
        <is>
          <t>KRONOBERGS LÄN</t>
        </is>
      </c>
      <c r="E2076" t="inlineStr">
        <is>
          <t>TINGSRYD</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2899-2024</t>
        </is>
      </c>
      <c r="B2077" s="1" t="n">
        <v>45315.51804398148</v>
      </c>
      <c r="C2077" s="1" t="n">
        <v>46103</v>
      </c>
      <c r="D2077" t="inlineStr">
        <is>
          <t>KRONOBERGS LÄN</t>
        </is>
      </c>
      <c r="E2077" t="inlineStr">
        <is>
          <t>ÄLMHULT</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42082-2025</t>
        </is>
      </c>
      <c r="B2078" s="1" t="n">
        <v>45903</v>
      </c>
      <c r="C2078" s="1" t="n">
        <v>46103</v>
      </c>
      <c r="D2078" t="inlineStr">
        <is>
          <t>KRONOBERGS LÄN</t>
        </is>
      </c>
      <c r="E2078" t="inlineStr">
        <is>
          <t>MARKARYD</t>
        </is>
      </c>
      <c r="G2078" t="n">
        <v>8.300000000000001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42747-2025</t>
        </is>
      </c>
      <c r="B2079" s="1" t="n">
        <v>45908.43336805556</v>
      </c>
      <c r="C2079" s="1" t="n">
        <v>46103</v>
      </c>
      <c r="D2079" t="inlineStr">
        <is>
          <t>KRONOBERGS LÄN</t>
        </is>
      </c>
      <c r="E2079" t="inlineStr">
        <is>
          <t>LJUNGBY</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6929-2025</t>
        </is>
      </c>
      <c r="B2080" s="1" t="n">
        <v>45701.45229166667</v>
      </c>
      <c r="C2080" s="1" t="n">
        <v>46103</v>
      </c>
      <c r="D2080" t="inlineStr">
        <is>
          <t>KRONOBERGS LÄN</t>
        </is>
      </c>
      <c r="E2080" t="inlineStr">
        <is>
          <t>TINGSRYD</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5893-2025</t>
        </is>
      </c>
      <c r="B2081" s="1" t="n">
        <v>45695.38659722222</v>
      </c>
      <c r="C2081" s="1" t="n">
        <v>46103</v>
      </c>
      <c r="D2081" t="inlineStr">
        <is>
          <t>KRONOBERGS LÄN</t>
        </is>
      </c>
      <c r="E2081" t="inlineStr">
        <is>
          <t>TINGSRYD</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35436-2025</t>
        </is>
      </c>
      <c r="B2082" s="1" t="n">
        <v>45855.4741087963</v>
      </c>
      <c r="C2082" s="1" t="n">
        <v>46103</v>
      </c>
      <c r="D2082" t="inlineStr">
        <is>
          <t>KRONOBERGS LÄN</t>
        </is>
      </c>
      <c r="E2082" t="inlineStr">
        <is>
          <t>ÄLMHULT</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24080-2025</t>
        </is>
      </c>
      <c r="B2083" s="1" t="n">
        <v>45796.55706018519</v>
      </c>
      <c r="C2083" s="1" t="n">
        <v>46103</v>
      </c>
      <c r="D2083" t="inlineStr">
        <is>
          <t>KRONOBERGS LÄN</t>
        </is>
      </c>
      <c r="E2083" t="inlineStr">
        <is>
          <t>LJUNGBY</t>
        </is>
      </c>
      <c r="F2083" t="inlineStr">
        <is>
          <t>Sveaskog</t>
        </is>
      </c>
      <c r="G2083" t="n">
        <v>6.2</v>
      </c>
      <c r="H2083" t="n">
        <v>0</v>
      </c>
      <c r="I2083" t="n">
        <v>0</v>
      </c>
      <c r="J2083" t="n">
        <v>0</v>
      </c>
      <c r="K2083" t="n">
        <v>0</v>
      </c>
      <c r="L2083" t="n">
        <v>0</v>
      </c>
      <c r="M2083" t="n">
        <v>0</v>
      </c>
      <c r="N2083" t="n">
        <v>0</v>
      </c>
      <c r="O2083" t="n">
        <v>0</v>
      </c>
      <c r="P2083" t="n">
        <v>0</v>
      </c>
      <c r="Q2083" t="n">
        <v>0</v>
      </c>
      <c r="R2083" s="2" t="inlineStr"/>
    </row>
    <row r="2084" ht="15" customHeight="1">
      <c r="A2084" t="inlineStr">
        <is>
          <t>A 62704-2021</t>
        </is>
      </c>
      <c r="B2084" s="1" t="n">
        <v>44504.34773148148</v>
      </c>
      <c r="C2084" s="1" t="n">
        <v>46103</v>
      </c>
      <c r="D2084" t="inlineStr">
        <is>
          <t>KRONOBERGS LÄN</t>
        </is>
      </c>
      <c r="E2084" t="inlineStr">
        <is>
          <t>ALVESTA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43133-2025</t>
        </is>
      </c>
      <c r="B2085" s="1" t="n">
        <v>45909</v>
      </c>
      <c r="C2085" s="1" t="n">
        <v>46103</v>
      </c>
      <c r="D2085" t="inlineStr">
        <is>
          <t>KRONOBERGS LÄN</t>
        </is>
      </c>
      <c r="E2085" t="inlineStr">
        <is>
          <t>MARKARYD</t>
        </is>
      </c>
      <c r="F2085" t="inlineStr">
        <is>
          <t>Kyrkan</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20054-2025</t>
        </is>
      </c>
      <c r="B2086" s="1" t="n">
        <v>45772.40309027778</v>
      </c>
      <c r="C2086" s="1" t="n">
        <v>46103</v>
      </c>
      <c r="D2086" t="inlineStr">
        <is>
          <t>KRONOBERGS LÄN</t>
        </is>
      </c>
      <c r="E2086" t="inlineStr">
        <is>
          <t>LESSEBO</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30662-2025</t>
        </is>
      </c>
      <c r="B2087" s="1" t="n">
        <v>45831.51181712963</v>
      </c>
      <c r="C2087" s="1" t="n">
        <v>46103</v>
      </c>
      <c r="D2087" t="inlineStr">
        <is>
          <t>KRONOBERGS LÄN</t>
        </is>
      </c>
      <c r="E2087" t="inlineStr">
        <is>
          <t>UPPVIDINGE</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24084-2025</t>
        </is>
      </c>
      <c r="B2088" s="1" t="n">
        <v>45796.56221064815</v>
      </c>
      <c r="C2088" s="1" t="n">
        <v>46103</v>
      </c>
      <c r="D2088" t="inlineStr">
        <is>
          <t>KRONOBERGS LÄN</t>
        </is>
      </c>
      <c r="E2088" t="inlineStr">
        <is>
          <t>LJUNGBY</t>
        </is>
      </c>
      <c r="F2088" t="inlineStr">
        <is>
          <t>Sveaskog</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43347-2023</t>
        </is>
      </c>
      <c r="B2089" s="1" t="n">
        <v>45183.65436342593</v>
      </c>
      <c r="C2089" s="1" t="n">
        <v>46103</v>
      </c>
      <c r="D2089" t="inlineStr">
        <is>
          <t>KRONOBERGS LÄN</t>
        </is>
      </c>
      <c r="E2089" t="inlineStr">
        <is>
          <t>LJUNGBY</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42782-2025</t>
        </is>
      </c>
      <c r="B2090" s="1" t="n">
        <v>45908.50746527778</v>
      </c>
      <c r="C2090" s="1" t="n">
        <v>46103</v>
      </c>
      <c r="D2090" t="inlineStr">
        <is>
          <t>KRONOBERGS LÄN</t>
        </is>
      </c>
      <c r="E2090" t="inlineStr">
        <is>
          <t>ALVESTA</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42860-2025</t>
        </is>
      </c>
      <c r="B2091" s="1" t="n">
        <v>45908.6147337963</v>
      </c>
      <c r="C2091" s="1" t="n">
        <v>46103</v>
      </c>
      <c r="D2091" t="inlineStr">
        <is>
          <t>KRONOBERGS LÄN</t>
        </is>
      </c>
      <c r="E2091" t="inlineStr">
        <is>
          <t>TINGSRYD</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23530-2025</t>
        </is>
      </c>
      <c r="B2092" s="1" t="n">
        <v>45792.53266203704</v>
      </c>
      <c r="C2092" s="1" t="n">
        <v>46103</v>
      </c>
      <c r="D2092" t="inlineStr">
        <is>
          <t>KRONOBERGS LÄN</t>
        </is>
      </c>
      <c r="E2092" t="inlineStr">
        <is>
          <t>TINGSRYD</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22576-2025</t>
        </is>
      </c>
      <c r="B2093" s="1" t="n">
        <v>45789.36847222222</v>
      </c>
      <c r="C2093" s="1" t="n">
        <v>46103</v>
      </c>
      <c r="D2093" t="inlineStr">
        <is>
          <t>KRONOBERGS LÄN</t>
        </is>
      </c>
      <c r="E2093" t="inlineStr">
        <is>
          <t>TINGSRYD</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39022-2022</t>
        </is>
      </c>
      <c r="B2094" s="1" t="n">
        <v>44817</v>
      </c>
      <c r="C2094" s="1" t="n">
        <v>46103</v>
      </c>
      <c r="D2094" t="inlineStr">
        <is>
          <t>KRONOBERGS LÄN</t>
        </is>
      </c>
      <c r="E2094" t="inlineStr">
        <is>
          <t>ÄLMHULT</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42972-2025</t>
        </is>
      </c>
      <c r="B2095" s="1" t="n">
        <v>45909</v>
      </c>
      <c r="C2095" s="1" t="n">
        <v>46103</v>
      </c>
      <c r="D2095" t="inlineStr">
        <is>
          <t>KRONOBERGS LÄN</t>
        </is>
      </c>
      <c r="E2095" t="inlineStr">
        <is>
          <t>LJUNGBY</t>
        </is>
      </c>
      <c r="G2095" t="n">
        <v>1.8</v>
      </c>
      <c r="H2095" t="n">
        <v>0</v>
      </c>
      <c r="I2095" t="n">
        <v>0</v>
      </c>
      <c r="J2095" t="n">
        <v>0</v>
      </c>
      <c r="K2095" t="n">
        <v>0</v>
      </c>
      <c r="L2095" t="n">
        <v>0</v>
      </c>
      <c r="M2095" t="n">
        <v>0</v>
      </c>
      <c r="N2095" t="n">
        <v>0</v>
      </c>
      <c r="O2095" t="n">
        <v>0</v>
      </c>
      <c r="P2095" t="n">
        <v>0</v>
      </c>
      <c r="Q2095" t="n">
        <v>0</v>
      </c>
      <c r="R2095" s="2" t="inlineStr"/>
      <c r="U2095">
        <f>HYPERLINK("https://klasma.github.io/Logging_0781/knärot/A 42972-2025 karta knärot.png", "A 42972-2025")</f>
        <v/>
      </c>
      <c r="V2095">
        <f>HYPERLINK("https://klasma.github.io/Logging_0781/klagomål/A 42972-2025 FSC-klagomål.docx", "A 42972-2025")</f>
        <v/>
      </c>
      <c r="W2095">
        <f>HYPERLINK("https://klasma.github.io/Logging_0781/klagomålsmail/A 42972-2025 FSC-klagomål mail.docx", "A 42972-2025")</f>
        <v/>
      </c>
      <c r="X2095">
        <f>HYPERLINK("https://klasma.github.io/Logging_0781/tillsyn/A 42972-2025 tillsynsbegäran.docx", "A 42972-2025")</f>
        <v/>
      </c>
      <c r="Y2095">
        <f>HYPERLINK("https://klasma.github.io/Logging_0781/tillsynsmail/A 42972-2025 tillsynsbegäran mail.docx", "A 42972-2025")</f>
        <v/>
      </c>
    </row>
    <row r="2096" ht="15" customHeight="1">
      <c r="A2096" t="inlineStr">
        <is>
          <t>A 42946-2025</t>
        </is>
      </c>
      <c r="B2096" s="1" t="n">
        <v>45909.34719907407</v>
      </c>
      <c r="C2096" s="1" t="n">
        <v>46103</v>
      </c>
      <c r="D2096" t="inlineStr">
        <is>
          <t>KRONOBERGS LÄN</t>
        </is>
      </c>
      <c r="E2096" t="inlineStr">
        <is>
          <t>VÄXJÖ</t>
        </is>
      </c>
      <c r="G2096" t="n">
        <v>6.5</v>
      </c>
      <c r="H2096" t="n">
        <v>0</v>
      </c>
      <c r="I2096" t="n">
        <v>0</v>
      </c>
      <c r="J2096" t="n">
        <v>0</v>
      </c>
      <c r="K2096" t="n">
        <v>0</v>
      </c>
      <c r="L2096" t="n">
        <v>0</v>
      </c>
      <c r="M2096" t="n">
        <v>0</v>
      </c>
      <c r="N2096" t="n">
        <v>0</v>
      </c>
      <c r="O2096" t="n">
        <v>0</v>
      </c>
      <c r="P2096" t="n">
        <v>0</v>
      </c>
      <c r="Q2096" t="n">
        <v>0</v>
      </c>
      <c r="R2096" s="2" t="inlineStr"/>
    </row>
    <row r="2097" ht="15" customHeight="1">
      <c r="A2097" t="inlineStr">
        <is>
          <t>A 15063-2023</t>
        </is>
      </c>
      <c r="B2097" s="1" t="n">
        <v>45015</v>
      </c>
      <c r="C2097" s="1" t="n">
        <v>46103</v>
      </c>
      <c r="D2097" t="inlineStr">
        <is>
          <t>KRONOBERGS LÄN</t>
        </is>
      </c>
      <c r="E2097" t="inlineStr">
        <is>
          <t>ALVESTA</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62978-2023</t>
        </is>
      </c>
      <c r="B2098" s="1" t="n">
        <v>45272</v>
      </c>
      <c r="C2098" s="1" t="n">
        <v>46103</v>
      </c>
      <c r="D2098" t="inlineStr">
        <is>
          <t>KRONOBERGS LÄN</t>
        </is>
      </c>
      <c r="E2098" t="inlineStr">
        <is>
          <t>LJUNGBY</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8293-2025</t>
        </is>
      </c>
      <c r="B2099" s="1" t="n">
        <v>45708.57878472222</v>
      </c>
      <c r="C2099" s="1" t="n">
        <v>46103</v>
      </c>
      <c r="D2099" t="inlineStr">
        <is>
          <t>KRONOBERGS LÄN</t>
        </is>
      </c>
      <c r="E2099" t="inlineStr">
        <is>
          <t>ALVESTA</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42765-2025</t>
        </is>
      </c>
      <c r="B2100" s="1" t="n">
        <v>45908.47</v>
      </c>
      <c r="C2100" s="1" t="n">
        <v>46103</v>
      </c>
      <c r="D2100" t="inlineStr">
        <is>
          <t>KRONOBERGS LÄN</t>
        </is>
      </c>
      <c r="E2100" t="inlineStr">
        <is>
          <t>TINGSRYD</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45854-2023</t>
        </is>
      </c>
      <c r="B2101" s="1" t="n">
        <v>45195.59732638889</v>
      </c>
      <c r="C2101" s="1" t="n">
        <v>46103</v>
      </c>
      <c r="D2101" t="inlineStr">
        <is>
          <t>KRONOBERGS LÄN</t>
        </is>
      </c>
      <c r="E2101" t="inlineStr">
        <is>
          <t>MARKARYD</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42858-2025</t>
        </is>
      </c>
      <c r="B2102" s="1" t="n">
        <v>45908.61346064815</v>
      </c>
      <c r="C2102" s="1" t="n">
        <v>46103</v>
      </c>
      <c r="D2102" t="inlineStr">
        <is>
          <t>KRONOBERGS LÄN</t>
        </is>
      </c>
      <c r="E2102" t="inlineStr">
        <is>
          <t>TINGSRYD</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25447-2025</t>
        </is>
      </c>
      <c r="B2103" s="1" t="n">
        <v>45801.72324074074</v>
      </c>
      <c r="C2103" s="1" t="n">
        <v>46103</v>
      </c>
      <c r="D2103" t="inlineStr">
        <is>
          <t>KRONOBERGS LÄN</t>
        </is>
      </c>
      <c r="E2103" t="inlineStr">
        <is>
          <t>UPPVIDINGE</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40074-2023</t>
        </is>
      </c>
      <c r="B2104" s="1" t="n">
        <v>45168.88072916667</v>
      </c>
      <c r="C2104" s="1" t="n">
        <v>46103</v>
      </c>
      <c r="D2104" t="inlineStr">
        <is>
          <t>KRONOBERGS LÄN</t>
        </is>
      </c>
      <c r="E2104" t="inlineStr">
        <is>
          <t>VÄXJÖ</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43123-2025</t>
        </is>
      </c>
      <c r="B2105" s="1" t="n">
        <v>45909.70618055556</v>
      </c>
      <c r="C2105" s="1" t="n">
        <v>46103</v>
      </c>
      <c r="D2105" t="inlineStr">
        <is>
          <t>KRONOBERGS LÄN</t>
        </is>
      </c>
      <c r="E2105" t="inlineStr">
        <is>
          <t>ÄLMHULT</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29590-2023</t>
        </is>
      </c>
      <c r="B2106" s="1" t="n">
        <v>45106.89616898148</v>
      </c>
      <c r="C2106" s="1" t="n">
        <v>46103</v>
      </c>
      <c r="D2106" t="inlineStr">
        <is>
          <t>KRONOBERGS LÄN</t>
        </is>
      </c>
      <c r="E2106" t="inlineStr">
        <is>
          <t>LJUNGBY</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35478-2024</t>
        </is>
      </c>
      <c r="B2107" s="1" t="n">
        <v>45531</v>
      </c>
      <c r="C2107" s="1" t="n">
        <v>46103</v>
      </c>
      <c r="D2107" t="inlineStr">
        <is>
          <t>KRONOBERGS LÄN</t>
        </is>
      </c>
      <c r="E2107" t="inlineStr">
        <is>
          <t>ÄLMHULT</t>
        </is>
      </c>
      <c r="F2107" t="inlineStr">
        <is>
          <t>Kyrkan</t>
        </is>
      </c>
      <c r="G2107" t="n">
        <v>5.7</v>
      </c>
      <c r="H2107" t="n">
        <v>0</v>
      </c>
      <c r="I2107" t="n">
        <v>0</v>
      </c>
      <c r="J2107" t="n">
        <v>0</v>
      </c>
      <c r="K2107" t="n">
        <v>0</v>
      </c>
      <c r="L2107" t="n">
        <v>0</v>
      </c>
      <c r="M2107" t="n">
        <v>0</v>
      </c>
      <c r="N2107" t="n">
        <v>0</v>
      </c>
      <c r="O2107" t="n">
        <v>0</v>
      </c>
      <c r="P2107" t="n">
        <v>0</v>
      </c>
      <c r="Q2107" t="n">
        <v>0</v>
      </c>
      <c r="R2107" s="2" t="inlineStr"/>
    </row>
    <row r="2108" ht="15" customHeight="1">
      <c r="A2108" t="inlineStr">
        <is>
          <t>A 14743-2024</t>
        </is>
      </c>
      <c r="B2108" s="1" t="n">
        <v>45397.60945601852</v>
      </c>
      <c r="C2108" s="1" t="n">
        <v>46103</v>
      </c>
      <c r="D2108" t="inlineStr">
        <is>
          <t>KRONOBERGS LÄN</t>
        </is>
      </c>
      <c r="E2108" t="inlineStr">
        <is>
          <t>VÄXJÖ</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42995-2025</t>
        </is>
      </c>
      <c r="B2109" s="1" t="n">
        <v>45909</v>
      </c>
      <c r="C2109" s="1" t="n">
        <v>46103</v>
      </c>
      <c r="D2109" t="inlineStr">
        <is>
          <t>KRONOBERGS LÄN</t>
        </is>
      </c>
      <c r="E2109" t="inlineStr">
        <is>
          <t>LJUNGBY</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43001-2025</t>
        </is>
      </c>
      <c r="B2110" s="1" t="n">
        <v>45909.46409722222</v>
      </c>
      <c r="C2110" s="1" t="n">
        <v>46103</v>
      </c>
      <c r="D2110" t="inlineStr">
        <is>
          <t>KRONOBERGS LÄN</t>
        </is>
      </c>
      <c r="E2110" t="inlineStr">
        <is>
          <t>LJUNGBY</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61095-2025</t>
        </is>
      </c>
      <c r="B2111" s="1" t="n">
        <v>46000.43627314815</v>
      </c>
      <c r="C2111" s="1" t="n">
        <v>46103</v>
      </c>
      <c r="D2111" t="inlineStr">
        <is>
          <t>KRONOBERGS LÄN</t>
        </is>
      </c>
      <c r="E2111" t="inlineStr">
        <is>
          <t>VÄXJÖ</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42679-2025</t>
        </is>
      </c>
      <c r="B2112" s="1" t="n">
        <v>45908.33508101852</v>
      </c>
      <c r="C2112" s="1" t="n">
        <v>46103</v>
      </c>
      <c r="D2112" t="inlineStr">
        <is>
          <t>KRONOBERGS LÄN</t>
        </is>
      </c>
      <c r="E2112" t="inlineStr">
        <is>
          <t>LJUNGBY</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42680-2025</t>
        </is>
      </c>
      <c r="B2113" s="1" t="n">
        <v>45908.3394675926</v>
      </c>
      <c r="C2113" s="1" t="n">
        <v>46103</v>
      </c>
      <c r="D2113" t="inlineStr">
        <is>
          <t>KRONOBERGS LÄN</t>
        </is>
      </c>
      <c r="E2113" t="inlineStr">
        <is>
          <t>LJUNGBY</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57127-2023</t>
        </is>
      </c>
      <c r="B2114" s="1" t="n">
        <v>45245.37445601852</v>
      </c>
      <c r="C2114" s="1" t="n">
        <v>46103</v>
      </c>
      <c r="D2114" t="inlineStr">
        <is>
          <t>KRONOBERGS LÄN</t>
        </is>
      </c>
      <c r="E2114" t="inlineStr">
        <is>
          <t>UPPVIDINGE</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61414-2025</t>
        </is>
      </c>
      <c r="B2115" s="1" t="n">
        <v>46000</v>
      </c>
      <c r="C2115" s="1" t="n">
        <v>46103</v>
      </c>
      <c r="D2115" t="inlineStr">
        <is>
          <t>KRONOBERGS LÄN</t>
        </is>
      </c>
      <c r="E2115" t="inlineStr">
        <is>
          <t>ÄLMHULT</t>
        </is>
      </c>
      <c r="F2115" t="inlineStr">
        <is>
          <t>Kommuner</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32047-2024</t>
        </is>
      </c>
      <c r="B2116" s="1" t="n">
        <v>45510</v>
      </c>
      <c r="C2116" s="1" t="n">
        <v>46103</v>
      </c>
      <c r="D2116" t="inlineStr">
        <is>
          <t>KRONOBERGS LÄN</t>
        </is>
      </c>
      <c r="E2116" t="inlineStr">
        <is>
          <t>LJUNGBY</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6100-2024</t>
        </is>
      </c>
      <c r="B2117" s="1" t="n">
        <v>45337</v>
      </c>
      <c r="C2117" s="1" t="n">
        <v>46103</v>
      </c>
      <c r="D2117" t="inlineStr">
        <is>
          <t>KRONOBERGS LÄN</t>
        </is>
      </c>
      <c r="E2117" t="inlineStr">
        <is>
          <t>ALVESTA</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32437-2025</t>
        </is>
      </c>
      <c r="B2118" s="1" t="n">
        <v>45838.37465277778</v>
      </c>
      <c r="C2118" s="1" t="n">
        <v>46103</v>
      </c>
      <c r="D2118" t="inlineStr">
        <is>
          <t>KRONOBERGS LÄN</t>
        </is>
      </c>
      <c r="E2118" t="inlineStr">
        <is>
          <t>UPPVIDINGE</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43126-2025</t>
        </is>
      </c>
      <c r="B2119" s="1" t="n">
        <v>45909.74082175926</v>
      </c>
      <c r="C2119" s="1" t="n">
        <v>46103</v>
      </c>
      <c r="D2119" t="inlineStr">
        <is>
          <t>KRONOBERGS LÄN</t>
        </is>
      </c>
      <c r="E2119" t="inlineStr">
        <is>
          <t>TINGSRYD</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36601-2023</t>
        </is>
      </c>
      <c r="B2120" s="1" t="n">
        <v>45153</v>
      </c>
      <c r="C2120" s="1" t="n">
        <v>46103</v>
      </c>
      <c r="D2120" t="inlineStr">
        <is>
          <t>KRONOBERGS LÄN</t>
        </is>
      </c>
      <c r="E2120" t="inlineStr">
        <is>
          <t>UPPVIDINGE</t>
        </is>
      </c>
      <c r="G2120" t="n">
        <v>0.1</v>
      </c>
      <c r="H2120" t="n">
        <v>0</v>
      </c>
      <c r="I2120" t="n">
        <v>0</v>
      </c>
      <c r="J2120" t="n">
        <v>0</v>
      </c>
      <c r="K2120" t="n">
        <v>0</v>
      </c>
      <c r="L2120" t="n">
        <v>0</v>
      </c>
      <c r="M2120" t="n">
        <v>0</v>
      </c>
      <c r="N2120" t="n">
        <v>0</v>
      </c>
      <c r="O2120" t="n">
        <v>0</v>
      </c>
      <c r="P2120" t="n">
        <v>0</v>
      </c>
      <c r="Q2120" t="n">
        <v>0</v>
      </c>
      <c r="R2120" s="2" t="inlineStr"/>
    </row>
    <row r="2121" ht="15" customHeight="1">
      <c r="A2121" t="inlineStr">
        <is>
          <t>A 61423-2025</t>
        </is>
      </c>
      <c r="B2121" s="1" t="n">
        <v>46000</v>
      </c>
      <c r="C2121" s="1" t="n">
        <v>46103</v>
      </c>
      <c r="D2121" t="inlineStr">
        <is>
          <t>KRONOBERGS LÄN</t>
        </is>
      </c>
      <c r="E2121" t="inlineStr">
        <is>
          <t>ÄLMHULT</t>
        </is>
      </c>
      <c r="F2121" t="inlineStr">
        <is>
          <t>Kommuner</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18209-2025</t>
        </is>
      </c>
      <c r="B2122" s="1" t="n">
        <v>45761.69005787037</v>
      </c>
      <c r="C2122" s="1" t="n">
        <v>46103</v>
      </c>
      <c r="D2122" t="inlineStr">
        <is>
          <t>KRONOBERGS LÄN</t>
        </is>
      </c>
      <c r="E2122" t="inlineStr">
        <is>
          <t>LESSEBO</t>
        </is>
      </c>
      <c r="F2122" t="inlineStr">
        <is>
          <t>Sveaskog</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35819-2021</t>
        </is>
      </c>
      <c r="B2123" s="1" t="n">
        <v>44386</v>
      </c>
      <c r="C2123" s="1" t="n">
        <v>46103</v>
      </c>
      <c r="D2123" t="inlineStr">
        <is>
          <t>KRONOBERGS LÄN</t>
        </is>
      </c>
      <c r="E2123" t="inlineStr">
        <is>
          <t>VÄXJÖ</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18638-2025</t>
        </is>
      </c>
      <c r="B2124" s="1" t="n">
        <v>45763.56696759259</v>
      </c>
      <c r="C2124" s="1" t="n">
        <v>46103</v>
      </c>
      <c r="D2124" t="inlineStr">
        <is>
          <t>KRONOBERGS LÄN</t>
        </is>
      </c>
      <c r="E2124" t="inlineStr">
        <is>
          <t>TINGSRYD</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1686-2025</t>
        </is>
      </c>
      <c r="B2125" s="1" t="n">
        <v>45670.69885416667</v>
      </c>
      <c r="C2125" s="1" t="n">
        <v>46103</v>
      </c>
      <c r="D2125" t="inlineStr">
        <is>
          <t>KRONOBERGS LÄN</t>
        </is>
      </c>
      <c r="E2125" t="inlineStr">
        <is>
          <t>ALVESTA</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43002-2025</t>
        </is>
      </c>
      <c r="B2126" s="1" t="n">
        <v>45909</v>
      </c>
      <c r="C2126" s="1" t="n">
        <v>46103</v>
      </c>
      <c r="D2126" t="inlineStr">
        <is>
          <t>KRONOBERGS LÄN</t>
        </is>
      </c>
      <c r="E2126" t="inlineStr">
        <is>
          <t>LJUNGBY</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42998-2025</t>
        </is>
      </c>
      <c r="B2127" s="1" t="n">
        <v>45909.46054398148</v>
      </c>
      <c r="C2127" s="1" t="n">
        <v>46103</v>
      </c>
      <c r="D2127" t="inlineStr">
        <is>
          <t>KRONOBERGS LÄN</t>
        </is>
      </c>
      <c r="E2127" t="inlineStr">
        <is>
          <t>LJUNGBY</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12155-2022</t>
        </is>
      </c>
      <c r="B2128" s="1" t="n">
        <v>44636.65648148148</v>
      </c>
      <c r="C2128" s="1" t="n">
        <v>46103</v>
      </c>
      <c r="D2128" t="inlineStr">
        <is>
          <t>KRONOBERGS LÄN</t>
        </is>
      </c>
      <c r="E2128" t="inlineStr">
        <is>
          <t>MARKARYD</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42958-2025</t>
        </is>
      </c>
      <c r="B2129" s="1" t="n">
        <v>45909.36420138889</v>
      </c>
      <c r="C2129" s="1" t="n">
        <v>46103</v>
      </c>
      <c r="D2129" t="inlineStr">
        <is>
          <t>KRONOBERGS LÄN</t>
        </is>
      </c>
      <c r="E2129" t="inlineStr">
        <is>
          <t>ALVESTA</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42976-2025</t>
        </is>
      </c>
      <c r="B2130" s="1" t="n">
        <v>45909.42730324074</v>
      </c>
      <c r="C2130" s="1" t="n">
        <v>46103</v>
      </c>
      <c r="D2130" t="inlineStr">
        <is>
          <t>KRONOBERGS LÄN</t>
        </is>
      </c>
      <c r="E2130" t="inlineStr">
        <is>
          <t>ALVESTA</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10685-2023</t>
        </is>
      </c>
      <c r="B2131" s="1" t="n">
        <v>44988.55334490741</v>
      </c>
      <c r="C2131" s="1" t="n">
        <v>46103</v>
      </c>
      <c r="D2131" t="inlineStr">
        <is>
          <t>KRONOBERGS LÄN</t>
        </is>
      </c>
      <c r="E2131" t="inlineStr">
        <is>
          <t>MARKARYD</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39395-2023</t>
        </is>
      </c>
      <c r="B2132" s="1" t="n">
        <v>45166.65635416667</v>
      </c>
      <c r="C2132" s="1" t="n">
        <v>46103</v>
      </c>
      <c r="D2132" t="inlineStr">
        <is>
          <t>KRONOBERGS LÄN</t>
        </is>
      </c>
      <c r="E2132" t="inlineStr">
        <is>
          <t>VÄXJÖ</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22383-2024</t>
        </is>
      </c>
      <c r="B2133" s="1" t="n">
        <v>45446</v>
      </c>
      <c r="C2133" s="1" t="n">
        <v>46103</v>
      </c>
      <c r="D2133" t="inlineStr">
        <is>
          <t>KRONOBERGS LÄN</t>
        </is>
      </c>
      <c r="E2133" t="inlineStr">
        <is>
          <t>LJUNGBY</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42787-2025</t>
        </is>
      </c>
      <c r="B2134" s="1" t="n">
        <v>45908.51197916667</v>
      </c>
      <c r="C2134" s="1" t="n">
        <v>46103</v>
      </c>
      <c r="D2134" t="inlineStr">
        <is>
          <t>KRONOBERGS LÄN</t>
        </is>
      </c>
      <c r="E2134" t="inlineStr">
        <is>
          <t>UPPVIDINGE</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4504-2025</t>
        </is>
      </c>
      <c r="B2135" s="1" t="n">
        <v>45686.73145833334</v>
      </c>
      <c r="C2135" s="1" t="n">
        <v>46103</v>
      </c>
      <c r="D2135" t="inlineStr">
        <is>
          <t>KRONOBERGS LÄN</t>
        </is>
      </c>
      <c r="E2135" t="inlineStr">
        <is>
          <t>LESSEBO</t>
        </is>
      </c>
      <c r="F2135" t="inlineStr">
        <is>
          <t>Sveaskog</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42718-2025</t>
        </is>
      </c>
      <c r="B2136" s="1" t="n">
        <v>45908.39239583333</v>
      </c>
      <c r="C2136" s="1" t="n">
        <v>46103</v>
      </c>
      <c r="D2136" t="inlineStr">
        <is>
          <t>KRONOBERGS LÄN</t>
        </is>
      </c>
      <c r="E2136" t="inlineStr">
        <is>
          <t>UPPVIDINGE</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61496-2025</t>
        </is>
      </c>
      <c r="B2137" s="1" t="n">
        <v>46001.64959490741</v>
      </c>
      <c r="C2137" s="1" t="n">
        <v>46103</v>
      </c>
      <c r="D2137" t="inlineStr">
        <is>
          <t>KRONOBERGS LÄN</t>
        </is>
      </c>
      <c r="E2137" t="inlineStr">
        <is>
          <t>UPPVIDINGE</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43267-2025</t>
        </is>
      </c>
      <c r="B2138" s="1" t="n">
        <v>45910.57600694444</v>
      </c>
      <c r="C2138" s="1" t="n">
        <v>46103</v>
      </c>
      <c r="D2138" t="inlineStr">
        <is>
          <t>KRONOBERGS LÄN</t>
        </is>
      </c>
      <c r="E2138" t="inlineStr">
        <is>
          <t>LJUNGBY</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61527-2025</t>
        </is>
      </c>
      <c r="B2139" s="1" t="n">
        <v>46001.69814814815</v>
      </c>
      <c r="C2139" s="1" t="n">
        <v>46103</v>
      </c>
      <c r="D2139" t="inlineStr">
        <is>
          <t>KRONOBERGS LÄN</t>
        </is>
      </c>
      <c r="E2139" t="inlineStr">
        <is>
          <t>LJUNGBY</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24168-2025</t>
        </is>
      </c>
      <c r="B2140" s="1" t="n">
        <v>45796.67884259259</v>
      </c>
      <c r="C2140" s="1" t="n">
        <v>46103</v>
      </c>
      <c r="D2140" t="inlineStr">
        <is>
          <t>KRONOBERGS LÄN</t>
        </is>
      </c>
      <c r="E2140" t="inlineStr">
        <is>
          <t>ALVESTA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43233-2025</t>
        </is>
      </c>
      <c r="B2141" s="1" t="n">
        <v>45910.50434027778</v>
      </c>
      <c r="C2141" s="1" t="n">
        <v>46103</v>
      </c>
      <c r="D2141" t="inlineStr">
        <is>
          <t>KRONOBERGS LÄN</t>
        </is>
      </c>
      <c r="E2141" t="inlineStr">
        <is>
          <t>UPPVIDINGE</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55958-2024</t>
        </is>
      </c>
      <c r="B2142" s="1" t="n">
        <v>45623.63510416666</v>
      </c>
      <c r="C2142" s="1" t="n">
        <v>46103</v>
      </c>
      <c r="D2142" t="inlineStr">
        <is>
          <t>KRONOBERGS LÄN</t>
        </is>
      </c>
      <c r="E2142" t="inlineStr">
        <is>
          <t>VÄXJÖ</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61270-2025</t>
        </is>
      </c>
      <c r="B2143" s="1" t="n">
        <v>46000.68327546296</v>
      </c>
      <c r="C2143" s="1" t="n">
        <v>46103</v>
      </c>
      <c r="D2143" t="inlineStr">
        <is>
          <t>KRONOBERGS LÄN</t>
        </is>
      </c>
      <c r="E2143" t="inlineStr">
        <is>
          <t>ALVESTA</t>
        </is>
      </c>
      <c r="F2143" t="inlineStr">
        <is>
          <t>Kyrkan</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43486-2025</t>
        </is>
      </c>
      <c r="B2144" s="1" t="n">
        <v>45911.5083912037</v>
      </c>
      <c r="C2144" s="1" t="n">
        <v>46103</v>
      </c>
      <c r="D2144" t="inlineStr">
        <is>
          <t>KRONOBERGS LÄN</t>
        </is>
      </c>
      <c r="E2144" t="inlineStr">
        <is>
          <t>TINGSRYD</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43493-2025</t>
        </is>
      </c>
      <c r="B2145" s="1" t="n">
        <v>45911.51697916666</v>
      </c>
      <c r="C2145" s="1" t="n">
        <v>46103</v>
      </c>
      <c r="D2145" t="inlineStr">
        <is>
          <t>KRONOBERGS LÄN</t>
        </is>
      </c>
      <c r="E2145" t="inlineStr">
        <is>
          <t>VÄXJÖ</t>
        </is>
      </c>
      <c r="G2145" t="n">
        <v>4.8</v>
      </c>
      <c r="H2145" t="n">
        <v>0</v>
      </c>
      <c r="I2145" t="n">
        <v>0</v>
      </c>
      <c r="J2145" t="n">
        <v>0</v>
      </c>
      <c r="K2145" t="n">
        <v>0</v>
      </c>
      <c r="L2145" t="n">
        <v>0</v>
      </c>
      <c r="M2145" t="n">
        <v>0</v>
      </c>
      <c r="N2145" t="n">
        <v>0</v>
      </c>
      <c r="O2145" t="n">
        <v>0</v>
      </c>
      <c r="P2145" t="n">
        <v>0</v>
      </c>
      <c r="Q2145" t="n">
        <v>0</v>
      </c>
      <c r="R2145" s="2" t="inlineStr"/>
    </row>
    <row r="2146" ht="15" customHeight="1">
      <c r="A2146" t="inlineStr">
        <is>
          <t>A 43491-2025</t>
        </is>
      </c>
      <c r="B2146" s="1" t="n">
        <v>45911.51158564815</v>
      </c>
      <c r="C2146" s="1" t="n">
        <v>46103</v>
      </c>
      <c r="D2146" t="inlineStr">
        <is>
          <t>KRONOBERGS LÄN</t>
        </is>
      </c>
      <c r="E2146" t="inlineStr">
        <is>
          <t>TINGSRYD</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43217-2025</t>
        </is>
      </c>
      <c r="B2147" s="1" t="n">
        <v>45910.46872685185</v>
      </c>
      <c r="C2147" s="1" t="n">
        <v>46103</v>
      </c>
      <c r="D2147" t="inlineStr">
        <is>
          <t>KRONOBERGS LÄN</t>
        </is>
      </c>
      <c r="E2147" t="inlineStr">
        <is>
          <t>LJUNGBY</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61563-2025</t>
        </is>
      </c>
      <c r="B2148" s="1" t="n">
        <v>46001.90539351852</v>
      </c>
      <c r="C2148" s="1" t="n">
        <v>46103</v>
      </c>
      <c r="D2148" t="inlineStr">
        <is>
          <t>KRONOBERGS LÄN</t>
        </is>
      </c>
      <c r="E2148" t="inlineStr">
        <is>
          <t>VÄXJÖ</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43619-2025</t>
        </is>
      </c>
      <c r="B2149" s="1" t="n">
        <v>45911.68001157408</v>
      </c>
      <c r="C2149" s="1" t="n">
        <v>46103</v>
      </c>
      <c r="D2149" t="inlineStr">
        <is>
          <t>KRONOBERGS LÄN</t>
        </is>
      </c>
      <c r="E2149" t="inlineStr">
        <is>
          <t>MARKARYD</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49695-2023</t>
        </is>
      </c>
      <c r="B2150" s="1" t="n">
        <v>45212.38681712963</v>
      </c>
      <c r="C2150" s="1" t="n">
        <v>46103</v>
      </c>
      <c r="D2150" t="inlineStr">
        <is>
          <t>KRONOBERGS LÄN</t>
        </is>
      </c>
      <c r="E2150" t="inlineStr">
        <is>
          <t>MARKARYD</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26840-2025</t>
        </is>
      </c>
      <c r="B2151" s="1" t="n">
        <v>45810.65920138889</v>
      </c>
      <c r="C2151" s="1" t="n">
        <v>46103</v>
      </c>
      <c r="D2151" t="inlineStr">
        <is>
          <t>KRONOBERGS LÄN</t>
        </is>
      </c>
      <c r="E2151" t="inlineStr">
        <is>
          <t>MARKARYD</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6746-2025</t>
        </is>
      </c>
      <c r="B2152" s="1" t="n">
        <v>45700.60534722222</v>
      </c>
      <c r="C2152" s="1" t="n">
        <v>46103</v>
      </c>
      <c r="D2152" t="inlineStr">
        <is>
          <t>KRONOBERGS LÄN</t>
        </is>
      </c>
      <c r="E2152" t="inlineStr">
        <is>
          <t>MARKARYD</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24565-2025</t>
        </is>
      </c>
      <c r="B2153" s="1" t="n">
        <v>45797</v>
      </c>
      <c r="C2153" s="1" t="n">
        <v>46103</v>
      </c>
      <c r="D2153" t="inlineStr">
        <is>
          <t>KRONOBERGS LÄN</t>
        </is>
      </c>
      <c r="E2153" t="inlineStr">
        <is>
          <t>LJUNGBY</t>
        </is>
      </c>
      <c r="F2153" t="inlineStr">
        <is>
          <t>Kyrkan</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61935-2025</t>
        </is>
      </c>
      <c r="B2154" s="1" t="n">
        <v>46003.55077546297</v>
      </c>
      <c r="C2154" s="1" t="n">
        <v>46103</v>
      </c>
      <c r="D2154" t="inlineStr">
        <is>
          <t>KRONOBERGS LÄN</t>
        </is>
      </c>
      <c r="E2154" t="inlineStr">
        <is>
          <t>TINGSRYD</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45514-2023</t>
        </is>
      </c>
      <c r="B2155" s="1" t="n">
        <v>45194.49377314815</v>
      </c>
      <c r="C2155" s="1" t="n">
        <v>46103</v>
      </c>
      <c r="D2155" t="inlineStr">
        <is>
          <t>KRONOBERGS LÄN</t>
        </is>
      </c>
      <c r="E2155" t="inlineStr">
        <is>
          <t>VÄXJÖ</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48776-2024</t>
        </is>
      </c>
      <c r="B2156" s="1" t="n">
        <v>45593</v>
      </c>
      <c r="C2156" s="1" t="n">
        <v>46103</v>
      </c>
      <c r="D2156" t="inlineStr">
        <is>
          <t>KRONOBERGS LÄN</t>
        </is>
      </c>
      <c r="E2156" t="inlineStr">
        <is>
          <t>LJUNGBY</t>
        </is>
      </c>
      <c r="F2156" t="inlineStr">
        <is>
          <t>Kyrkan</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43640-2025</t>
        </is>
      </c>
      <c r="B2157" s="1" t="n">
        <v>45911.7464699074</v>
      </c>
      <c r="C2157" s="1" t="n">
        <v>46103</v>
      </c>
      <c r="D2157" t="inlineStr">
        <is>
          <t>KRONOBERGS LÄN</t>
        </is>
      </c>
      <c r="E2157" t="inlineStr">
        <is>
          <t>VÄXJÖ</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45522-2023</t>
        </is>
      </c>
      <c r="B2158" s="1" t="n">
        <v>45194.5039699074</v>
      </c>
      <c r="C2158" s="1" t="n">
        <v>46103</v>
      </c>
      <c r="D2158" t="inlineStr">
        <is>
          <t>KRONOBERGS LÄN</t>
        </is>
      </c>
      <c r="E2158" t="inlineStr">
        <is>
          <t>TINGSRYD</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9923-2023</t>
        </is>
      </c>
      <c r="B2159" s="1" t="n">
        <v>44985</v>
      </c>
      <c r="C2159" s="1" t="n">
        <v>46103</v>
      </c>
      <c r="D2159" t="inlineStr">
        <is>
          <t>KRONOBERGS LÄN</t>
        </is>
      </c>
      <c r="E2159" t="inlineStr">
        <is>
          <t>UPPVIDINGE</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63209-2023</t>
        </is>
      </c>
      <c r="B2160" s="1" t="n">
        <v>45273.615</v>
      </c>
      <c r="C2160" s="1" t="n">
        <v>46103</v>
      </c>
      <c r="D2160" t="inlineStr">
        <is>
          <t>KRONOBERGS LÄN</t>
        </is>
      </c>
      <c r="E2160" t="inlineStr">
        <is>
          <t>UPPVIDINGE</t>
        </is>
      </c>
      <c r="G2160" t="n">
        <v>5.5</v>
      </c>
      <c r="H2160" t="n">
        <v>0</v>
      </c>
      <c r="I2160" t="n">
        <v>0</v>
      </c>
      <c r="J2160" t="n">
        <v>0</v>
      </c>
      <c r="K2160" t="n">
        <v>0</v>
      </c>
      <c r="L2160" t="n">
        <v>0</v>
      </c>
      <c r="M2160" t="n">
        <v>0</v>
      </c>
      <c r="N2160" t="n">
        <v>0</v>
      </c>
      <c r="O2160" t="n">
        <v>0</v>
      </c>
      <c r="P2160" t="n">
        <v>0</v>
      </c>
      <c r="Q2160" t="n">
        <v>0</v>
      </c>
      <c r="R2160" s="2" t="inlineStr"/>
    </row>
    <row r="2161" ht="15" customHeight="1">
      <c r="A2161" t="inlineStr">
        <is>
          <t>A 8080-2025</t>
        </is>
      </c>
      <c r="B2161" s="1" t="n">
        <v>45707.66030092593</v>
      </c>
      <c r="C2161" s="1" t="n">
        <v>46103</v>
      </c>
      <c r="D2161" t="inlineStr">
        <is>
          <t>KRONOBERGS LÄN</t>
        </is>
      </c>
      <c r="E2161" t="inlineStr">
        <is>
          <t>LJUNGBY</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43429-2025</t>
        </is>
      </c>
      <c r="B2162" s="1" t="n">
        <v>45911.42127314815</v>
      </c>
      <c r="C2162" s="1" t="n">
        <v>46103</v>
      </c>
      <c r="D2162" t="inlineStr">
        <is>
          <t>KRONOBERGS LÄN</t>
        </is>
      </c>
      <c r="E2162" t="inlineStr">
        <is>
          <t>ÄLMHULT</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61749-2025</t>
        </is>
      </c>
      <c r="B2163" s="1" t="n">
        <v>46002.61063657407</v>
      </c>
      <c r="C2163" s="1" t="n">
        <v>46103</v>
      </c>
      <c r="D2163" t="inlineStr">
        <is>
          <t>KRONOBERGS LÄN</t>
        </is>
      </c>
      <c r="E2163" t="inlineStr">
        <is>
          <t>ÄLMHULT</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43451-2025</t>
        </is>
      </c>
      <c r="B2164" s="1" t="n">
        <v>45911.45743055556</v>
      </c>
      <c r="C2164" s="1" t="n">
        <v>46103</v>
      </c>
      <c r="D2164" t="inlineStr">
        <is>
          <t>KRONOBERGS LÄN</t>
        </is>
      </c>
      <c r="E2164" t="inlineStr">
        <is>
          <t>VÄXJÖ</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43467-2025</t>
        </is>
      </c>
      <c r="B2165" s="1" t="n">
        <v>45911.47451388889</v>
      </c>
      <c r="C2165" s="1" t="n">
        <v>46103</v>
      </c>
      <c r="D2165" t="inlineStr">
        <is>
          <t>KRONOBERGS LÄN</t>
        </is>
      </c>
      <c r="E2165" t="inlineStr">
        <is>
          <t>ÄLMHULT</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43522-2025</t>
        </is>
      </c>
      <c r="B2166" s="1" t="n">
        <v>45911.57913194445</v>
      </c>
      <c r="C2166" s="1" t="n">
        <v>46103</v>
      </c>
      <c r="D2166" t="inlineStr">
        <is>
          <t>KRONOBERGS LÄN</t>
        </is>
      </c>
      <c r="E2166" t="inlineStr">
        <is>
          <t>ÄLMHULT</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61709-2025</t>
        </is>
      </c>
      <c r="B2167" s="1" t="n">
        <v>46002</v>
      </c>
      <c r="C2167" s="1" t="n">
        <v>46103</v>
      </c>
      <c r="D2167" t="inlineStr">
        <is>
          <t>KRONOBERGS LÄN</t>
        </is>
      </c>
      <c r="E2167" t="inlineStr">
        <is>
          <t>ALVESTA</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61711-2025</t>
        </is>
      </c>
      <c r="B2168" s="1" t="n">
        <v>46002.56247685185</v>
      </c>
      <c r="C2168" s="1" t="n">
        <v>46103</v>
      </c>
      <c r="D2168" t="inlineStr">
        <is>
          <t>KRONOBERGS LÄN</t>
        </is>
      </c>
      <c r="E2168" t="inlineStr">
        <is>
          <t>UPPVIDINGE</t>
        </is>
      </c>
      <c r="F2168" t="inlineStr">
        <is>
          <t>Sveaskog</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57315-2023</t>
        </is>
      </c>
      <c r="B2169" s="1" t="n">
        <v>45240</v>
      </c>
      <c r="C2169" s="1" t="n">
        <v>46103</v>
      </c>
      <c r="D2169" t="inlineStr">
        <is>
          <t>KRONOBERGS LÄN</t>
        </is>
      </c>
      <c r="E2169" t="inlineStr">
        <is>
          <t>ÄLMHULT</t>
        </is>
      </c>
      <c r="F2169" t="inlineStr">
        <is>
          <t>Kyrkan</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16901-2023</t>
        </is>
      </c>
      <c r="B2170" s="1" t="n">
        <v>45033.56914351852</v>
      </c>
      <c r="C2170" s="1" t="n">
        <v>46103</v>
      </c>
      <c r="D2170" t="inlineStr">
        <is>
          <t>KRONOBERGS LÄN</t>
        </is>
      </c>
      <c r="E2170" t="inlineStr">
        <is>
          <t>TINGSRYD</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43311-2025</t>
        </is>
      </c>
      <c r="B2171" s="1" t="n">
        <v>45910.64783564815</v>
      </c>
      <c r="C2171" s="1" t="n">
        <v>46103</v>
      </c>
      <c r="D2171" t="inlineStr">
        <is>
          <t>KRONOBERGS LÄN</t>
        </is>
      </c>
      <c r="E2171" t="inlineStr">
        <is>
          <t>VÄXJÖ</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43316-2025</t>
        </is>
      </c>
      <c r="B2172" s="1" t="n">
        <v>45910.65425925926</v>
      </c>
      <c r="C2172" s="1" t="n">
        <v>46103</v>
      </c>
      <c r="D2172" t="inlineStr">
        <is>
          <t>KRONOBERGS LÄN</t>
        </is>
      </c>
      <c r="E2172" t="inlineStr">
        <is>
          <t>VÄXJÖ</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61580-2025</t>
        </is>
      </c>
      <c r="B2173" s="1" t="n">
        <v>46002.33796296296</v>
      </c>
      <c r="C2173" s="1" t="n">
        <v>46103</v>
      </c>
      <c r="D2173" t="inlineStr">
        <is>
          <t>KRONOBERGS LÄN</t>
        </is>
      </c>
      <c r="E2173" t="inlineStr">
        <is>
          <t>UPPVIDINGE</t>
        </is>
      </c>
      <c r="F2173" t="inlineStr">
        <is>
          <t>Sveaskog</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43284-2025</t>
        </is>
      </c>
      <c r="B2174" s="1" t="n">
        <v>45910.6044212963</v>
      </c>
      <c r="C2174" s="1" t="n">
        <v>46103</v>
      </c>
      <c r="D2174" t="inlineStr">
        <is>
          <t>KRONOBERGS LÄN</t>
        </is>
      </c>
      <c r="E2174" t="inlineStr">
        <is>
          <t>UPPVIDINGE</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43594-2025</t>
        </is>
      </c>
      <c r="B2175" s="1" t="n">
        <v>45911.65790509259</v>
      </c>
      <c r="C2175" s="1" t="n">
        <v>46103</v>
      </c>
      <c r="D2175" t="inlineStr">
        <is>
          <t>KRONOBERGS LÄN</t>
        </is>
      </c>
      <c r="E2175" t="inlineStr">
        <is>
          <t>ÄLMHULT</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51659-2023</t>
        </is>
      </c>
      <c r="B2176" s="1" t="n">
        <v>45222.56635416667</v>
      </c>
      <c r="C2176" s="1" t="n">
        <v>46103</v>
      </c>
      <c r="D2176" t="inlineStr">
        <is>
          <t>KRONOBERGS LÄN</t>
        </is>
      </c>
      <c r="E2176" t="inlineStr">
        <is>
          <t>VÄXJÖ</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43293-2025</t>
        </is>
      </c>
      <c r="B2177" s="1" t="n">
        <v>45910.62164351852</v>
      </c>
      <c r="C2177" s="1" t="n">
        <v>46103</v>
      </c>
      <c r="D2177" t="inlineStr">
        <is>
          <t>KRONOBERGS LÄN</t>
        </is>
      </c>
      <c r="E2177" t="inlineStr">
        <is>
          <t>VÄXJÖ</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43297-2025</t>
        </is>
      </c>
      <c r="B2178" s="1" t="n">
        <v>45910.6277662037</v>
      </c>
      <c r="C2178" s="1" t="n">
        <v>46103</v>
      </c>
      <c r="D2178" t="inlineStr">
        <is>
          <t>KRONOBERGS LÄN</t>
        </is>
      </c>
      <c r="E2178" t="inlineStr">
        <is>
          <t>UPPVIDINGE</t>
        </is>
      </c>
      <c r="G2178" t="n">
        <v>5.3</v>
      </c>
      <c r="H2178" t="n">
        <v>0</v>
      </c>
      <c r="I2178" t="n">
        <v>0</v>
      </c>
      <c r="J2178" t="n">
        <v>0</v>
      </c>
      <c r="K2178" t="n">
        <v>0</v>
      </c>
      <c r="L2178" t="n">
        <v>0</v>
      </c>
      <c r="M2178" t="n">
        <v>0</v>
      </c>
      <c r="N2178" t="n">
        <v>0</v>
      </c>
      <c r="O2178" t="n">
        <v>0</v>
      </c>
      <c r="P2178" t="n">
        <v>0</v>
      </c>
      <c r="Q2178" t="n">
        <v>0</v>
      </c>
      <c r="R2178" s="2" t="inlineStr"/>
    </row>
    <row r="2179" ht="15" customHeight="1">
      <c r="A2179" t="inlineStr">
        <is>
          <t>A 43227-2025</t>
        </is>
      </c>
      <c r="B2179" s="1" t="n">
        <v>45910.49222222222</v>
      </c>
      <c r="C2179" s="1" t="n">
        <v>46103</v>
      </c>
      <c r="D2179" t="inlineStr">
        <is>
          <t>KRONOBERGS LÄN</t>
        </is>
      </c>
      <c r="E2179" t="inlineStr">
        <is>
          <t>ALVESTA</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43305-2025</t>
        </is>
      </c>
      <c r="B2180" s="1" t="n">
        <v>45910.63862268518</v>
      </c>
      <c r="C2180" s="1" t="n">
        <v>46103</v>
      </c>
      <c r="D2180" t="inlineStr">
        <is>
          <t>KRONOBERGS LÄN</t>
        </is>
      </c>
      <c r="E2180" t="inlineStr">
        <is>
          <t>UPPVIDINGE</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61940-2025</t>
        </is>
      </c>
      <c r="B2181" s="1" t="n">
        <v>46003.56027777777</v>
      </c>
      <c r="C2181" s="1" t="n">
        <v>46103</v>
      </c>
      <c r="D2181" t="inlineStr">
        <is>
          <t>KRONOBERGS LÄN</t>
        </is>
      </c>
      <c r="E2181" t="inlineStr">
        <is>
          <t>ALVESTA</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56890-2023</t>
        </is>
      </c>
      <c r="B2182" s="1" t="n">
        <v>45244.5584375</v>
      </c>
      <c r="C2182" s="1" t="n">
        <v>46103</v>
      </c>
      <c r="D2182" t="inlineStr">
        <is>
          <t>KRONOBERGS LÄN</t>
        </is>
      </c>
      <c r="E2182" t="inlineStr">
        <is>
          <t>TINGSRYD</t>
        </is>
      </c>
      <c r="G2182" t="n">
        <v>14.7</v>
      </c>
      <c r="H2182" t="n">
        <v>0</v>
      </c>
      <c r="I2182" t="n">
        <v>0</v>
      </c>
      <c r="J2182" t="n">
        <v>0</v>
      </c>
      <c r="K2182" t="n">
        <v>0</v>
      </c>
      <c r="L2182" t="n">
        <v>0</v>
      </c>
      <c r="M2182" t="n">
        <v>0</v>
      </c>
      <c r="N2182" t="n">
        <v>0</v>
      </c>
      <c r="O2182" t="n">
        <v>0</v>
      </c>
      <c r="P2182" t="n">
        <v>0</v>
      </c>
      <c r="Q2182" t="n">
        <v>0</v>
      </c>
      <c r="R2182" s="2" t="inlineStr"/>
    </row>
    <row r="2183" ht="15" customHeight="1">
      <c r="A2183" t="inlineStr">
        <is>
          <t>A 56947-2023</t>
        </is>
      </c>
      <c r="B2183" s="1" t="n">
        <v>45244</v>
      </c>
      <c r="C2183" s="1" t="n">
        <v>46103</v>
      </c>
      <c r="D2183" t="inlineStr">
        <is>
          <t>KRONOBERGS LÄN</t>
        </is>
      </c>
      <c r="E2183" t="inlineStr">
        <is>
          <t>VÄXJÖ</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22533-2025</t>
        </is>
      </c>
      <c r="B2184" s="1" t="n">
        <v>45787.28256944445</v>
      </c>
      <c r="C2184" s="1" t="n">
        <v>46103</v>
      </c>
      <c r="D2184" t="inlineStr">
        <is>
          <t>KRONOBERGS LÄN</t>
        </is>
      </c>
      <c r="E2184" t="inlineStr">
        <is>
          <t>VÄXJÖ</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52684-2024</t>
        </is>
      </c>
      <c r="B2185" s="1" t="n">
        <v>45610</v>
      </c>
      <c r="C2185" s="1" t="n">
        <v>46103</v>
      </c>
      <c r="D2185" t="inlineStr">
        <is>
          <t>KRONOBERGS LÄN</t>
        </is>
      </c>
      <c r="E2185" t="inlineStr">
        <is>
          <t>LJUNGBY</t>
        </is>
      </c>
      <c r="F2185" t="inlineStr">
        <is>
          <t>Kyrkan</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46020-2024</t>
        </is>
      </c>
      <c r="B2186" s="1" t="n">
        <v>45580.68637731481</v>
      </c>
      <c r="C2186" s="1" t="n">
        <v>46103</v>
      </c>
      <c r="D2186" t="inlineStr">
        <is>
          <t>KRONOBERGS LÄN</t>
        </is>
      </c>
      <c r="E2186" t="inlineStr">
        <is>
          <t>TINGSRYD</t>
        </is>
      </c>
      <c r="G2186" t="n">
        <v>6</v>
      </c>
      <c r="H2186" t="n">
        <v>0</v>
      </c>
      <c r="I2186" t="n">
        <v>0</v>
      </c>
      <c r="J2186" t="n">
        <v>0</v>
      </c>
      <c r="K2186" t="n">
        <v>0</v>
      </c>
      <c r="L2186" t="n">
        <v>0</v>
      </c>
      <c r="M2186" t="n">
        <v>0</v>
      </c>
      <c r="N2186" t="n">
        <v>0</v>
      </c>
      <c r="O2186" t="n">
        <v>0</v>
      </c>
      <c r="P2186" t="n">
        <v>0</v>
      </c>
      <c r="Q2186" t="n">
        <v>0</v>
      </c>
      <c r="R2186" s="2" t="inlineStr"/>
    </row>
    <row r="2187" ht="15" customHeight="1">
      <c r="A2187" t="inlineStr">
        <is>
          <t>A 46021-2024</t>
        </is>
      </c>
      <c r="B2187" s="1" t="n">
        <v>45580.6872337963</v>
      </c>
      <c r="C2187" s="1" t="n">
        <v>46103</v>
      </c>
      <c r="D2187" t="inlineStr">
        <is>
          <t>KRONOBERGS LÄN</t>
        </is>
      </c>
      <c r="E2187" t="inlineStr">
        <is>
          <t>TINGSRYD</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7882-2024</t>
        </is>
      </c>
      <c r="B2188" s="1" t="n">
        <v>45350</v>
      </c>
      <c r="C2188" s="1" t="n">
        <v>46103</v>
      </c>
      <c r="D2188" t="inlineStr">
        <is>
          <t>KRONOBERGS LÄN</t>
        </is>
      </c>
      <c r="E2188" t="inlineStr">
        <is>
          <t>ÄLMHULT</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37320-2025</t>
        </is>
      </c>
      <c r="B2189" s="1" t="n">
        <v>45876.62177083334</v>
      </c>
      <c r="C2189" s="1" t="n">
        <v>46103</v>
      </c>
      <c r="D2189" t="inlineStr">
        <is>
          <t>KRONOBERGS LÄN</t>
        </is>
      </c>
      <c r="E2189" t="inlineStr">
        <is>
          <t>LJUNGBY</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53367-2023</t>
        </is>
      </c>
      <c r="B2190" s="1" t="n">
        <v>45229.66976851852</v>
      </c>
      <c r="C2190" s="1" t="n">
        <v>46103</v>
      </c>
      <c r="D2190" t="inlineStr">
        <is>
          <t>KRONOBERGS LÄN</t>
        </is>
      </c>
      <c r="E2190" t="inlineStr">
        <is>
          <t>ALVESTA</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61638-2025</t>
        </is>
      </c>
      <c r="B2191" s="1" t="n">
        <v>46002.42930555555</v>
      </c>
      <c r="C2191" s="1" t="n">
        <v>46103</v>
      </c>
      <c r="D2191" t="inlineStr">
        <is>
          <t>KRONOBERGS LÄN</t>
        </is>
      </c>
      <c r="E2191" t="inlineStr">
        <is>
          <t>LESSEBO</t>
        </is>
      </c>
      <c r="G2191" t="n">
        <v>6.2</v>
      </c>
      <c r="H2191" t="n">
        <v>0</v>
      </c>
      <c r="I2191" t="n">
        <v>0</v>
      </c>
      <c r="J2191" t="n">
        <v>0</v>
      </c>
      <c r="K2191" t="n">
        <v>0</v>
      </c>
      <c r="L2191" t="n">
        <v>0</v>
      </c>
      <c r="M2191" t="n">
        <v>0</v>
      </c>
      <c r="N2191" t="n">
        <v>0</v>
      </c>
      <c r="O2191" t="n">
        <v>0</v>
      </c>
      <c r="P2191" t="n">
        <v>0</v>
      </c>
      <c r="Q2191" t="n">
        <v>0</v>
      </c>
      <c r="R2191" s="2" t="inlineStr"/>
    </row>
    <row r="2192" ht="15" customHeight="1">
      <c r="A2192" t="inlineStr">
        <is>
          <t>A 64069-2023</t>
        </is>
      </c>
      <c r="B2192" s="1" t="n">
        <v>45279.36726851852</v>
      </c>
      <c r="C2192" s="1" t="n">
        <v>46103</v>
      </c>
      <c r="D2192" t="inlineStr">
        <is>
          <t>KRONOBERGS LÄN</t>
        </is>
      </c>
      <c r="E2192" t="inlineStr">
        <is>
          <t>TINGSRYD</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43536-2025</t>
        </is>
      </c>
      <c r="B2193" s="1" t="n">
        <v>45911.59913194444</v>
      </c>
      <c r="C2193" s="1" t="n">
        <v>46103</v>
      </c>
      <c r="D2193" t="inlineStr">
        <is>
          <t>KRONOBERGS LÄN</t>
        </is>
      </c>
      <c r="E2193" t="inlineStr">
        <is>
          <t>ALVESTA</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57737-2023</t>
        </is>
      </c>
      <c r="B2194" s="1" t="n">
        <v>45246</v>
      </c>
      <c r="C2194" s="1" t="n">
        <v>46103</v>
      </c>
      <c r="D2194" t="inlineStr">
        <is>
          <t>KRONOBERGS LÄN</t>
        </is>
      </c>
      <c r="E2194" t="inlineStr">
        <is>
          <t>LJUNGBY</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43485-2025</t>
        </is>
      </c>
      <c r="B2195" s="1" t="n">
        <v>45911.50686342592</v>
      </c>
      <c r="C2195" s="1" t="n">
        <v>46103</v>
      </c>
      <c r="D2195" t="inlineStr">
        <is>
          <t>KRONOBERGS LÄN</t>
        </is>
      </c>
      <c r="E2195" t="inlineStr">
        <is>
          <t>LJUNGBY</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38457-2023</t>
        </is>
      </c>
      <c r="B2196" s="1" t="n">
        <v>45162.43773148148</v>
      </c>
      <c r="C2196" s="1" t="n">
        <v>46103</v>
      </c>
      <c r="D2196" t="inlineStr">
        <is>
          <t>KRONOBERGS LÄN</t>
        </is>
      </c>
      <c r="E2196" t="inlineStr">
        <is>
          <t>VÄXJÖ</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38460-2023</t>
        </is>
      </c>
      <c r="B2197" s="1" t="n">
        <v>45162.44449074074</v>
      </c>
      <c r="C2197" s="1" t="n">
        <v>46103</v>
      </c>
      <c r="D2197" t="inlineStr">
        <is>
          <t>KRONOBERGS LÄN</t>
        </is>
      </c>
      <c r="E2197" t="inlineStr">
        <is>
          <t>VÄXJÖ</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43495-2025</t>
        </is>
      </c>
      <c r="B2198" s="1" t="n">
        <v>45911.52278935185</v>
      </c>
      <c r="C2198" s="1" t="n">
        <v>46103</v>
      </c>
      <c r="D2198" t="inlineStr">
        <is>
          <t>KRONOBERGS LÄN</t>
        </is>
      </c>
      <c r="E2198" t="inlineStr">
        <is>
          <t>ALVESTA</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43643-2025</t>
        </is>
      </c>
      <c r="B2199" s="1" t="n">
        <v>45911.9012037037</v>
      </c>
      <c r="C2199" s="1" t="n">
        <v>46103</v>
      </c>
      <c r="D2199" t="inlineStr">
        <is>
          <t>KRONOBERGS LÄN</t>
        </is>
      </c>
      <c r="E2199" t="inlineStr">
        <is>
          <t>LJUNGBY</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61285-2023</t>
        </is>
      </c>
      <c r="B2200" s="1" t="n">
        <v>45264</v>
      </c>
      <c r="C2200" s="1" t="n">
        <v>46103</v>
      </c>
      <c r="D2200" t="inlineStr">
        <is>
          <t>KRONOBERGS LÄN</t>
        </is>
      </c>
      <c r="E2200" t="inlineStr">
        <is>
          <t>ALVESTA</t>
        </is>
      </c>
      <c r="G2200" t="n">
        <v>0.3</v>
      </c>
      <c r="H2200" t="n">
        <v>0</v>
      </c>
      <c r="I2200" t="n">
        <v>0</v>
      </c>
      <c r="J2200" t="n">
        <v>0</v>
      </c>
      <c r="K2200" t="n">
        <v>0</v>
      </c>
      <c r="L2200" t="n">
        <v>0</v>
      </c>
      <c r="M2200" t="n">
        <v>0</v>
      </c>
      <c r="N2200" t="n">
        <v>0</v>
      </c>
      <c r="O2200" t="n">
        <v>0</v>
      </c>
      <c r="P2200" t="n">
        <v>0</v>
      </c>
      <c r="Q2200" t="n">
        <v>0</v>
      </c>
      <c r="R2200" s="2" t="inlineStr"/>
    </row>
    <row r="2201" ht="15" customHeight="1">
      <c r="A2201" t="inlineStr">
        <is>
          <t>A 25961-2023</t>
        </is>
      </c>
      <c r="B2201" s="1" t="n">
        <v>45090.77837962963</v>
      </c>
      <c r="C2201" s="1" t="n">
        <v>46103</v>
      </c>
      <c r="D2201" t="inlineStr">
        <is>
          <t>KRONOBERGS LÄN</t>
        </is>
      </c>
      <c r="E2201" t="inlineStr">
        <is>
          <t>VÄXJÖ</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61641-2025</t>
        </is>
      </c>
      <c r="B2202" s="1" t="n">
        <v>46002.43211805556</v>
      </c>
      <c r="C2202" s="1" t="n">
        <v>46103</v>
      </c>
      <c r="D2202" t="inlineStr">
        <is>
          <t>KRONOBERGS LÄN</t>
        </is>
      </c>
      <c r="E2202" t="inlineStr">
        <is>
          <t>LESSEBO</t>
        </is>
      </c>
      <c r="F2202" t="inlineStr">
        <is>
          <t>Sveaskog</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17511-2022</t>
        </is>
      </c>
      <c r="B2203" s="1" t="n">
        <v>44679</v>
      </c>
      <c r="C2203" s="1" t="n">
        <v>46103</v>
      </c>
      <c r="D2203" t="inlineStr">
        <is>
          <t>KRONOBERGS LÄN</t>
        </is>
      </c>
      <c r="E2203" t="inlineStr">
        <is>
          <t>VÄXJÖ</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61746-2025</t>
        </is>
      </c>
      <c r="B2204" s="1" t="n">
        <v>46002.60728009259</v>
      </c>
      <c r="C2204" s="1" t="n">
        <v>46103</v>
      </c>
      <c r="D2204" t="inlineStr">
        <is>
          <t>KRONOBERGS LÄN</t>
        </is>
      </c>
      <c r="E2204" t="inlineStr">
        <is>
          <t>LJUNGBY</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44040-2025</t>
        </is>
      </c>
      <c r="B2205" s="1" t="n">
        <v>45915.49127314815</v>
      </c>
      <c r="C2205" s="1" t="n">
        <v>46103</v>
      </c>
      <c r="D2205" t="inlineStr">
        <is>
          <t>KRONOBERGS LÄN</t>
        </is>
      </c>
      <c r="E2205" t="inlineStr">
        <is>
          <t>ÄLMHULT</t>
        </is>
      </c>
      <c r="F2205" t="inlineStr">
        <is>
          <t>Sveaskog</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61933-2025</t>
        </is>
      </c>
      <c r="B2206" s="1" t="n">
        <v>46003.54471064815</v>
      </c>
      <c r="C2206" s="1" t="n">
        <v>46103</v>
      </c>
      <c r="D2206" t="inlineStr">
        <is>
          <t>KRONOBERGS LÄN</t>
        </is>
      </c>
      <c r="E2206" t="inlineStr">
        <is>
          <t>TINGSRYD</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61710-2025</t>
        </is>
      </c>
      <c r="B2207" s="1" t="n">
        <v>46002.55832175926</v>
      </c>
      <c r="C2207" s="1" t="n">
        <v>46103</v>
      </c>
      <c r="D2207" t="inlineStr">
        <is>
          <t>KRONOBERGS LÄN</t>
        </is>
      </c>
      <c r="E2207" t="inlineStr">
        <is>
          <t>UPPVIDINGE</t>
        </is>
      </c>
      <c r="F2207" t="inlineStr">
        <is>
          <t>Sveaskog</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43809-2025</t>
        </is>
      </c>
      <c r="B2208" s="1" t="n">
        <v>45912.58181712963</v>
      </c>
      <c r="C2208" s="1" t="n">
        <v>46103</v>
      </c>
      <c r="D2208" t="inlineStr">
        <is>
          <t>KRONOBERGS LÄN</t>
        </is>
      </c>
      <c r="E2208" t="inlineStr">
        <is>
          <t>LESSEBO</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33391-2023</t>
        </is>
      </c>
      <c r="B2209" s="1" t="n">
        <v>45128</v>
      </c>
      <c r="C2209" s="1" t="n">
        <v>46103</v>
      </c>
      <c r="D2209" t="inlineStr">
        <is>
          <t>KRONOBERGS LÄN</t>
        </is>
      </c>
      <c r="E2209" t="inlineStr">
        <is>
          <t>VÄXJÖ</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44065-2025</t>
        </is>
      </c>
      <c r="B2210" s="1" t="n">
        <v>45915.54190972223</v>
      </c>
      <c r="C2210" s="1" t="n">
        <v>46103</v>
      </c>
      <c r="D2210" t="inlineStr">
        <is>
          <t>KRONOBERGS LÄN</t>
        </is>
      </c>
      <c r="E2210" t="inlineStr">
        <is>
          <t>UPPVIDINGE</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44069-2025</t>
        </is>
      </c>
      <c r="B2211" s="1" t="n">
        <v>45915.54486111111</v>
      </c>
      <c r="C2211" s="1" t="n">
        <v>46103</v>
      </c>
      <c r="D2211" t="inlineStr">
        <is>
          <t>KRONOBERGS LÄN</t>
        </is>
      </c>
      <c r="E2211" t="inlineStr">
        <is>
          <t>UPPVIDINGE</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52694-2024</t>
        </is>
      </c>
      <c r="B2212" s="1" t="n">
        <v>45610.40166666666</v>
      </c>
      <c r="C2212" s="1" t="n">
        <v>46103</v>
      </c>
      <c r="D2212" t="inlineStr">
        <is>
          <t>KRONOBERGS LÄN</t>
        </is>
      </c>
      <c r="E2212" t="inlineStr">
        <is>
          <t>TINGSRYD</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53189-2024</t>
        </is>
      </c>
      <c r="B2213" s="1" t="n">
        <v>45611.70842592593</v>
      </c>
      <c r="C2213" s="1" t="n">
        <v>46103</v>
      </c>
      <c r="D2213" t="inlineStr">
        <is>
          <t>KRONOBERGS LÄN</t>
        </is>
      </c>
      <c r="E2213" t="inlineStr">
        <is>
          <t>VÄXJÖ</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5579-2025</t>
        </is>
      </c>
      <c r="B2214" s="1" t="n">
        <v>45693.54733796296</v>
      </c>
      <c r="C2214" s="1" t="n">
        <v>46103</v>
      </c>
      <c r="D2214" t="inlineStr">
        <is>
          <t>KRONOBERGS LÄN</t>
        </is>
      </c>
      <c r="E2214" t="inlineStr">
        <is>
          <t>ÄLMHULT</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43922-2025</t>
        </is>
      </c>
      <c r="B2215" s="1" t="n">
        <v>45914.99467592593</v>
      </c>
      <c r="C2215" s="1" t="n">
        <v>46103</v>
      </c>
      <c r="D2215" t="inlineStr">
        <is>
          <t>KRONOBERGS LÄN</t>
        </is>
      </c>
      <c r="E2215" t="inlineStr">
        <is>
          <t>LJUNGBY</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43898-2025</t>
        </is>
      </c>
      <c r="B2216" s="1" t="n">
        <v>45912.93515046296</v>
      </c>
      <c r="C2216" s="1" t="n">
        <v>46103</v>
      </c>
      <c r="D2216" t="inlineStr">
        <is>
          <t>KRONOBERGS LÄN</t>
        </is>
      </c>
      <c r="E2216" t="inlineStr">
        <is>
          <t>VÄXJÖ</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19322-2025</t>
        </is>
      </c>
      <c r="B2217" s="1" t="n">
        <v>45769.58028935185</v>
      </c>
      <c r="C2217" s="1" t="n">
        <v>46103</v>
      </c>
      <c r="D2217" t="inlineStr">
        <is>
          <t>KRONOBERGS LÄN</t>
        </is>
      </c>
      <c r="E2217" t="inlineStr">
        <is>
          <t>ALVESTA</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9740-2024</t>
        </is>
      </c>
      <c r="B2218" s="1" t="n">
        <v>45362</v>
      </c>
      <c r="C2218" s="1" t="n">
        <v>46103</v>
      </c>
      <c r="D2218" t="inlineStr">
        <is>
          <t>KRONOBERGS LÄN</t>
        </is>
      </c>
      <c r="E2218" t="inlineStr">
        <is>
          <t>TINGSRYD</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44189-2025</t>
        </is>
      </c>
      <c r="B2219" s="1" t="n">
        <v>45915.61380787037</v>
      </c>
      <c r="C2219" s="1" t="n">
        <v>46103</v>
      </c>
      <c r="D2219" t="inlineStr">
        <is>
          <t>KRONOBERGS LÄN</t>
        </is>
      </c>
      <c r="E2219" t="inlineStr">
        <is>
          <t>ALVESTA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62266-2025</t>
        </is>
      </c>
      <c r="B2220" s="1" t="n">
        <v>46006.61700231482</v>
      </c>
      <c r="C2220" s="1" t="n">
        <v>46103</v>
      </c>
      <c r="D2220" t="inlineStr">
        <is>
          <t>KRONOBERGS LÄN</t>
        </is>
      </c>
      <c r="E2220" t="inlineStr">
        <is>
          <t>LJUNGBY</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11669-2024</t>
        </is>
      </c>
      <c r="B2221" s="1" t="n">
        <v>45373</v>
      </c>
      <c r="C2221" s="1" t="n">
        <v>46103</v>
      </c>
      <c r="D2221" t="inlineStr">
        <is>
          <t>KRONOBERGS LÄN</t>
        </is>
      </c>
      <c r="E2221" t="inlineStr">
        <is>
          <t>ALVESTA</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62342-2025</t>
        </is>
      </c>
      <c r="B2222" s="1" t="n">
        <v>46006.7902662037</v>
      </c>
      <c r="C2222" s="1" t="n">
        <v>46103</v>
      </c>
      <c r="D2222" t="inlineStr">
        <is>
          <t>KRONOBERGS LÄN</t>
        </is>
      </c>
      <c r="E2222" t="inlineStr">
        <is>
          <t>MARKARYD</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62345-2025</t>
        </is>
      </c>
      <c r="B2223" s="1" t="n">
        <v>46006.84724537037</v>
      </c>
      <c r="C2223" s="1" t="n">
        <v>46103</v>
      </c>
      <c r="D2223" t="inlineStr">
        <is>
          <t>KRONOBERGS LÄN</t>
        </is>
      </c>
      <c r="E2223" t="inlineStr">
        <is>
          <t>ALVESTA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24167-2025</t>
        </is>
      </c>
      <c r="B2224" s="1" t="n">
        <v>45796.67782407408</v>
      </c>
      <c r="C2224" s="1" t="n">
        <v>46103</v>
      </c>
      <c r="D2224" t="inlineStr">
        <is>
          <t>KRONOBERGS LÄN</t>
        </is>
      </c>
      <c r="E2224" t="inlineStr">
        <is>
          <t>ALVESTA</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24365-2025</t>
        </is>
      </c>
      <c r="B2225" s="1" t="n">
        <v>45797</v>
      </c>
      <c r="C2225" s="1" t="n">
        <v>46103</v>
      </c>
      <c r="D2225" t="inlineStr">
        <is>
          <t>KRONOBERGS LÄN</t>
        </is>
      </c>
      <c r="E2225" t="inlineStr">
        <is>
          <t>MARKARYD</t>
        </is>
      </c>
      <c r="F2225" t="inlineStr">
        <is>
          <t>Kyrkan</t>
        </is>
      </c>
      <c r="G2225" t="n">
        <v>4.9</v>
      </c>
      <c r="H2225" t="n">
        <v>0</v>
      </c>
      <c r="I2225" t="n">
        <v>0</v>
      </c>
      <c r="J2225" t="n">
        <v>0</v>
      </c>
      <c r="K2225" t="n">
        <v>0</v>
      </c>
      <c r="L2225" t="n">
        <v>0</v>
      </c>
      <c r="M2225" t="n">
        <v>0</v>
      </c>
      <c r="N2225" t="n">
        <v>0</v>
      </c>
      <c r="O2225" t="n">
        <v>0</v>
      </c>
      <c r="P2225" t="n">
        <v>0</v>
      </c>
      <c r="Q2225" t="n">
        <v>0</v>
      </c>
      <c r="R2225" s="2" t="inlineStr"/>
    </row>
    <row r="2226" ht="15" customHeight="1">
      <c r="A2226" t="inlineStr">
        <is>
          <t>A 62253-2025</t>
        </is>
      </c>
      <c r="B2226" s="1" t="n">
        <v>46006.61020833333</v>
      </c>
      <c r="C2226" s="1" t="n">
        <v>46103</v>
      </c>
      <c r="D2226" t="inlineStr">
        <is>
          <t>KRONOBERGS LÄN</t>
        </is>
      </c>
      <c r="E2226" t="inlineStr">
        <is>
          <t>LJUNGBY</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62229-2025</t>
        </is>
      </c>
      <c r="B2227" s="1" t="n">
        <v>46006.58917824074</v>
      </c>
      <c r="C2227" s="1" t="n">
        <v>46103</v>
      </c>
      <c r="D2227" t="inlineStr">
        <is>
          <t>KRONOBERGS LÄN</t>
        </is>
      </c>
      <c r="E2227" t="inlineStr">
        <is>
          <t>UPPVIDINGE</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44027-2025</t>
        </is>
      </c>
      <c r="B2228" s="1" t="n">
        <v>45915.48717592593</v>
      </c>
      <c r="C2228" s="1" t="n">
        <v>46103</v>
      </c>
      <c r="D2228" t="inlineStr">
        <is>
          <t>KRONOBERGS LÄN</t>
        </is>
      </c>
      <c r="E2228" t="inlineStr">
        <is>
          <t>ALVESTA</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47536-2022</t>
        </is>
      </c>
      <c r="B2229" s="1" t="n">
        <v>44853.81002314815</v>
      </c>
      <c r="C2229" s="1" t="n">
        <v>46103</v>
      </c>
      <c r="D2229" t="inlineStr">
        <is>
          <t>KRONOBERGS LÄN</t>
        </is>
      </c>
      <c r="E2229" t="inlineStr">
        <is>
          <t>ÄLMHULT</t>
        </is>
      </c>
      <c r="G2229" t="n">
        <v>9.6</v>
      </c>
      <c r="H2229" t="n">
        <v>0</v>
      </c>
      <c r="I2229" t="n">
        <v>0</v>
      </c>
      <c r="J2229" t="n">
        <v>0</v>
      </c>
      <c r="K2229" t="n">
        <v>0</v>
      </c>
      <c r="L2229" t="n">
        <v>0</v>
      </c>
      <c r="M2229" t="n">
        <v>0</v>
      </c>
      <c r="N2229" t="n">
        <v>0</v>
      </c>
      <c r="O2229" t="n">
        <v>0</v>
      </c>
      <c r="P2229" t="n">
        <v>0</v>
      </c>
      <c r="Q2229" t="n">
        <v>0</v>
      </c>
      <c r="R2229" s="2" t="inlineStr"/>
    </row>
    <row r="2230" ht="15" customHeight="1">
      <c r="A2230" t="inlineStr">
        <is>
          <t>A 62292-2025</t>
        </is>
      </c>
      <c r="B2230" s="1" t="n">
        <v>46006.63733796297</v>
      </c>
      <c r="C2230" s="1" t="n">
        <v>46103</v>
      </c>
      <c r="D2230" t="inlineStr">
        <is>
          <t>KRONOBERGS LÄN</t>
        </is>
      </c>
      <c r="E2230" t="inlineStr">
        <is>
          <t>LJUNGBY</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39659-2022</t>
        </is>
      </c>
      <c r="B2231" s="1" t="n">
        <v>44818.77861111111</v>
      </c>
      <c r="C2231" s="1" t="n">
        <v>46103</v>
      </c>
      <c r="D2231" t="inlineStr">
        <is>
          <t>KRONOBERGS LÄN</t>
        </is>
      </c>
      <c r="E2231" t="inlineStr">
        <is>
          <t>TINGSRYD</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62153-2025</t>
        </is>
      </c>
      <c r="B2232" s="1" t="n">
        <v>46006.48550925926</v>
      </c>
      <c r="C2232" s="1" t="n">
        <v>46103</v>
      </c>
      <c r="D2232" t="inlineStr">
        <is>
          <t>KRONOBERGS LÄN</t>
        </is>
      </c>
      <c r="E2232" t="inlineStr">
        <is>
          <t>LJUNGBY</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1348-2024</t>
        </is>
      </c>
      <c r="B2233" s="1" t="n">
        <v>45303.45996527778</v>
      </c>
      <c r="C2233" s="1" t="n">
        <v>46103</v>
      </c>
      <c r="D2233" t="inlineStr">
        <is>
          <t>KRONOBERGS LÄN</t>
        </is>
      </c>
      <c r="E2233" t="inlineStr">
        <is>
          <t>ÄLMHULT</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9134-2023</t>
        </is>
      </c>
      <c r="B2234" s="1" t="n">
        <v>44980.34850694444</v>
      </c>
      <c r="C2234" s="1" t="n">
        <v>46103</v>
      </c>
      <c r="D2234" t="inlineStr">
        <is>
          <t>KRONOBERGS LÄN</t>
        </is>
      </c>
      <c r="E2234" t="inlineStr">
        <is>
          <t>MARKARYD</t>
        </is>
      </c>
      <c r="G2234" t="n">
        <v>4.6</v>
      </c>
      <c r="H2234" t="n">
        <v>0</v>
      </c>
      <c r="I2234" t="n">
        <v>0</v>
      </c>
      <c r="J2234" t="n">
        <v>0</v>
      </c>
      <c r="K2234" t="n">
        <v>0</v>
      </c>
      <c r="L2234" t="n">
        <v>0</v>
      </c>
      <c r="M2234" t="n">
        <v>0</v>
      </c>
      <c r="N2234" t="n">
        <v>0</v>
      </c>
      <c r="O2234" t="n">
        <v>0</v>
      </c>
      <c r="P2234" t="n">
        <v>0</v>
      </c>
      <c r="Q2234" t="n">
        <v>0</v>
      </c>
      <c r="R2234" s="2" t="inlineStr"/>
    </row>
    <row r="2235" ht="15" customHeight="1">
      <c r="A2235" t="inlineStr">
        <is>
          <t>A 1469-2024</t>
        </is>
      </c>
      <c r="B2235" s="1" t="n">
        <v>45304</v>
      </c>
      <c r="C2235" s="1" t="n">
        <v>46103</v>
      </c>
      <c r="D2235" t="inlineStr">
        <is>
          <t>KRONOBERGS LÄN</t>
        </is>
      </c>
      <c r="E2235" t="inlineStr">
        <is>
          <t>VÄXJÖ</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65247-2023</t>
        </is>
      </c>
      <c r="B2236" s="1" t="n">
        <v>45290</v>
      </c>
      <c r="C2236" s="1" t="n">
        <v>46103</v>
      </c>
      <c r="D2236" t="inlineStr">
        <is>
          <t>KRONOBERGS LÄN</t>
        </is>
      </c>
      <c r="E2236" t="inlineStr">
        <is>
          <t>ÄLMHULT</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43665-2025</t>
        </is>
      </c>
      <c r="B2237" s="1" t="n">
        <v>45912.35086805555</v>
      </c>
      <c r="C2237" s="1" t="n">
        <v>46103</v>
      </c>
      <c r="D2237" t="inlineStr">
        <is>
          <t>KRONOBERGS LÄN</t>
        </is>
      </c>
      <c r="E2237" t="inlineStr">
        <is>
          <t>ÄLMHULT</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10453-2024</t>
        </is>
      </c>
      <c r="B2238" s="1" t="n">
        <v>45366.35745370371</v>
      </c>
      <c r="C2238" s="1" t="n">
        <v>46103</v>
      </c>
      <c r="D2238" t="inlineStr">
        <is>
          <t>KRONOBERGS LÄN</t>
        </is>
      </c>
      <c r="E2238" t="inlineStr">
        <is>
          <t>TINGSRYD</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37940-2024</t>
        </is>
      </c>
      <c r="B2239" s="1" t="n">
        <v>45544.49640046297</v>
      </c>
      <c r="C2239" s="1" t="n">
        <v>46103</v>
      </c>
      <c r="D2239" t="inlineStr">
        <is>
          <t>KRONOBERGS LÄN</t>
        </is>
      </c>
      <c r="E2239" t="inlineStr">
        <is>
          <t>ALVESTA</t>
        </is>
      </c>
      <c r="G2239" t="n">
        <v>4.8</v>
      </c>
      <c r="H2239" t="n">
        <v>0</v>
      </c>
      <c r="I2239" t="n">
        <v>0</v>
      </c>
      <c r="J2239" t="n">
        <v>0</v>
      </c>
      <c r="K2239" t="n">
        <v>0</v>
      </c>
      <c r="L2239" t="n">
        <v>0</v>
      </c>
      <c r="M2239" t="n">
        <v>0</v>
      </c>
      <c r="N2239" t="n">
        <v>0</v>
      </c>
      <c r="O2239" t="n">
        <v>0</v>
      </c>
      <c r="P2239" t="n">
        <v>0</v>
      </c>
      <c r="Q2239" t="n">
        <v>0</v>
      </c>
      <c r="R2239" s="2" t="inlineStr"/>
    </row>
    <row r="2240" ht="15" customHeight="1">
      <c r="A2240" t="inlineStr">
        <is>
          <t>A 795-2022</t>
        </is>
      </c>
      <c r="B2240" s="1" t="n">
        <v>44566</v>
      </c>
      <c r="C2240" s="1" t="n">
        <v>46103</v>
      </c>
      <c r="D2240" t="inlineStr">
        <is>
          <t>KRONOBERGS LÄN</t>
        </is>
      </c>
      <c r="E2240" t="inlineStr">
        <is>
          <t>UPPVIDINGE</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62454-2025</t>
        </is>
      </c>
      <c r="B2241" s="1" t="n">
        <v>46007.4960300926</v>
      </c>
      <c r="C2241" s="1" t="n">
        <v>46103</v>
      </c>
      <c r="D2241" t="inlineStr">
        <is>
          <t>KRONOBERGS LÄN</t>
        </is>
      </c>
      <c r="E2241" t="inlineStr">
        <is>
          <t>UPPVIDINGE</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42489-2023</t>
        </is>
      </c>
      <c r="B2242" s="1" t="n">
        <v>45180.86666666667</v>
      </c>
      <c r="C2242" s="1" t="n">
        <v>46103</v>
      </c>
      <c r="D2242" t="inlineStr">
        <is>
          <t>KRONOBERGS LÄN</t>
        </is>
      </c>
      <c r="E2242" t="inlineStr">
        <is>
          <t>ÄLMHULT</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7409-2023</t>
        </is>
      </c>
      <c r="B2243" s="1" t="n">
        <v>44971.51954861111</v>
      </c>
      <c r="C2243" s="1" t="n">
        <v>46103</v>
      </c>
      <c r="D2243" t="inlineStr">
        <is>
          <t>KRONOBERGS LÄN</t>
        </is>
      </c>
      <c r="E2243" t="inlineStr">
        <is>
          <t>TINGSRYD</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62470-2025</t>
        </is>
      </c>
      <c r="B2244" s="1" t="n">
        <v>46007.54017361111</v>
      </c>
      <c r="C2244" s="1" t="n">
        <v>46103</v>
      </c>
      <c r="D2244" t="inlineStr">
        <is>
          <t>KRONOBERGS LÄN</t>
        </is>
      </c>
      <c r="E2244" t="inlineStr">
        <is>
          <t>TINGSRYD</t>
        </is>
      </c>
      <c r="F2244" t="inlineStr">
        <is>
          <t>Kommuner</t>
        </is>
      </c>
      <c r="G2244" t="n">
        <v>6.9</v>
      </c>
      <c r="H2244" t="n">
        <v>0</v>
      </c>
      <c r="I2244" t="n">
        <v>0</v>
      </c>
      <c r="J2244" t="n">
        <v>0</v>
      </c>
      <c r="K2244" t="n">
        <v>0</v>
      </c>
      <c r="L2244" t="n">
        <v>0</v>
      </c>
      <c r="M2244" t="n">
        <v>0</v>
      </c>
      <c r="N2244" t="n">
        <v>0</v>
      </c>
      <c r="O2244" t="n">
        <v>0</v>
      </c>
      <c r="P2244" t="n">
        <v>0</v>
      </c>
      <c r="Q2244" t="n">
        <v>0</v>
      </c>
      <c r="R2244" s="2" t="inlineStr"/>
    </row>
    <row r="2245" ht="15" customHeight="1">
      <c r="A2245" t="inlineStr">
        <is>
          <t>A 62504-2025</t>
        </is>
      </c>
      <c r="B2245" s="1" t="n">
        <v>46007.591875</v>
      </c>
      <c r="C2245" s="1" t="n">
        <v>46103</v>
      </c>
      <c r="D2245" t="inlineStr">
        <is>
          <t>KRONOBERGS LÄN</t>
        </is>
      </c>
      <c r="E2245" t="inlineStr">
        <is>
          <t>TINGSRYD</t>
        </is>
      </c>
      <c r="F2245" t="inlineStr">
        <is>
          <t>Övriga Aktiebolag</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62564-2025</t>
        </is>
      </c>
      <c r="B2246" s="1" t="n">
        <v>46007.69709490741</v>
      </c>
      <c r="C2246" s="1" t="n">
        <v>46103</v>
      </c>
      <c r="D2246" t="inlineStr">
        <is>
          <t>KRONOBERGS LÄN</t>
        </is>
      </c>
      <c r="E2246" t="inlineStr">
        <is>
          <t>LJUNGBY</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14324-2025</t>
        </is>
      </c>
      <c r="B2247" s="1" t="n">
        <v>45740.79685185185</v>
      </c>
      <c r="C2247" s="1" t="n">
        <v>46103</v>
      </c>
      <c r="D2247" t="inlineStr">
        <is>
          <t>KRONOBERGS LÄN</t>
        </is>
      </c>
      <c r="E2247" t="inlineStr">
        <is>
          <t>VÄXJÖ</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62340-2025</t>
        </is>
      </c>
      <c r="B2248" s="1" t="n">
        <v>46006.78265046296</v>
      </c>
      <c r="C2248" s="1" t="n">
        <v>46103</v>
      </c>
      <c r="D2248" t="inlineStr">
        <is>
          <t>KRONOBERGS LÄN</t>
        </is>
      </c>
      <c r="E2248" t="inlineStr">
        <is>
          <t>MARKARYD</t>
        </is>
      </c>
      <c r="G2248" t="n">
        <v>4.4</v>
      </c>
      <c r="H2248" t="n">
        <v>0</v>
      </c>
      <c r="I2248" t="n">
        <v>0</v>
      </c>
      <c r="J2248" t="n">
        <v>0</v>
      </c>
      <c r="K2248" t="n">
        <v>0</v>
      </c>
      <c r="L2248" t="n">
        <v>0</v>
      </c>
      <c r="M2248" t="n">
        <v>0</v>
      </c>
      <c r="N2248" t="n">
        <v>0</v>
      </c>
      <c r="O2248" t="n">
        <v>0</v>
      </c>
      <c r="P2248" t="n">
        <v>0</v>
      </c>
      <c r="Q2248" t="n">
        <v>0</v>
      </c>
      <c r="R2248" s="2" t="inlineStr"/>
    </row>
    <row r="2249" ht="15" customHeight="1">
      <c r="A2249" t="inlineStr">
        <is>
          <t>A 46234-2023</t>
        </is>
      </c>
      <c r="B2249" s="1" t="n">
        <v>45196.705625</v>
      </c>
      <c r="C2249" s="1" t="n">
        <v>46103</v>
      </c>
      <c r="D2249" t="inlineStr">
        <is>
          <t>KRONOBERGS LÄN</t>
        </is>
      </c>
      <c r="E2249" t="inlineStr">
        <is>
          <t>ALVESTA</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62552-2025</t>
        </is>
      </c>
      <c r="B2250" s="1" t="n">
        <v>46007.67348379629</v>
      </c>
      <c r="C2250" s="1" t="n">
        <v>46103</v>
      </c>
      <c r="D2250" t="inlineStr">
        <is>
          <t>KRONOBERGS LÄN</t>
        </is>
      </c>
      <c r="E2250" t="inlineStr">
        <is>
          <t>LJUNGBY</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62038-2025</t>
        </is>
      </c>
      <c r="B2251" s="1" t="n">
        <v>46005.46197916667</v>
      </c>
      <c r="C2251" s="1" t="n">
        <v>46103</v>
      </c>
      <c r="D2251" t="inlineStr">
        <is>
          <t>KRONOBERGS LÄN</t>
        </is>
      </c>
      <c r="E2251" t="inlineStr">
        <is>
          <t>ÄLMHULT</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24886-2024</t>
        </is>
      </c>
      <c r="B2252" s="1" t="n">
        <v>45461.56465277778</v>
      </c>
      <c r="C2252" s="1" t="n">
        <v>46103</v>
      </c>
      <c r="D2252" t="inlineStr">
        <is>
          <t>KRONOBERGS LÄN</t>
        </is>
      </c>
      <c r="E2252" t="inlineStr">
        <is>
          <t>TINGSRYD</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18001-2023</t>
        </is>
      </c>
      <c r="B2253" s="1" t="n">
        <v>45040.55247685185</v>
      </c>
      <c r="C2253" s="1" t="n">
        <v>46103</v>
      </c>
      <c r="D2253" t="inlineStr">
        <is>
          <t>KRONOBERGS LÄN</t>
        </is>
      </c>
      <c r="E2253" t="inlineStr">
        <is>
          <t>ALVESTA</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50314-2023</t>
        </is>
      </c>
      <c r="B2254" s="1" t="n">
        <v>45216.52173611111</v>
      </c>
      <c r="C2254" s="1" t="n">
        <v>46103</v>
      </c>
      <c r="D2254" t="inlineStr">
        <is>
          <t>KRONOBERGS LÄN</t>
        </is>
      </c>
      <c r="E2254" t="inlineStr">
        <is>
          <t>LJUNGBY</t>
        </is>
      </c>
      <c r="G2254" t="n">
        <v>7.8</v>
      </c>
      <c r="H2254" t="n">
        <v>0</v>
      </c>
      <c r="I2254" t="n">
        <v>0</v>
      </c>
      <c r="J2254" t="n">
        <v>0</v>
      </c>
      <c r="K2254" t="n">
        <v>0</v>
      </c>
      <c r="L2254" t="n">
        <v>0</v>
      </c>
      <c r="M2254" t="n">
        <v>0</v>
      </c>
      <c r="N2254" t="n">
        <v>0</v>
      </c>
      <c r="O2254" t="n">
        <v>0</v>
      </c>
      <c r="P2254" t="n">
        <v>0</v>
      </c>
      <c r="Q2254" t="n">
        <v>0</v>
      </c>
      <c r="R2254" s="2" t="inlineStr"/>
    </row>
    <row r="2255" ht="15" customHeight="1">
      <c r="A2255" t="inlineStr">
        <is>
          <t>A 62206-2025</t>
        </is>
      </c>
      <c r="B2255" s="1" t="n">
        <v>46006.5621875</v>
      </c>
      <c r="C2255" s="1" t="n">
        <v>46103</v>
      </c>
      <c r="D2255" t="inlineStr">
        <is>
          <t>KRONOBERGS LÄN</t>
        </is>
      </c>
      <c r="E2255" t="inlineStr">
        <is>
          <t>LJUNGBY</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5760-2023</t>
        </is>
      </c>
      <c r="B2256" s="1" t="n">
        <v>44963</v>
      </c>
      <c r="C2256" s="1" t="n">
        <v>46103</v>
      </c>
      <c r="D2256" t="inlineStr">
        <is>
          <t>KRONOBERGS LÄN</t>
        </is>
      </c>
      <c r="E2256" t="inlineStr">
        <is>
          <t>VÄXJÖ</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5761-2023</t>
        </is>
      </c>
      <c r="B2257" s="1" t="n">
        <v>44963</v>
      </c>
      <c r="C2257" s="1" t="n">
        <v>46103</v>
      </c>
      <c r="D2257" t="inlineStr">
        <is>
          <t>KRONOBERGS LÄN</t>
        </is>
      </c>
      <c r="E2257" t="inlineStr">
        <is>
          <t>VÄXJÖ</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5764-2023</t>
        </is>
      </c>
      <c r="B2258" s="1" t="n">
        <v>44963</v>
      </c>
      <c r="C2258" s="1" t="n">
        <v>46103</v>
      </c>
      <c r="D2258" t="inlineStr">
        <is>
          <t>KRONOBERGS LÄN</t>
        </is>
      </c>
      <c r="E2258" t="inlineStr">
        <is>
          <t>VÄXJÖ</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62572-2025</t>
        </is>
      </c>
      <c r="B2259" s="1" t="n">
        <v>46007.72899305556</v>
      </c>
      <c r="C2259" s="1" t="n">
        <v>46103</v>
      </c>
      <c r="D2259" t="inlineStr">
        <is>
          <t>KRONOBERGS LÄN</t>
        </is>
      </c>
      <c r="E2259" t="inlineStr">
        <is>
          <t>ÄLMHULT</t>
        </is>
      </c>
      <c r="G2259" t="n">
        <v>8</v>
      </c>
      <c r="H2259" t="n">
        <v>0</v>
      </c>
      <c r="I2259" t="n">
        <v>0</v>
      </c>
      <c r="J2259" t="n">
        <v>0</v>
      </c>
      <c r="K2259" t="n">
        <v>0</v>
      </c>
      <c r="L2259" t="n">
        <v>0</v>
      </c>
      <c r="M2259" t="n">
        <v>0</v>
      </c>
      <c r="N2259" t="n">
        <v>0</v>
      </c>
      <c r="O2259" t="n">
        <v>0</v>
      </c>
      <c r="P2259" t="n">
        <v>0</v>
      </c>
      <c r="Q2259" t="n">
        <v>0</v>
      </c>
      <c r="R2259" s="2" t="inlineStr"/>
    </row>
    <row r="2260" ht="15" customHeight="1">
      <c r="A2260" t="inlineStr">
        <is>
          <t>A 49541-2024</t>
        </is>
      </c>
      <c r="B2260" s="1" t="n">
        <v>45596.44083333333</v>
      </c>
      <c r="C2260" s="1" t="n">
        <v>46103</v>
      </c>
      <c r="D2260" t="inlineStr">
        <is>
          <t>KRONOBERGS LÄN</t>
        </is>
      </c>
      <c r="E2260" t="inlineStr">
        <is>
          <t>LJUNGBY</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36910-2025</t>
        </is>
      </c>
      <c r="B2261" s="1" t="n">
        <v>45874</v>
      </c>
      <c r="C2261" s="1" t="n">
        <v>46103</v>
      </c>
      <c r="D2261" t="inlineStr">
        <is>
          <t>KRONOBERGS LÄN</t>
        </is>
      </c>
      <c r="E2261" t="inlineStr">
        <is>
          <t>ALVESTA</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44093-2022</t>
        </is>
      </c>
      <c r="B2262" s="1" t="n">
        <v>44839</v>
      </c>
      <c r="C2262" s="1" t="n">
        <v>46103</v>
      </c>
      <c r="D2262" t="inlineStr">
        <is>
          <t>KRONOBERGS LÄN</t>
        </is>
      </c>
      <c r="E2262" t="inlineStr">
        <is>
          <t>ALVESTA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14808-2023</t>
        </is>
      </c>
      <c r="B2263" s="1" t="n">
        <v>45014</v>
      </c>
      <c r="C2263" s="1" t="n">
        <v>46103</v>
      </c>
      <c r="D2263" t="inlineStr">
        <is>
          <t>KRONOBERGS LÄN</t>
        </is>
      </c>
      <c r="E2263" t="inlineStr">
        <is>
          <t>TINGSRYD</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62513-2025</t>
        </is>
      </c>
      <c r="B2264" s="1" t="n">
        <v>46007.59954861111</v>
      </c>
      <c r="C2264" s="1" t="n">
        <v>46103</v>
      </c>
      <c r="D2264" t="inlineStr">
        <is>
          <t>KRONOBERGS LÄN</t>
        </is>
      </c>
      <c r="E2264" t="inlineStr">
        <is>
          <t>TINGSRYD</t>
        </is>
      </c>
      <c r="F2264" t="inlineStr">
        <is>
          <t>Övriga Aktiebolag</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62569-2025</t>
        </is>
      </c>
      <c r="B2265" s="1" t="n">
        <v>46007.70440972222</v>
      </c>
      <c r="C2265" s="1" t="n">
        <v>46103</v>
      </c>
      <c r="D2265" t="inlineStr">
        <is>
          <t>KRONOBERGS LÄN</t>
        </is>
      </c>
      <c r="E2265" t="inlineStr">
        <is>
          <t>VÄXJÖ</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50503-2022</t>
        </is>
      </c>
      <c r="B2266" s="1" t="n">
        <v>44866.54954861111</v>
      </c>
      <c r="C2266" s="1" t="n">
        <v>46103</v>
      </c>
      <c r="D2266" t="inlineStr">
        <is>
          <t>KRONOBERGS LÄN</t>
        </is>
      </c>
      <c r="E2266" t="inlineStr">
        <is>
          <t>VÄXJÖ</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62249-2025</t>
        </is>
      </c>
      <c r="B2267" s="1" t="n">
        <v>46006.6075462963</v>
      </c>
      <c r="C2267" s="1" t="n">
        <v>46103</v>
      </c>
      <c r="D2267" t="inlineStr">
        <is>
          <t>KRONOBERGS LÄN</t>
        </is>
      </c>
      <c r="E2267" t="inlineStr">
        <is>
          <t>LJUNGBY</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44646-2025</t>
        </is>
      </c>
      <c r="B2268" s="1" t="n">
        <v>45917</v>
      </c>
      <c r="C2268" s="1" t="n">
        <v>46103</v>
      </c>
      <c r="D2268" t="inlineStr">
        <is>
          <t>KRONOBERGS LÄN</t>
        </is>
      </c>
      <c r="E2268" t="inlineStr">
        <is>
          <t>ALVESTA</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62471-2025</t>
        </is>
      </c>
      <c r="B2269" s="1" t="n">
        <v>46007.5422337963</v>
      </c>
      <c r="C2269" s="1" t="n">
        <v>46103</v>
      </c>
      <c r="D2269" t="inlineStr">
        <is>
          <t>KRONOBERGS LÄN</t>
        </is>
      </c>
      <c r="E2269" t="inlineStr">
        <is>
          <t>TINGSRYD</t>
        </is>
      </c>
      <c r="F2269" t="inlineStr">
        <is>
          <t>Kommuner</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24294-2025</t>
        </is>
      </c>
      <c r="B2270" s="1" t="n">
        <v>45797</v>
      </c>
      <c r="C2270" s="1" t="n">
        <v>46103</v>
      </c>
      <c r="D2270" t="inlineStr">
        <is>
          <t>KRONOBERGS LÄN</t>
        </is>
      </c>
      <c r="E2270" t="inlineStr">
        <is>
          <t>VÄXJÖ</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13126-2024</t>
        </is>
      </c>
      <c r="B2271" s="1" t="n">
        <v>45385.93802083333</v>
      </c>
      <c r="C2271" s="1" t="n">
        <v>46103</v>
      </c>
      <c r="D2271" t="inlineStr">
        <is>
          <t>KRONOBERGS LÄN</t>
        </is>
      </c>
      <c r="E2271" t="inlineStr">
        <is>
          <t>ALVESTA</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44671-2025</t>
        </is>
      </c>
      <c r="B2272" s="1" t="n">
        <v>45917.56575231482</v>
      </c>
      <c r="C2272" s="1" t="n">
        <v>46103</v>
      </c>
      <c r="D2272" t="inlineStr">
        <is>
          <t>KRONOBERGS LÄN</t>
        </is>
      </c>
      <c r="E2272" t="inlineStr">
        <is>
          <t>MARKARYD</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44673-2025</t>
        </is>
      </c>
      <c r="B2273" s="1" t="n">
        <v>45917.56846064814</v>
      </c>
      <c r="C2273" s="1" t="n">
        <v>46103</v>
      </c>
      <c r="D2273" t="inlineStr">
        <is>
          <t>KRONOBERGS LÄN</t>
        </is>
      </c>
      <c r="E2273" t="inlineStr">
        <is>
          <t>MARKARYD</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47281-2024</t>
        </is>
      </c>
      <c r="B2274" s="1" t="n">
        <v>45586</v>
      </c>
      <c r="C2274" s="1" t="n">
        <v>46103</v>
      </c>
      <c r="D2274" t="inlineStr">
        <is>
          <t>KRONOBERGS LÄN</t>
        </is>
      </c>
      <c r="E2274" t="inlineStr">
        <is>
          <t>ÄLMHULT</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14184-2021</t>
        </is>
      </c>
      <c r="B2275" s="1" t="n">
        <v>44278</v>
      </c>
      <c r="C2275" s="1" t="n">
        <v>46103</v>
      </c>
      <c r="D2275" t="inlineStr">
        <is>
          <t>KRONOBERGS LÄN</t>
        </is>
      </c>
      <c r="E2275" t="inlineStr">
        <is>
          <t>UPPVIDINGE</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44682-2025</t>
        </is>
      </c>
      <c r="B2276" s="1" t="n">
        <v>45917.58024305556</v>
      </c>
      <c r="C2276" s="1" t="n">
        <v>46103</v>
      </c>
      <c r="D2276" t="inlineStr">
        <is>
          <t>KRONOBERGS LÄN</t>
        </is>
      </c>
      <c r="E2276" t="inlineStr">
        <is>
          <t>LJUNGBY</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44341-2025</t>
        </is>
      </c>
      <c r="B2277" s="1" t="n">
        <v>45916.43283564815</v>
      </c>
      <c r="C2277" s="1" t="n">
        <v>46103</v>
      </c>
      <c r="D2277" t="inlineStr">
        <is>
          <t>KRONOBERGS LÄN</t>
        </is>
      </c>
      <c r="E2277" t="inlineStr">
        <is>
          <t>LJUNGBY</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44542-2025</t>
        </is>
      </c>
      <c r="B2278" s="1" t="n">
        <v>45917.29938657407</v>
      </c>
      <c r="C2278" s="1" t="n">
        <v>46103</v>
      </c>
      <c r="D2278" t="inlineStr">
        <is>
          <t>KRONOBERGS LÄN</t>
        </is>
      </c>
      <c r="E2278" t="inlineStr">
        <is>
          <t>ÄLMHULT</t>
        </is>
      </c>
      <c r="F2278" t="inlineStr">
        <is>
          <t>Sveaskog</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44469-2025</t>
        </is>
      </c>
      <c r="B2279" s="1" t="n">
        <v>45916.63920138889</v>
      </c>
      <c r="C2279" s="1" t="n">
        <v>46103</v>
      </c>
      <c r="D2279" t="inlineStr">
        <is>
          <t>KRONOBERGS LÄN</t>
        </is>
      </c>
      <c r="E2279" t="inlineStr">
        <is>
          <t>ÄLMHULT</t>
        </is>
      </c>
      <c r="F2279" t="inlineStr">
        <is>
          <t>Sveaskog</t>
        </is>
      </c>
      <c r="G2279" t="n">
        <v>5.6</v>
      </c>
      <c r="H2279" t="n">
        <v>0</v>
      </c>
      <c r="I2279" t="n">
        <v>0</v>
      </c>
      <c r="J2279" t="n">
        <v>0</v>
      </c>
      <c r="K2279" t="n">
        <v>0</v>
      </c>
      <c r="L2279" t="n">
        <v>0</v>
      </c>
      <c r="M2279" t="n">
        <v>0</v>
      </c>
      <c r="N2279" t="n">
        <v>0</v>
      </c>
      <c r="O2279" t="n">
        <v>0</v>
      </c>
      <c r="P2279" t="n">
        <v>0</v>
      </c>
      <c r="Q2279" t="n">
        <v>0</v>
      </c>
      <c r="R2279" s="2" t="inlineStr"/>
    </row>
    <row r="2280" ht="15" customHeight="1">
      <c r="A2280" t="inlineStr">
        <is>
          <t>A 44483-2025</t>
        </is>
      </c>
      <c r="B2280" s="1" t="n">
        <v>45916.65115740741</v>
      </c>
      <c r="C2280" s="1" t="n">
        <v>46103</v>
      </c>
      <c r="D2280" t="inlineStr">
        <is>
          <t>KRONOBERGS LÄN</t>
        </is>
      </c>
      <c r="E2280" t="inlineStr">
        <is>
          <t>ALVESTA</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60600-2023</t>
        </is>
      </c>
      <c r="B2281" s="1" t="n">
        <v>45260.32738425926</v>
      </c>
      <c r="C2281" s="1" t="n">
        <v>46103</v>
      </c>
      <c r="D2281" t="inlineStr">
        <is>
          <t>KRONOBERGS LÄN</t>
        </is>
      </c>
      <c r="E2281" t="inlineStr">
        <is>
          <t>LJUNGBY</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44477-2025</t>
        </is>
      </c>
      <c r="B2282" s="1" t="n">
        <v>45916.6452662037</v>
      </c>
      <c r="C2282" s="1" t="n">
        <v>46103</v>
      </c>
      <c r="D2282" t="inlineStr">
        <is>
          <t>KRONOBERGS LÄN</t>
        </is>
      </c>
      <c r="E2282" t="inlineStr">
        <is>
          <t>ÄLMHULT</t>
        </is>
      </c>
      <c r="F2282" t="inlineStr">
        <is>
          <t>Sveaskog</t>
        </is>
      </c>
      <c r="G2282" t="n">
        <v>4.2</v>
      </c>
      <c r="H2282" t="n">
        <v>0</v>
      </c>
      <c r="I2282" t="n">
        <v>0</v>
      </c>
      <c r="J2282" t="n">
        <v>0</v>
      </c>
      <c r="K2282" t="n">
        <v>0</v>
      </c>
      <c r="L2282" t="n">
        <v>0</v>
      </c>
      <c r="M2282" t="n">
        <v>0</v>
      </c>
      <c r="N2282" t="n">
        <v>0</v>
      </c>
      <c r="O2282" t="n">
        <v>0</v>
      </c>
      <c r="P2282" t="n">
        <v>0</v>
      </c>
      <c r="Q2282" t="n">
        <v>0</v>
      </c>
      <c r="R2282" s="2" t="inlineStr"/>
    </row>
    <row r="2283" ht="15" customHeight="1">
      <c r="A2283" t="inlineStr">
        <is>
          <t>A 44481-2025</t>
        </is>
      </c>
      <c r="B2283" s="1" t="n">
        <v>45916.64881944445</v>
      </c>
      <c r="C2283" s="1" t="n">
        <v>46103</v>
      </c>
      <c r="D2283" t="inlineStr">
        <is>
          <t>KRONOBERGS LÄN</t>
        </is>
      </c>
      <c r="E2283" t="inlineStr">
        <is>
          <t>ALVESTA</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44540-2025</t>
        </is>
      </c>
      <c r="B2284" s="1" t="n">
        <v>45917.29707175926</v>
      </c>
      <c r="C2284" s="1" t="n">
        <v>46103</v>
      </c>
      <c r="D2284" t="inlineStr">
        <is>
          <t>KRONOBERGS LÄN</t>
        </is>
      </c>
      <c r="E2284" t="inlineStr">
        <is>
          <t>ÄLMHULT</t>
        </is>
      </c>
      <c r="F2284" t="inlineStr">
        <is>
          <t>Sveaskog</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38473-2025</t>
        </is>
      </c>
      <c r="B2285" s="1" t="n">
        <v>45884</v>
      </c>
      <c r="C2285" s="1" t="n">
        <v>46103</v>
      </c>
      <c r="D2285" t="inlineStr">
        <is>
          <t>KRONOBERGS LÄN</t>
        </is>
      </c>
      <c r="E2285" t="inlineStr">
        <is>
          <t>ÄLMHULT</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62744-2025</t>
        </is>
      </c>
      <c r="B2286" s="1" t="n">
        <v>46008.57570601852</v>
      </c>
      <c r="C2286" s="1" t="n">
        <v>46103</v>
      </c>
      <c r="D2286" t="inlineStr">
        <is>
          <t>KRONOBERGS LÄN</t>
        </is>
      </c>
      <c r="E2286" t="inlineStr">
        <is>
          <t>ALVESTA</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62762-2025</t>
        </is>
      </c>
      <c r="B2287" s="1" t="n">
        <v>46008.59400462963</v>
      </c>
      <c r="C2287" s="1" t="n">
        <v>46103</v>
      </c>
      <c r="D2287" t="inlineStr">
        <is>
          <t>KRONOBERGS LÄN</t>
        </is>
      </c>
      <c r="E2287" t="inlineStr">
        <is>
          <t>ALVESTA</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38921-2024</t>
        </is>
      </c>
      <c r="B2288" s="1" t="n">
        <v>45547</v>
      </c>
      <c r="C2288" s="1" t="n">
        <v>46103</v>
      </c>
      <c r="D2288" t="inlineStr">
        <is>
          <t>KRONOBERGS LÄN</t>
        </is>
      </c>
      <c r="E2288" t="inlineStr">
        <is>
          <t>MARKARYD</t>
        </is>
      </c>
      <c r="F2288" t="inlineStr">
        <is>
          <t>Kyrkan</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63106-2025</t>
        </is>
      </c>
      <c r="B2289" s="1" t="n">
        <v>46009.70887731481</v>
      </c>
      <c r="C2289" s="1" t="n">
        <v>46103</v>
      </c>
      <c r="D2289" t="inlineStr">
        <is>
          <t>KRONOBERGS LÄN</t>
        </is>
      </c>
      <c r="E2289" t="inlineStr">
        <is>
          <t>UPPVIDINGE</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62664-2025</t>
        </is>
      </c>
      <c r="B2290" s="1" t="n">
        <v>46008.43641203704</v>
      </c>
      <c r="C2290" s="1" t="n">
        <v>46103</v>
      </c>
      <c r="D2290" t="inlineStr">
        <is>
          <t>KRONOBERGS LÄN</t>
        </is>
      </c>
      <c r="E2290" t="inlineStr">
        <is>
          <t>LJUNGBY</t>
        </is>
      </c>
      <c r="F2290" t="inlineStr">
        <is>
          <t>Kommuner</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62668-2025</t>
        </is>
      </c>
      <c r="B2291" s="1" t="n">
        <v>46008.44128472222</v>
      </c>
      <c r="C2291" s="1" t="n">
        <v>46103</v>
      </c>
      <c r="D2291" t="inlineStr">
        <is>
          <t>KRONOBERGS LÄN</t>
        </is>
      </c>
      <c r="E2291" t="inlineStr">
        <is>
          <t>LJUNGBY</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62431-2025</t>
        </is>
      </c>
      <c r="B2292" s="1" t="n">
        <v>46007</v>
      </c>
      <c r="C2292" s="1" t="n">
        <v>46103</v>
      </c>
      <c r="D2292" t="inlineStr">
        <is>
          <t>KRONOBERGS LÄN</t>
        </is>
      </c>
      <c r="E2292" t="inlineStr">
        <is>
          <t>VÄXJÖ</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37432-2024</t>
        </is>
      </c>
      <c r="B2293" s="1" t="n">
        <v>45540</v>
      </c>
      <c r="C2293" s="1" t="n">
        <v>46103</v>
      </c>
      <c r="D2293" t="inlineStr">
        <is>
          <t>KRONOBERGS LÄN</t>
        </is>
      </c>
      <c r="E2293" t="inlineStr">
        <is>
          <t>VÄXJÖ</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44655-2025</t>
        </is>
      </c>
      <c r="B2294" s="1" t="n">
        <v>45917</v>
      </c>
      <c r="C2294" s="1" t="n">
        <v>46103</v>
      </c>
      <c r="D2294" t="inlineStr">
        <is>
          <t>KRONOBERGS LÄN</t>
        </is>
      </c>
      <c r="E2294" t="inlineStr">
        <is>
          <t>ALVESTA</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62670-2025</t>
        </is>
      </c>
      <c r="B2295" s="1" t="n">
        <v>46008.44584490741</v>
      </c>
      <c r="C2295" s="1" t="n">
        <v>46103</v>
      </c>
      <c r="D2295" t="inlineStr">
        <is>
          <t>KRONOBERGS LÄN</t>
        </is>
      </c>
      <c r="E2295" t="inlineStr">
        <is>
          <t>LJUNGBY</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62672-2025</t>
        </is>
      </c>
      <c r="B2296" s="1" t="n">
        <v>46008.44820601852</v>
      </c>
      <c r="C2296" s="1" t="n">
        <v>46103</v>
      </c>
      <c r="D2296" t="inlineStr">
        <is>
          <t>KRONOBERGS LÄN</t>
        </is>
      </c>
      <c r="E2296" t="inlineStr">
        <is>
          <t>LJUNGBY</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44740-2025</t>
        </is>
      </c>
      <c r="B2297" s="1" t="n">
        <v>45917.66189814815</v>
      </c>
      <c r="C2297" s="1" t="n">
        <v>46103</v>
      </c>
      <c r="D2297" t="inlineStr">
        <is>
          <t>KRONOBERGS LÄN</t>
        </is>
      </c>
      <c r="E2297" t="inlineStr">
        <is>
          <t>LJUNGBY</t>
        </is>
      </c>
      <c r="G2297" t="n">
        <v>11.2</v>
      </c>
      <c r="H2297" t="n">
        <v>0</v>
      </c>
      <c r="I2297" t="n">
        <v>0</v>
      </c>
      <c r="J2297" t="n">
        <v>0</v>
      </c>
      <c r="K2297" t="n">
        <v>0</v>
      </c>
      <c r="L2297" t="n">
        <v>0</v>
      </c>
      <c r="M2297" t="n">
        <v>0</v>
      </c>
      <c r="N2297" t="n">
        <v>0</v>
      </c>
      <c r="O2297" t="n">
        <v>0</v>
      </c>
      <c r="P2297" t="n">
        <v>0</v>
      </c>
      <c r="Q2297" t="n">
        <v>0</v>
      </c>
      <c r="R2297" s="2" t="inlineStr"/>
    </row>
    <row r="2298" ht="15" customHeight="1">
      <c r="A2298" t="inlineStr">
        <is>
          <t>A 44271-2025</t>
        </is>
      </c>
      <c r="B2298" s="1" t="n">
        <v>45916.32733796296</v>
      </c>
      <c r="C2298" s="1" t="n">
        <v>46103</v>
      </c>
      <c r="D2298" t="inlineStr">
        <is>
          <t>KRONOBERGS LÄN</t>
        </is>
      </c>
      <c r="E2298" t="inlineStr">
        <is>
          <t>LJUNGBY</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44539-2025</t>
        </is>
      </c>
      <c r="B2299" s="1" t="n">
        <v>45917.29179398148</v>
      </c>
      <c r="C2299" s="1" t="n">
        <v>46103</v>
      </c>
      <c r="D2299" t="inlineStr">
        <is>
          <t>KRONOBERGS LÄN</t>
        </is>
      </c>
      <c r="E2299" t="inlineStr">
        <is>
          <t>ÄLMHULT</t>
        </is>
      </c>
      <c r="F2299" t="inlineStr">
        <is>
          <t>Sveaskog</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62576-2025</t>
        </is>
      </c>
      <c r="B2300" s="1" t="n">
        <v>46007.76164351852</v>
      </c>
      <c r="C2300" s="1" t="n">
        <v>46103</v>
      </c>
      <c r="D2300" t="inlineStr">
        <is>
          <t>KRONOBERGS LÄN</t>
        </is>
      </c>
      <c r="E2300" t="inlineStr">
        <is>
          <t>LJUNGBY</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62639-2025</t>
        </is>
      </c>
      <c r="B2301" s="1" t="n">
        <v>46008.36716435185</v>
      </c>
      <c r="C2301" s="1" t="n">
        <v>46103</v>
      </c>
      <c r="D2301" t="inlineStr">
        <is>
          <t>KRONOBERGS LÄN</t>
        </is>
      </c>
      <c r="E2301" t="inlineStr">
        <is>
          <t>TINGSRYD</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62640-2025</t>
        </is>
      </c>
      <c r="B2302" s="1" t="n">
        <v>46008.36756944445</v>
      </c>
      <c r="C2302" s="1" t="n">
        <v>46103</v>
      </c>
      <c r="D2302" t="inlineStr">
        <is>
          <t>KRONOBERGS LÄN</t>
        </is>
      </c>
      <c r="E2302" t="inlineStr">
        <is>
          <t>LJUNGBY</t>
        </is>
      </c>
      <c r="F2302" t="inlineStr">
        <is>
          <t>Kommuner</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44502-2025</t>
        </is>
      </c>
      <c r="B2303" s="1" t="n">
        <v>45916.67770833334</v>
      </c>
      <c r="C2303" s="1" t="n">
        <v>46103</v>
      </c>
      <c r="D2303" t="inlineStr">
        <is>
          <t>KRONOBERGS LÄN</t>
        </is>
      </c>
      <c r="E2303" t="inlineStr">
        <is>
          <t>ÄLMHULT</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63103-2025</t>
        </is>
      </c>
      <c r="B2304" s="1" t="n">
        <v>46009.70274305555</v>
      </c>
      <c r="C2304" s="1" t="n">
        <v>46103</v>
      </c>
      <c r="D2304" t="inlineStr">
        <is>
          <t>KRONOBERGS LÄN</t>
        </is>
      </c>
      <c r="E2304" t="inlineStr">
        <is>
          <t>UPPVIDINGE</t>
        </is>
      </c>
      <c r="G2304" t="n">
        <v>7.6</v>
      </c>
      <c r="H2304" t="n">
        <v>0</v>
      </c>
      <c r="I2304" t="n">
        <v>0</v>
      </c>
      <c r="J2304" t="n">
        <v>0</v>
      </c>
      <c r="K2304" t="n">
        <v>0</v>
      </c>
      <c r="L2304" t="n">
        <v>0</v>
      </c>
      <c r="M2304" t="n">
        <v>0</v>
      </c>
      <c r="N2304" t="n">
        <v>0</v>
      </c>
      <c r="O2304" t="n">
        <v>0</v>
      </c>
      <c r="P2304" t="n">
        <v>0</v>
      </c>
      <c r="Q2304" t="n">
        <v>0</v>
      </c>
      <c r="R2304" s="2" t="inlineStr"/>
    </row>
    <row r="2305" ht="15" customHeight="1">
      <c r="A2305" t="inlineStr">
        <is>
          <t>A 50487-2021</t>
        </is>
      </c>
      <c r="B2305" s="1" t="n">
        <v>44459.56224537037</v>
      </c>
      <c r="C2305" s="1" t="n">
        <v>46103</v>
      </c>
      <c r="D2305" t="inlineStr">
        <is>
          <t>KRONOBERGS LÄN</t>
        </is>
      </c>
      <c r="E2305" t="inlineStr">
        <is>
          <t>UPPVIDINGE</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44684-2025</t>
        </is>
      </c>
      <c r="B2306" s="1" t="n">
        <v>45917.58282407407</v>
      </c>
      <c r="C2306" s="1" t="n">
        <v>46103</v>
      </c>
      <c r="D2306" t="inlineStr">
        <is>
          <t>KRONOBERGS LÄN</t>
        </is>
      </c>
      <c r="E2306" t="inlineStr">
        <is>
          <t>LJUNGBY</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7957-2023</t>
        </is>
      </c>
      <c r="B2307" s="1" t="n">
        <v>44973.68270833333</v>
      </c>
      <c r="C2307" s="1" t="n">
        <v>46103</v>
      </c>
      <c r="D2307" t="inlineStr">
        <is>
          <t>KRONOBERGS LÄN</t>
        </is>
      </c>
      <c r="E2307" t="inlineStr">
        <is>
          <t>LESSEBO</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24573-2024</t>
        </is>
      </c>
      <c r="B2308" s="1" t="n">
        <v>45460.45409722222</v>
      </c>
      <c r="C2308" s="1" t="n">
        <v>46103</v>
      </c>
      <c r="D2308" t="inlineStr">
        <is>
          <t>KRONOBERGS LÄN</t>
        </is>
      </c>
      <c r="E2308" t="inlineStr">
        <is>
          <t>ALVESTA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44265-2025</t>
        </is>
      </c>
      <c r="B2309" s="1" t="n">
        <v>45916.28979166667</v>
      </c>
      <c r="C2309" s="1" t="n">
        <v>46103</v>
      </c>
      <c r="D2309" t="inlineStr">
        <is>
          <t>KRONOBERGS LÄN</t>
        </is>
      </c>
      <c r="E2309" t="inlineStr">
        <is>
          <t>VÄXJÖ</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62948-2025</t>
        </is>
      </c>
      <c r="B2310" s="1" t="n">
        <v>46009.44583333333</v>
      </c>
      <c r="C2310" s="1" t="n">
        <v>46103</v>
      </c>
      <c r="D2310" t="inlineStr">
        <is>
          <t>KRONOBERGS LÄN</t>
        </is>
      </c>
      <c r="E2310" t="inlineStr">
        <is>
          <t>LJUNGBY</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44510-2025</t>
        </is>
      </c>
      <c r="B2311" s="1" t="n">
        <v>45916.69076388889</v>
      </c>
      <c r="C2311" s="1" t="n">
        <v>46103</v>
      </c>
      <c r="D2311" t="inlineStr">
        <is>
          <t>KRONOBERGS LÄN</t>
        </is>
      </c>
      <c r="E2311" t="inlineStr">
        <is>
          <t>ÄLMHULT</t>
        </is>
      </c>
      <c r="G2311" t="n">
        <v>5.3</v>
      </c>
      <c r="H2311" t="n">
        <v>0</v>
      </c>
      <c r="I2311" t="n">
        <v>0</v>
      </c>
      <c r="J2311" t="n">
        <v>0</v>
      </c>
      <c r="K2311" t="n">
        <v>0</v>
      </c>
      <c r="L2311" t="n">
        <v>0</v>
      </c>
      <c r="M2311" t="n">
        <v>0</v>
      </c>
      <c r="N2311" t="n">
        <v>0</v>
      </c>
      <c r="O2311" t="n">
        <v>0</v>
      </c>
      <c r="P2311" t="n">
        <v>0</v>
      </c>
      <c r="Q2311" t="n">
        <v>0</v>
      </c>
      <c r="R2311" s="2" t="inlineStr"/>
    </row>
    <row r="2312" ht="15" customHeight="1">
      <c r="A2312" t="inlineStr">
        <is>
          <t>A 44513-2025</t>
        </is>
      </c>
      <c r="B2312" s="1" t="n">
        <v>45916.69763888889</v>
      </c>
      <c r="C2312" s="1" t="n">
        <v>46103</v>
      </c>
      <c r="D2312" t="inlineStr">
        <is>
          <t>KRONOBERGS LÄN</t>
        </is>
      </c>
      <c r="E2312" t="inlineStr">
        <is>
          <t>LJUNGBY</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44528-2025</t>
        </is>
      </c>
      <c r="B2313" s="1" t="n">
        <v>45916</v>
      </c>
      <c r="C2313" s="1" t="n">
        <v>46103</v>
      </c>
      <c r="D2313" t="inlineStr">
        <is>
          <t>KRONOBERGS LÄN</t>
        </is>
      </c>
      <c r="E2313" t="inlineStr">
        <is>
          <t>ALVESTA</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44269-2025</t>
        </is>
      </c>
      <c r="B2314" s="1" t="n">
        <v>45916.31818287037</v>
      </c>
      <c r="C2314" s="1" t="n">
        <v>46103</v>
      </c>
      <c r="D2314" t="inlineStr">
        <is>
          <t>KRONOBERGS LÄN</t>
        </is>
      </c>
      <c r="E2314" t="inlineStr">
        <is>
          <t>LJUNGBY</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62592-2025</t>
        </is>
      </c>
      <c r="B2315" s="1" t="n">
        <v>46007.88805555556</v>
      </c>
      <c r="C2315" s="1" t="n">
        <v>46103</v>
      </c>
      <c r="D2315" t="inlineStr">
        <is>
          <t>KRONOBERGS LÄN</t>
        </is>
      </c>
      <c r="E2315" t="inlineStr">
        <is>
          <t>VÄXJÖ</t>
        </is>
      </c>
      <c r="F2315" t="inlineStr">
        <is>
          <t>Sveaskog</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44716-2025</t>
        </is>
      </c>
      <c r="B2316" s="1" t="n">
        <v>45917.62997685185</v>
      </c>
      <c r="C2316" s="1" t="n">
        <v>46103</v>
      </c>
      <c r="D2316" t="inlineStr">
        <is>
          <t>KRONOBERGS LÄN</t>
        </is>
      </c>
      <c r="E2316" t="inlineStr">
        <is>
          <t>MARKARYD</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44338-2025</t>
        </is>
      </c>
      <c r="B2317" s="1" t="n">
        <v>45916.42630787037</v>
      </c>
      <c r="C2317" s="1" t="n">
        <v>46103</v>
      </c>
      <c r="D2317" t="inlineStr">
        <is>
          <t>KRONOBERGS LÄN</t>
        </is>
      </c>
      <c r="E2317" t="inlineStr">
        <is>
          <t>LJUNGBY</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44648-2025</t>
        </is>
      </c>
      <c r="B2318" s="1" t="n">
        <v>45917</v>
      </c>
      <c r="C2318" s="1" t="n">
        <v>46103</v>
      </c>
      <c r="D2318" t="inlineStr">
        <is>
          <t>KRONOBERGS LÄN</t>
        </is>
      </c>
      <c r="E2318" t="inlineStr">
        <is>
          <t>ALVESTA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57988-2022</t>
        </is>
      </c>
      <c r="B2319" s="1" t="n">
        <v>44900</v>
      </c>
      <c r="C2319" s="1" t="n">
        <v>46103</v>
      </c>
      <c r="D2319" t="inlineStr">
        <is>
          <t>KRONOBERGS LÄN</t>
        </is>
      </c>
      <c r="E2319" t="inlineStr">
        <is>
          <t>TINGSRYD</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21999-2024</t>
        </is>
      </c>
      <c r="B2320" s="1" t="n">
        <v>45443.56369212963</v>
      </c>
      <c r="C2320" s="1" t="n">
        <v>46103</v>
      </c>
      <c r="D2320" t="inlineStr">
        <is>
          <t>KRONOBERGS LÄN</t>
        </is>
      </c>
      <c r="E2320" t="inlineStr">
        <is>
          <t>ÄLMHULT</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63376-2025</t>
        </is>
      </c>
      <c r="B2321" s="1" t="n">
        <v>46009</v>
      </c>
      <c r="C2321" s="1" t="n">
        <v>46103</v>
      </c>
      <c r="D2321" t="inlineStr">
        <is>
          <t>KRONOBERGS LÄN</t>
        </is>
      </c>
      <c r="E2321" t="inlineStr">
        <is>
          <t>UPPVIDINGE</t>
        </is>
      </c>
      <c r="F2321" t="inlineStr">
        <is>
          <t>Kyrkan</t>
        </is>
      </c>
      <c r="G2321" t="n">
        <v>13.8</v>
      </c>
      <c r="H2321" t="n">
        <v>0</v>
      </c>
      <c r="I2321" t="n">
        <v>0</v>
      </c>
      <c r="J2321" t="n">
        <v>0</v>
      </c>
      <c r="K2321" t="n">
        <v>0</v>
      </c>
      <c r="L2321" t="n">
        <v>0</v>
      </c>
      <c r="M2321" t="n">
        <v>0</v>
      </c>
      <c r="N2321" t="n">
        <v>0</v>
      </c>
      <c r="O2321" t="n">
        <v>0</v>
      </c>
      <c r="P2321" t="n">
        <v>0</v>
      </c>
      <c r="Q2321" t="n">
        <v>0</v>
      </c>
      <c r="R2321" s="2" t="inlineStr"/>
    </row>
    <row r="2322" ht="15" customHeight="1">
      <c r="A2322" t="inlineStr">
        <is>
          <t>A 44649-2025</t>
        </is>
      </c>
      <c r="B2322" s="1" t="n">
        <v>45917</v>
      </c>
      <c r="C2322" s="1" t="n">
        <v>46103</v>
      </c>
      <c r="D2322" t="inlineStr">
        <is>
          <t>KRONOBERGS LÄN</t>
        </is>
      </c>
      <c r="E2322" t="inlineStr">
        <is>
          <t>ALVESTA</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44651-2025</t>
        </is>
      </c>
      <c r="B2323" s="1" t="n">
        <v>45917</v>
      </c>
      <c r="C2323" s="1" t="n">
        <v>46103</v>
      </c>
      <c r="D2323" t="inlineStr">
        <is>
          <t>KRONOBERGS LÄN</t>
        </is>
      </c>
      <c r="E2323" t="inlineStr">
        <is>
          <t>ALVESTA</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44439-2025</t>
        </is>
      </c>
      <c r="B2324" s="1" t="n">
        <v>45916.58863425926</v>
      </c>
      <c r="C2324" s="1" t="n">
        <v>46103</v>
      </c>
      <c r="D2324" t="inlineStr">
        <is>
          <t>KRONOBERGS LÄN</t>
        </is>
      </c>
      <c r="E2324" t="inlineStr">
        <is>
          <t>MARKARYD</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976-2023</t>
        </is>
      </c>
      <c r="B2325" s="1" t="n">
        <v>44935.34144675926</v>
      </c>
      <c r="C2325" s="1" t="n">
        <v>46103</v>
      </c>
      <c r="D2325" t="inlineStr">
        <is>
          <t>KRONOBERGS LÄN</t>
        </is>
      </c>
      <c r="E2325" t="inlineStr">
        <is>
          <t>ÄLMHULT</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24097-2025</t>
        </is>
      </c>
      <c r="B2326" s="1" t="n">
        <v>45796.58149305556</v>
      </c>
      <c r="C2326" s="1" t="n">
        <v>46103</v>
      </c>
      <c r="D2326" t="inlineStr">
        <is>
          <t>KRONOBERGS LÄN</t>
        </is>
      </c>
      <c r="E2326" t="inlineStr">
        <is>
          <t>LJUNGBY</t>
        </is>
      </c>
      <c r="F2326" t="inlineStr">
        <is>
          <t>Sveaskog</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44518-2025</t>
        </is>
      </c>
      <c r="B2327" s="1" t="n">
        <v>45916.71357638889</v>
      </c>
      <c r="C2327" s="1" t="n">
        <v>46103</v>
      </c>
      <c r="D2327" t="inlineStr">
        <is>
          <t>KRONOBERGS LÄN</t>
        </is>
      </c>
      <c r="E2327" t="inlineStr">
        <is>
          <t>ÄLMHULT</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44711-2025</t>
        </is>
      </c>
      <c r="B2328" s="1" t="n">
        <v>45917.61854166666</v>
      </c>
      <c r="C2328" s="1" t="n">
        <v>46103</v>
      </c>
      <c r="D2328" t="inlineStr">
        <is>
          <t>KRONOBERGS LÄN</t>
        </is>
      </c>
      <c r="E2328" t="inlineStr">
        <is>
          <t>MARKARYD</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44657-2025</t>
        </is>
      </c>
      <c r="B2329" s="1" t="n">
        <v>45917</v>
      </c>
      <c r="C2329" s="1" t="n">
        <v>46103</v>
      </c>
      <c r="D2329" t="inlineStr">
        <is>
          <t>KRONOBERGS LÄN</t>
        </is>
      </c>
      <c r="E2329" t="inlineStr">
        <is>
          <t>ALVESTA</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44664-2025</t>
        </is>
      </c>
      <c r="B2330" s="1" t="n">
        <v>45917</v>
      </c>
      <c r="C2330" s="1" t="n">
        <v>46103</v>
      </c>
      <c r="D2330" t="inlineStr">
        <is>
          <t>KRONOBERGS LÄN</t>
        </is>
      </c>
      <c r="E2330" t="inlineStr">
        <is>
          <t>ALVESTA</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68473-2021</t>
        </is>
      </c>
      <c r="B2331" s="1" t="n">
        <v>44529</v>
      </c>
      <c r="C2331" s="1" t="n">
        <v>46103</v>
      </c>
      <c r="D2331" t="inlineStr">
        <is>
          <t>KRONOBERGS LÄN</t>
        </is>
      </c>
      <c r="E2331" t="inlineStr">
        <is>
          <t>VÄXJÖ</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24175-2025</t>
        </is>
      </c>
      <c r="B2332" s="1" t="n">
        <v>45796</v>
      </c>
      <c r="C2332" s="1" t="n">
        <v>46103</v>
      </c>
      <c r="D2332" t="inlineStr">
        <is>
          <t>KRONOBERGS LÄN</t>
        </is>
      </c>
      <c r="E2332" t="inlineStr">
        <is>
          <t>ALVESTA</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24041-2025</t>
        </is>
      </c>
      <c r="B2333" s="1" t="n">
        <v>45796.48868055556</v>
      </c>
      <c r="C2333" s="1" t="n">
        <v>46103</v>
      </c>
      <c r="D2333" t="inlineStr">
        <is>
          <t>KRONOBERGS LÄN</t>
        </is>
      </c>
      <c r="E2333" t="inlineStr">
        <is>
          <t>VÄXJÖ</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44667-2025</t>
        </is>
      </c>
      <c r="B2334" s="1" t="n">
        <v>45917</v>
      </c>
      <c r="C2334" s="1" t="n">
        <v>46103</v>
      </c>
      <c r="D2334" t="inlineStr">
        <is>
          <t>KRONOBERGS LÄN</t>
        </is>
      </c>
      <c r="E2334" t="inlineStr">
        <is>
          <t>ALVESTA</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44670-2025</t>
        </is>
      </c>
      <c r="B2335" s="1" t="n">
        <v>45917.56428240741</v>
      </c>
      <c r="C2335" s="1" t="n">
        <v>46103</v>
      </c>
      <c r="D2335" t="inlineStr">
        <is>
          <t>KRONOBERGS LÄN</t>
        </is>
      </c>
      <c r="E2335" t="inlineStr">
        <is>
          <t>LJUNGBY</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44676-2025</t>
        </is>
      </c>
      <c r="B2336" s="1" t="n">
        <v>45917.56862268518</v>
      </c>
      <c r="C2336" s="1" t="n">
        <v>46103</v>
      </c>
      <c r="D2336" t="inlineStr">
        <is>
          <t>KRONOBERGS LÄN</t>
        </is>
      </c>
      <c r="E2336" t="inlineStr">
        <is>
          <t>LJUNGBY</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62593-2025</t>
        </is>
      </c>
      <c r="B2337" s="1" t="n">
        <v>46007.88928240741</v>
      </c>
      <c r="C2337" s="1" t="n">
        <v>46103</v>
      </c>
      <c r="D2337" t="inlineStr">
        <is>
          <t>KRONOBERGS LÄN</t>
        </is>
      </c>
      <c r="E2337" t="inlineStr">
        <is>
          <t>VÄXJÖ</t>
        </is>
      </c>
      <c r="F2337" t="inlineStr">
        <is>
          <t>Sveaskog</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18776-2024</t>
        </is>
      </c>
      <c r="B2338" s="1" t="n">
        <v>45426</v>
      </c>
      <c r="C2338" s="1" t="n">
        <v>46103</v>
      </c>
      <c r="D2338" t="inlineStr">
        <is>
          <t>KRONOBERGS LÄN</t>
        </is>
      </c>
      <c r="E2338" t="inlineStr">
        <is>
          <t>MARKARYD</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18813-2024</t>
        </is>
      </c>
      <c r="B2339" s="1" t="n">
        <v>45426</v>
      </c>
      <c r="C2339" s="1" t="n">
        <v>46103</v>
      </c>
      <c r="D2339" t="inlineStr">
        <is>
          <t>KRONOBERGS LÄN</t>
        </is>
      </c>
      <c r="E2339" t="inlineStr">
        <is>
          <t>VÄXJÖ</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4442-2025</t>
        </is>
      </c>
      <c r="B2340" s="1" t="n">
        <v>45686.54246527778</v>
      </c>
      <c r="C2340" s="1" t="n">
        <v>46103</v>
      </c>
      <c r="D2340" t="inlineStr">
        <is>
          <t>KRONOBERGS LÄN</t>
        </is>
      </c>
      <c r="E2340" t="inlineStr">
        <is>
          <t>LJUNGBY</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4457-2025</t>
        </is>
      </c>
      <c r="B2341" s="1" t="n">
        <v>45686.59162037037</v>
      </c>
      <c r="C2341" s="1" t="n">
        <v>46103</v>
      </c>
      <c r="D2341" t="inlineStr">
        <is>
          <t>KRONOBERGS LÄN</t>
        </is>
      </c>
      <c r="E2341" t="inlineStr">
        <is>
          <t>VÄXJÖ</t>
        </is>
      </c>
      <c r="G2341" t="n">
        <v>4.3</v>
      </c>
      <c r="H2341" t="n">
        <v>0</v>
      </c>
      <c r="I2341" t="n">
        <v>0</v>
      </c>
      <c r="J2341" t="n">
        <v>0</v>
      </c>
      <c r="K2341" t="n">
        <v>0</v>
      </c>
      <c r="L2341" t="n">
        <v>0</v>
      </c>
      <c r="M2341" t="n">
        <v>0</v>
      </c>
      <c r="N2341" t="n">
        <v>0</v>
      </c>
      <c r="O2341" t="n">
        <v>0</v>
      </c>
      <c r="P2341" t="n">
        <v>0</v>
      </c>
      <c r="Q2341" t="n">
        <v>0</v>
      </c>
      <c r="R2341" s="2" t="inlineStr"/>
    </row>
    <row r="2342" ht="15" customHeight="1">
      <c r="A2342" t="inlineStr">
        <is>
          <t>A 4464-2025</t>
        </is>
      </c>
      <c r="B2342" s="1" t="n">
        <v>45686.60648148148</v>
      </c>
      <c r="C2342" s="1" t="n">
        <v>46103</v>
      </c>
      <c r="D2342" t="inlineStr">
        <is>
          <t>KRONOBERGS LÄN</t>
        </is>
      </c>
      <c r="E2342" t="inlineStr">
        <is>
          <t>LJUNGBY</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4468-2025</t>
        </is>
      </c>
      <c r="B2343" s="1" t="n">
        <v>45686.60993055555</v>
      </c>
      <c r="C2343" s="1" t="n">
        <v>46103</v>
      </c>
      <c r="D2343" t="inlineStr">
        <is>
          <t>KRONOBERGS LÄN</t>
        </is>
      </c>
      <c r="E2343" t="inlineStr">
        <is>
          <t>VÄXJÖ</t>
        </is>
      </c>
      <c r="G2343" t="n">
        <v>9.9</v>
      </c>
      <c r="H2343" t="n">
        <v>0</v>
      </c>
      <c r="I2343" t="n">
        <v>0</v>
      </c>
      <c r="J2343" t="n">
        <v>0</v>
      </c>
      <c r="K2343" t="n">
        <v>0</v>
      </c>
      <c r="L2343" t="n">
        <v>0</v>
      </c>
      <c r="M2343" t="n">
        <v>0</v>
      </c>
      <c r="N2343" t="n">
        <v>0</v>
      </c>
      <c r="O2343" t="n">
        <v>0</v>
      </c>
      <c r="P2343" t="n">
        <v>0</v>
      </c>
      <c r="Q2343" t="n">
        <v>0</v>
      </c>
      <c r="R2343" s="2" t="inlineStr"/>
    </row>
    <row r="2344" ht="15" customHeight="1">
      <c r="A2344" t="inlineStr">
        <is>
          <t>A 4477-2025</t>
        </is>
      </c>
      <c r="B2344" s="1" t="n">
        <v>45686.63332175926</v>
      </c>
      <c r="C2344" s="1" t="n">
        <v>46103</v>
      </c>
      <c r="D2344" t="inlineStr">
        <is>
          <t>KRONOBERGS LÄN</t>
        </is>
      </c>
      <c r="E2344" t="inlineStr">
        <is>
          <t>LJUNGBY</t>
        </is>
      </c>
      <c r="G2344" t="n">
        <v>9.5</v>
      </c>
      <c r="H2344" t="n">
        <v>0</v>
      </c>
      <c r="I2344" t="n">
        <v>0</v>
      </c>
      <c r="J2344" t="n">
        <v>0</v>
      </c>
      <c r="K2344" t="n">
        <v>0</v>
      </c>
      <c r="L2344" t="n">
        <v>0</v>
      </c>
      <c r="M2344" t="n">
        <v>0</v>
      </c>
      <c r="N2344" t="n">
        <v>0</v>
      </c>
      <c r="O2344" t="n">
        <v>0</v>
      </c>
      <c r="P2344" t="n">
        <v>0</v>
      </c>
      <c r="Q2344" t="n">
        <v>0</v>
      </c>
      <c r="R2344" s="2" t="inlineStr"/>
    </row>
    <row r="2345" ht="15" customHeight="1">
      <c r="A2345" t="inlineStr">
        <is>
          <t>A 23960-2025</t>
        </is>
      </c>
      <c r="B2345" s="1" t="n">
        <v>45796.36819444445</v>
      </c>
      <c r="C2345" s="1" t="n">
        <v>46103</v>
      </c>
      <c r="D2345" t="inlineStr">
        <is>
          <t>KRONOBERGS LÄN</t>
        </is>
      </c>
      <c r="E2345" t="inlineStr">
        <is>
          <t>LJUNGBY</t>
        </is>
      </c>
      <c r="F2345" t="inlineStr">
        <is>
          <t>Sveaskog</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24296-2025</t>
        </is>
      </c>
      <c r="B2346" s="1" t="n">
        <v>45797.47237268519</v>
      </c>
      <c r="C2346" s="1" t="n">
        <v>46103</v>
      </c>
      <c r="D2346" t="inlineStr">
        <is>
          <t>KRONOBERGS LÄN</t>
        </is>
      </c>
      <c r="E2346" t="inlineStr">
        <is>
          <t>MARKARYD</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8949-2023</t>
        </is>
      </c>
      <c r="B2347" s="1" t="n">
        <v>44979.46550925926</v>
      </c>
      <c r="C2347" s="1" t="n">
        <v>46103</v>
      </c>
      <c r="D2347" t="inlineStr">
        <is>
          <t>KRONOBERGS LÄN</t>
        </is>
      </c>
      <c r="E2347" t="inlineStr">
        <is>
          <t>ÄLMHULT</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62714-2025</t>
        </is>
      </c>
      <c r="B2348" s="1" t="n">
        <v>46008.51371527778</v>
      </c>
      <c r="C2348" s="1" t="n">
        <v>46103</v>
      </c>
      <c r="D2348" t="inlineStr">
        <is>
          <t>KRONOBERGS LÄN</t>
        </is>
      </c>
      <c r="E2348" t="inlineStr">
        <is>
          <t>VÄXJÖ</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62728-2025</t>
        </is>
      </c>
      <c r="B2349" s="1" t="n">
        <v>46008.55391203704</v>
      </c>
      <c r="C2349" s="1" t="n">
        <v>46103</v>
      </c>
      <c r="D2349" t="inlineStr">
        <is>
          <t>KRONOBERGS LÄN</t>
        </is>
      </c>
      <c r="E2349" t="inlineStr">
        <is>
          <t>LESSEBO</t>
        </is>
      </c>
      <c r="F2349" t="inlineStr">
        <is>
          <t>Sveaskog</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62734-2025</t>
        </is>
      </c>
      <c r="B2350" s="1" t="n">
        <v>46008.56590277778</v>
      </c>
      <c r="C2350" s="1" t="n">
        <v>46103</v>
      </c>
      <c r="D2350" t="inlineStr">
        <is>
          <t>KRONOBERGS LÄN</t>
        </is>
      </c>
      <c r="E2350" t="inlineStr">
        <is>
          <t>ALVESTA</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23973-2025</t>
        </is>
      </c>
      <c r="B2351" s="1" t="n">
        <v>45796.38582175926</v>
      </c>
      <c r="C2351" s="1" t="n">
        <v>46103</v>
      </c>
      <c r="D2351" t="inlineStr">
        <is>
          <t>KRONOBERGS LÄN</t>
        </is>
      </c>
      <c r="E2351" t="inlineStr">
        <is>
          <t>LJUNGBY</t>
        </is>
      </c>
      <c r="F2351" t="inlineStr">
        <is>
          <t>Sveaskog</t>
        </is>
      </c>
      <c r="G2351" t="n">
        <v>4.8</v>
      </c>
      <c r="H2351" t="n">
        <v>0</v>
      </c>
      <c r="I2351" t="n">
        <v>0</v>
      </c>
      <c r="J2351" t="n">
        <v>0</v>
      </c>
      <c r="K2351" t="n">
        <v>0</v>
      </c>
      <c r="L2351" t="n">
        <v>0</v>
      </c>
      <c r="M2351" t="n">
        <v>0</v>
      </c>
      <c r="N2351" t="n">
        <v>0</v>
      </c>
      <c r="O2351" t="n">
        <v>0</v>
      </c>
      <c r="P2351" t="n">
        <v>0</v>
      </c>
      <c r="Q2351" t="n">
        <v>0</v>
      </c>
      <c r="R2351" s="2" t="inlineStr"/>
    </row>
    <row r="2352" ht="15" customHeight="1">
      <c r="A2352" t="inlineStr">
        <is>
          <t>A 7121-2023</t>
        </is>
      </c>
      <c r="B2352" s="1" t="n">
        <v>44970.40100694444</v>
      </c>
      <c r="C2352" s="1" t="n">
        <v>46103</v>
      </c>
      <c r="D2352" t="inlineStr">
        <is>
          <t>KRONOBERGS LÄN</t>
        </is>
      </c>
      <c r="E2352" t="inlineStr">
        <is>
          <t>MARKARYD</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23980-2025</t>
        </is>
      </c>
      <c r="B2353" s="1" t="n">
        <v>45796.38944444444</v>
      </c>
      <c r="C2353" s="1" t="n">
        <v>46103</v>
      </c>
      <c r="D2353" t="inlineStr">
        <is>
          <t>KRONOBERGS LÄN</t>
        </is>
      </c>
      <c r="E2353" t="inlineStr">
        <is>
          <t>LJUNGBY</t>
        </is>
      </c>
      <c r="F2353" t="inlineStr">
        <is>
          <t>Sveaskog</t>
        </is>
      </c>
      <c r="G2353" t="n">
        <v>5.3</v>
      </c>
      <c r="H2353" t="n">
        <v>0</v>
      </c>
      <c r="I2353" t="n">
        <v>0</v>
      </c>
      <c r="J2353" t="n">
        <v>0</v>
      </c>
      <c r="K2353" t="n">
        <v>0</v>
      </c>
      <c r="L2353" t="n">
        <v>0</v>
      </c>
      <c r="M2353" t="n">
        <v>0</v>
      </c>
      <c r="N2353" t="n">
        <v>0</v>
      </c>
      <c r="O2353" t="n">
        <v>0</v>
      </c>
      <c r="P2353" t="n">
        <v>0</v>
      </c>
      <c r="Q2353" t="n">
        <v>0</v>
      </c>
      <c r="R2353" s="2" t="inlineStr"/>
    </row>
    <row r="2354" ht="15" customHeight="1">
      <c r="A2354" t="inlineStr">
        <is>
          <t>A 29419-2021</t>
        </is>
      </c>
      <c r="B2354" s="1" t="n">
        <v>44361.5662962963</v>
      </c>
      <c r="C2354" s="1" t="n">
        <v>46103</v>
      </c>
      <c r="D2354" t="inlineStr">
        <is>
          <t>KRONOBERGS LÄN</t>
        </is>
      </c>
      <c r="E2354" t="inlineStr">
        <is>
          <t>LJUNGBY</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44882-2025</t>
        </is>
      </c>
      <c r="B2355" s="1" t="n">
        <v>45918.48403935185</v>
      </c>
      <c r="C2355" s="1" t="n">
        <v>46103</v>
      </c>
      <c r="D2355" t="inlineStr">
        <is>
          <t>KRONOBERGS LÄN</t>
        </is>
      </c>
      <c r="E2355" t="inlineStr">
        <is>
          <t>VÄXJÖ</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64691-2023</t>
        </is>
      </c>
      <c r="B2356" s="1" t="n">
        <v>45281.63481481482</v>
      </c>
      <c r="C2356" s="1" t="n">
        <v>46103</v>
      </c>
      <c r="D2356" t="inlineStr">
        <is>
          <t>KRONOBERGS LÄN</t>
        </is>
      </c>
      <c r="E2356" t="inlineStr">
        <is>
          <t>LJUNGBY</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44904-2025</t>
        </is>
      </c>
      <c r="B2357" s="1" t="n">
        <v>45918.51385416667</v>
      </c>
      <c r="C2357" s="1" t="n">
        <v>46103</v>
      </c>
      <c r="D2357" t="inlineStr">
        <is>
          <t>KRONOBERGS LÄN</t>
        </is>
      </c>
      <c r="E2357" t="inlineStr">
        <is>
          <t>LESSEBO</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63910-2023</t>
        </is>
      </c>
      <c r="B2358" s="1" t="n">
        <v>45278.58283564815</v>
      </c>
      <c r="C2358" s="1" t="n">
        <v>46103</v>
      </c>
      <c r="D2358" t="inlineStr">
        <is>
          <t>KRONOBERGS LÄN</t>
        </is>
      </c>
      <c r="E2358" t="inlineStr">
        <is>
          <t>VÄXJÖ</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45118-2025</t>
        </is>
      </c>
      <c r="B2359" s="1" t="n">
        <v>45919.42663194444</v>
      </c>
      <c r="C2359" s="1" t="n">
        <v>46103</v>
      </c>
      <c r="D2359" t="inlineStr">
        <is>
          <t>KRONOBERGS LÄN</t>
        </is>
      </c>
      <c r="E2359" t="inlineStr">
        <is>
          <t>LJUNGBY</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48800-2022</t>
        </is>
      </c>
      <c r="B2360" s="1" t="n">
        <v>44859</v>
      </c>
      <c r="C2360" s="1" t="n">
        <v>46103</v>
      </c>
      <c r="D2360" t="inlineStr">
        <is>
          <t>KRONOBERGS LÄN</t>
        </is>
      </c>
      <c r="E2360" t="inlineStr">
        <is>
          <t>ÄLMHULT</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44899-2025</t>
        </is>
      </c>
      <c r="B2361" s="1" t="n">
        <v>45918.50550925926</v>
      </c>
      <c r="C2361" s="1" t="n">
        <v>46103</v>
      </c>
      <c r="D2361" t="inlineStr">
        <is>
          <t>KRONOBERGS LÄN</t>
        </is>
      </c>
      <c r="E2361" t="inlineStr">
        <is>
          <t>LESSEBO</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23861-2024</t>
        </is>
      </c>
      <c r="B2362" s="1" t="n">
        <v>45455.58665509259</v>
      </c>
      <c r="C2362" s="1" t="n">
        <v>46103</v>
      </c>
      <c r="D2362" t="inlineStr">
        <is>
          <t>KRONOBERGS LÄN</t>
        </is>
      </c>
      <c r="E2362" t="inlineStr">
        <is>
          <t>TINGSRYD</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65219-2023</t>
        </is>
      </c>
      <c r="B2363" s="1" t="n">
        <v>45289.51297453704</v>
      </c>
      <c r="C2363" s="1" t="n">
        <v>46103</v>
      </c>
      <c r="D2363" t="inlineStr">
        <is>
          <t>KRONOBERGS LÄN</t>
        </is>
      </c>
      <c r="E2363" t="inlineStr">
        <is>
          <t>ALVESTA</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24722-2025</t>
        </is>
      </c>
      <c r="B2364" s="1" t="n">
        <v>45799.30594907407</v>
      </c>
      <c r="C2364" s="1" t="n">
        <v>46103</v>
      </c>
      <c r="D2364" t="inlineStr">
        <is>
          <t>KRONOBERGS LÄN</t>
        </is>
      </c>
      <c r="E2364" t="inlineStr">
        <is>
          <t>ÄLMHULT</t>
        </is>
      </c>
      <c r="G2364" t="n">
        <v>3.8</v>
      </c>
      <c r="H2364" t="n">
        <v>0</v>
      </c>
      <c r="I2364" t="n">
        <v>0</v>
      </c>
      <c r="J2364" t="n">
        <v>0</v>
      </c>
      <c r="K2364" t="n">
        <v>0</v>
      </c>
      <c r="L2364" t="n">
        <v>0</v>
      </c>
      <c r="M2364" t="n">
        <v>0</v>
      </c>
      <c r="N2364" t="n">
        <v>0</v>
      </c>
      <c r="O2364" t="n">
        <v>0</v>
      </c>
      <c r="P2364" t="n">
        <v>0</v>
      </c>
      <c r="Q2364" t="n">
        <v>0</v>
      </c>
      <c r="R2364" s="2" t="inlineStr"/>
    </row>
    <row r="2365" ht="15" customHeight="1">
      <c r="A2365" t="inlineStr">
        <is>
          <t>A 45140-2025</t>
        </is>
      </c>
      <c r="B2365" s="1" t="n">
        <v>45919.45515046296</v>
      </c>
      <c r="C2365" s="1" t="n">
        <v>46103</v>
      </c>
      <c r="D2365" t="inlineStr">
        <is>
          <t>KRONOBERGS LÄN</t>
        </is>
      </c>
      <c r="E2365" t="inlineStr">
        <is>
          <t>TINGSRYD</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63226-2025</t>
        </is>
      </c>
      <c r="B2366" s="1" t="n">
        <v>46010.49761574074</v>
      </c>
      <c r="C2366" s="1" t="n">
        <v>46103</v>
      </c>
      <c r="D2366" t="inlineStr">
        <is>
          <t>KRONOBERGS LÄN</t>
        </is>
      </c>
      <c r="E2366" t="inlineStr">
        <is>
          <t>VÄXJÖ</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74006-2021</t>
        </is>
      </c>
      <c r="B2367" s="1" t="n">
        <v>44557</v>
      </c>
      <c r="C2367" s="1" t="n">
        <v>46103</v>
      </c>
      <c r="D2367" t="inlineStr">
        <is>
          <t>KRONOBERGS LÄN</t>
        </is>
      </c>
      <c r="E2367" t="inlineStr">
        <is>
          <t>MARKARYD</t>
        </is>
      </c>
      <c r="G2367" t="n">
        <v>7.1</v>
      </c>
      <c r="H2367" t="n">
        <v>0</v>
      </c>
      <c r="I2367" t="n">
        <v>0</v>
      </c>
      <c r="J2367" t="n">
        <v>0</v>
      </c>
      <c r="K2367" t="n">
        <v>0</v>
      </c>
      <c r="L2367" t="n">
        <v>0</v>
      </c>
      <c r="M2367" t="n">
        <v>0</v>
      </c>
      <c r="N2367" t="n">
        <v>0</v>
      </c>
      <c r="O2367" t="n">
        <v>0</v>
      </c>
      <c r="P2367" t="n">
        <v>0</v>
      </c>
      <c r="Q2367" t="n">
        <v>0</v>
      </c>
      <c r="R2367" s="2" t="inlineStr"/>
    </row>
    <row r="2368" ht="15" customHeight="1">
      <c r="A2368" t="inlineStr">
        <is>
          <t>A 63228-2025</t>
        </is>
      </c>
      <c r="B2368" s="1" t="n">
        <v>46010.49818287037</v>
      </c>
      <c r="C2368" s="1" t="n">
        <v>46103</v>
      </c>
      <c r="D2368" t="inlineStr">
        <is>
          <t>KRONOBERGS LÄN</t>
        </is>
      </c>
      <c r="E2368" t="inlineStr">
        <is>
          <t>VÄXJÖ</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10414-2025</t>
        </is>
      </c>
      <c r="B2369" s="1" t="n">
        <v>45720.63288194445</v>
      </c>
      <c r="C2369" s="1" t="n">
        <v>46103</v>
      </c>
      <c r="D2369" t="inlineStr">
        <is>
          <t>KRONOBERGS LÄN</t>
        </is>
      </c>
      <c r="E2369" t="inlineStr">
        <is>
          <t>LESSEBO</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24577-2025</t>
        </is>
      </c>
      <c r="B2370" s="1" t="n">
        <v>45798.48481481482</v>
      </c>
      <c r="C2370" s="1" t="n">
        <v>46103</v>
      </c>
      <c r="D2370" t="inlineStr">
        <is>
          <t>KRONOBERGS LÄN</t>
        </is>
      </c>
      <c r="E2370" t="inlineStr">
        <is>
          <t>MARKARYD</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63792-2023</t>
        </is>
      </c>
      <c r="B2371" s="1" t="n">
        <v>45278.39707175926</v>
      </c>
      <c r="C2371" s="1" t="n">
        <v>46103</v>
      </c>
      <c r="D2371" t="inlineStr">
        <is>
          <t>KRONOBERGS LÄN</t>
        </is>
      </c>
      <c r="E2371" t="inlineStr">
        <is>
          <t>UPPVIDINGE</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63240-2025</t>
        </is>
      </c>
      <c r="B2372" s="1" t="n">
        <v>46010.52921296296</v>
      </c>
      <c r="C2372" s="1" t="n">
        <v>46103</v>
      </c>
      <c r="D2372" t="inlineStr">
        <is>
          <t>KRONOBERGS LÄN</t>
        </is>
      </c>
      <c r="E2372" t="inlineStr">
        <is>
          <t>VÄXJÖ</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27334-2025</t>
        </is>
      </c>
      <c r="B2373" s="1" t="n">
        <v>45812</v>
      </c>
      <c r="C2373" s="1" t="n">
        <v>46103</v>
      </c>
      <c r="D2373" t="inlineStr">
        <is>
          <t>KRONOBERGS LÄN</t>
        </is>
      </c>
      <c r="E2373" t="inlineStr">
        <is>
          <t>ÄLMHULT</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4028-2024</t>
        </is>
      </c>
      <c r="B2374" s="1" t="n">
        <v>45323.40289351852</v>
      </c>
      <c r="C2374" s="1" t="n">
        <v>46103</v>
      </c>
      <c r="D2374" t="inlineStr">
        <is>
          <t>KRONOBERGS LÄN</t>
        </is>
      </c>
      <c r="E2374" t="inlineStr">
        <is>
          <t>MARKARYD</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4077-2024</t>
        </is>
      </c>
      <c r="B2375" s="1" t="n">
        <v>45323.60738425926</v>
      </c>
      <c r="C2375" s="1" t="n">
        <v>46103</v>
      </c>
      <c r="D2375" t="inlineStr">
        <is>
          <t>KRONOBERGS LÄN</t>
        </is>
      </c>
      <c r="E2375" t="inlineStr">
        <is>
          <t>TINGSRYD</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63722-2025</t>
        </is>
      </c>
      <c r="B2376" s="1" t="n">
        <v>46010</v>
      </c>
      <c r="C2376" s="1" t="n">
        <v>46103</v>
      </c>
      <c r="D2376" t="inlineStr">
        <is>
          <t>KRONOBERGS LÄN</t>
        </is>
      </c>
      <c r="E2376" t="inlineStr">
        <is>
          <t>UPPVIDINGE</t>
        </is>
      </c>
      <c r="F2376" t="inlineStr">
        <is>
          <t>Kyrkan</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11219-2025</t>
        </is>
      </c>
      <c r="B2377" s="1" t="n">
        <v>45726</v>
      </c>
      <c r="C2377" s="1" t="n">
        <v>46103</v>
      </c>
      <c r="D2377" t="inlineStr">
        <is>
          <t>KRONOBERGS LÄN</t>
        </is>
      </c>
      <c r="E2377" t="inlineStr">
        <is>
          <t>TINGSRYD</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24685-2025</t>
        </is>
      </c>
      <c r="B2378" s="1" t="n">
        <v>45798.66282407408</v>
      </c>
      <c r="C2378" s="1" t="n">
        <v>46103</v>
      </c>
      <c r="D2378" t="inlineStr">
        <is>
          <t>KRONOBERGS LÄN</t>
        </is>
      </c>
      <c r="E2378" t="inlineStr">
        <is>
          <t>TINGSRYD</t>
        </is>
      </c>
      <c r="G2378" t="n">
        <v>9.199999999999999</v>
      </c>
      <c r="H2378" t="n">
        <v>0</v>
      </c>
      <c r="I2378" t="n">
        <v>0</v>
      </c>
      <c r="J2378" t="n">
        <v>0</v>
      </c>
      <c r="K2378" t="n">
        <v>0</v>
      </c>
      <c r="L2378" t="n">
        <v>0</v>
      </c>
      <c r="M2378" t="n">
        <v>0</v>
      </c>
      <c r="N2378" t="n">
        <v>0</v>
      </c>
      <c r="O2378" t="n">
        <v>0</v>
      </c>
      <c r="P2378" t="n">
        <v>0</v>
      </c>
      <c r="Q2378" t="n">
        <v>0</v>
      </c>
      <c r="R2378" s="2" t="inlineStr"/>
    </row>
    <row r="2379" ht="15" customHeight="1">
      <c r="A2379" t="inlineStr">
        <is>
          <t>A 63355-2025</t>
        </is>
      </c>
      <c r="B2379" s="1" t="n">
        <v>46010.67133101852</v>
      </c>
      <c r="C2379" s="1" t="n">
        <v>46103</v>
      </c>
      <c r="D2379" t="inlineStr">
        <is>
          <t>KRONOBERGS LÄN</t>
        </is>
      </c>
      <c r="E2379" t="inlineStr">
        <is>
          <t>VÄXJÖ</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43051-2023</t>
        </is>
      </c>
      <c r="B2380" s="1" t="n">
        <v>45182.69945601852</v>
      </c>
      <c r="C2380" s="1" t="n">
        <v>46103</v>
      </c>
      <c r="D2380" t="inlineStr">
        <is>
          <t>KRONOBERGS LÄN</t>
        </is>
      </c>
      <c r="E2380" t="inlineStr">
        <is>
          <t>ALVESTA</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8019-2024</t>
        </is>
      </c>
      <c r="B2381" s="1" t="n">
        <v>45350.91678240741</v>
      </c>
      <c r="C2381" s="1" t="n">
        <v>46103</v>
      </c>
      <c r="D2381" t="inlineStr">
        <is>
          <t>KRONOBERGS LÄN</t>
        </is>
      </c>
      <c r="E2381" t="inlineStr">
        <is>
          <t>LJUNGBY</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8020-2024</t>
        </is>
      </c>
      <c r="B2382" s="1" t="n">
        <v>45350.91932870371</v>
      </c>
      <c r="C2382" s="1" t="n">
        <v>46103</v>
      </c>
      <c r="D2382" t="inlineStr">
        <is>
          <t>KRONOBERGS LÄN</t>
        </is>
      </c>
      <c r="E2382" t="inlineStr">
        <is>
          <t>LJUNGBY</t>
        </is>
      </c>
      <c r="G2382" t="n">
        <v>0</v>
      </c>
      <c r="H2382" t="n">
        <v>0</v>
      </c>
      <c r="I2382" t="n">
        <v>0</v>
      </c>
      <c r="J2382" t="n">
        <v>0</v>
      </c>
      <c r="K2382" t="n">
        <v>0</v>
      </c>
      <c r="L2382" t="n">
        <v>0</v>
      </c>
      <c r="M2382" t="n">
        <v>0</v>
      </c>
      <c r="N2382" t="n">
        <v>0</v>
      </c>
      <c r="O2382" t="n">
        <v>0</v>
      </c>
      <c r="P2382" t="n">
        <v>0</v>
      </c>
      <c r="Q2382" t="n">
        <v>0</v>
      </c>
      <c r="R2382" s="2" t="inlineStr"/>
    </row>
    <row r="2383" ht="15" customHeight="1">
      <c r="A2383" t="inlineStr">
        <is>
          <t>A 63521-2025</t>
        </is>
      </c>
      <c r="B2383" s="1" t="n">
        <v>46013.52415509259</v>
      </c>
      <c r="C2383" s="1" t="n">
        <v>46103</v>
      </c>
      <c r="D2383" t="inlineStr">
        <is>
          <t>KRONOBERGS LÄN</t>
        </is>
      </c>
      <c r="E2383" t="inlineStr">
        <is>
          <t>UPPVIDINGE</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45022-2025</t>
        </is>
      </c>
      <c r="B2384" s="1" t="n">
        <v>45918</v>
      </c>
      <c r="C2384" s="1" t="n">
        <v>46103</v>
      </c>
      <c r="D2384" t="inlineStr">
        <is>
          <t>KRONOBERGS LÄN</t>
        </is>
      </c>
      <c r="E2384" t="inlineStr">
        <is>
          <t>VÄXJÖ</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63413-2025</t>
        </is>
      </c>
      <c r="B2385" s="1" t="n">
        <v>46013.31658564815</v>
      </c>
      <c r="C2385" s="1" t="n">
        <v>46103</v>
      </c>
      <c r="D2385" t="inlineStr">
        <is>
          <t>KRONOBERGS LÄN</t>
        </is>
      </c>
      <c r="E2385" t="inlineStr">
        <is>
          <t>ALVESTA</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25615-2024</t>
        </is>
      </c>
      <c r="B2386" s="1" t="n">
        <v>45463.63934027778</v>
      </c>
      <c r="C2386" s="1" t="n">
        <v>46103</v>
      </c>
      <c r="D2386" t="inlineStr">
        <is>
          <t>KRONOBERGS LÄN</t>
        </is>
      </c>
      <c r="E2386" t="inlineStr">
        <is>
          <t>ALVESTA</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63419-2025</t>
        </is>
      </c>
      <c r="B2387" s="1" t="n">
        <v>46013.3402662037</v>
      </c>
      <c r="C2387" s="1" t="n">
        <v>46103</v>
      </c>
      <c r="D2387" t="inlineStr">
        <is>
          <t>KRONOBERGS LÄN</t>
        </is>
      </c>
      <c r="E2387" t="inlineStr">
        <is>
          <t>ÄLMHULT</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37895-2025</t>
        </is>
      </c>
      <c r="B2388" s="1" t="n">
        <v>45881.55119212963</v>
      </c>
      <c r="C2388" s="1" t="n">
        <v>46103</v>
      </c>
      <c r="D2388" t="inlineStr">
        <is>
          <t>KRONOBERGS LÄN</t>
        </is>
      </c>
      <c r="E2388" t="inlineStr">
        <is>
          <t>UPPVIDINGE</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44776-2025</t>
        </is>
      </c>
      <c r="B2389" s="1" t="n">
        <v>45917.84770833333</v>
      </c>
      <c r="C2389" s="1" t="n">
        <v>46103</v>
      </c>
      <c r="D2389" t="inlineStr">
        <is>
          <t>KRONOBERGS LÄN</t>
        </is>
      </c>
      <c r="E2389" t="inlineStr">
        <is>
          <t>TINGSRYD</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63227-2025</t>
        </is>
      </c>
      <c r="B2390" s="1" t="n">
        <v>46010.49791666667</v>
      </c>
      <c r="C2390" s="1" t="n">
        <v>46103</v>
      </c>
      <c r="D2390" t="inlineStr">
        <is>
          <t>KRONOBERGS LÄN</t>
        </is>
      </c>
      <c r="E2390" t="inlineStr">
        <is>
          <t>VÄXJÖ</t>
        </is>
      </c>
      <c r="G2390" t="n">
        <v>4</v>
      </c>
      <c r="H2390" t="n">
        <v>0</v>
      </c>
      <c r="I2390" t="n">
        <v>0</v>
      </c>
      <c r="J2390" t="n">
        <v>0</v>
      </c>
      <c r="K2390" t="n">
        <v>0</v>
      </c>
      <c r="L2390" t="n">
        <v>0</v>
      </c>
      <c r="M2390" t="n">
        <v>0</v>
      </c>
      <c r="N2390" t="n">
        <v>0</v>
      </c>
      <c r="O2390" t="n">
        <v>0</v>
      </c>
      <c r="P2390" t="n">
        <v>0</v>
      </c>
      <c r="Q2390" t="n">
        <v>0</v>
      </c>
      <c r="R2390" s="2" t="inlineStr"/>
    </row>
    <row r="2391" ht="15" customHeight="1">
      <c r="A2391" t="inlineStr">
        <is>
          <t>A 63392-2025</t>
        </is>
      </c>
      <c r="B2391" s="1" t="n">
        <v>46011.81157407408</v>
      </c>
      <c r="C2391" s="1" t="n">
        <v>46103</v>
      </c>
      <c r="D2391" t="inlineStr">
        <is>
          <t>KRONOBERGS LÄN</t>
        </is>
      </c>
      <c r="E2391" t="inlineStr">
        <is>
          <t>LJUNGBY</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63509-2025</t>
        </is>
      </c>
      <c r="B2392" s="1" t="n">
        <v>46013.49148148148</v>
      </c>
      <c r="C2392" s="1" t="n">
        <v>46103</v>
      </c>
      <c r="D2392" t="inlineStr">
        <is>
          <t>KRONOBERGS LÄN</t>
        </is>
      </c>
      <c r="E2392" t="inlineStr">
        <is>
          <t>LJUNGBY</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38624-2024</t>
        </is>
      </c>
      <c r="B2393" s="1" t="n">
        <v>45546</v>
      </c>
      <c r="C2393" s="1" t="n">
        <v>46103</v>
      </c>
      <c r="D2393" t="inlineStr">
        <is>
          <t>KRONOBERGS LÄN</t>
        </is>
      </c>
      <c r="E2393" t="inlineStr">
        <is>
          <t>MARKARYD</t>
        </is>
      </c>
      <c r="F2393" t="inlineStr">
        <is>
          <t>Kyrkan</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63520-2025</t>
        </is>
      </c>
      <c r="B2394" s="1" t="n">
        <v>46013.51875</v>
      </c>
      <c r="C2394" s="1" t="n">
        <v>46103</v>
      </c>
      <c r="D2394" t="inlineStr">
        <is>
          <t>KRONOBERGS LÄN</t>
        </is>
      </c>
      <c r="E2394" t="inlineStr">
        <is>
          <t>UPPVIDINGE</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45014-2025</t>
        </is>
      </c>
      <c r="B2395" s="1" t="n">
        <v>45918</v>
      </c>
      <c r="C2395" s="1" t="n">
        <v>46103</v>
      </c>
      <c r="D2395" t="inlineStr">
        <is>
          <t>KRONOBERGS LÄN</t>
        </is>
      </c>
      <c r="E2395" t="inlineStr">
        <is>
          <t>VÄXJÖ</t>
        </is>
      </c>
      <c r="G2395" t="n">
        <v>8.1</v>
      </c>
      <c r="H2395" t="n">
        <v>0</v>
      </c>
      <c r="I2395" t="n">
        <v>0</v>
      </c>
      <c r="J2395" t="n">
        <v>0</v>
      </c>
      <c r="K2395" t="n">
        <v>0</v>
      </c>
      <c r="L2395" t="n">
        <v>0</v>
      </c>
      <c r="M2395" t="n">
        <v>0</v>
      </c>
      <c r="N2395" t="n">
        <v>0</v>
      </c>
      <c r="O2395" t="n">
        <v>0</v>
      </c>
      <c r="P2395" t="n">
        <v>0</v>
      </c>
      <c r="Q2395" t="n">
        <v>0</v>
      </c>
      <c r="R2395" s="2" t="inlineStr"/>
    </row>
    <row r="2396" ht="15" customHeight="1">
      <c r="A2396" t="inlineStr">
        <is>
          <t>A 45016-2025</t>
        </is>
      </c>
      <c r="B2396" s="1" t="n">
        <v>45918</v>
      </c>
      <c r="C2396" s="1" t="n">
        <v>46103</v>
      </c>
      <c r="D2396" t="inlineStr">
        <is>
          <t>KRONOBERGS LÄN</t>
        </is>
      </c>
      <c r="E2396" t="inlineStr">
        <is>
          <t>VÄXJÖ</t>
        </is>
      </c>
      <c r="G2396" t="n">
        <v>5.5</v>
      </c>
      <c r="H2396" t="n">
        <v>0</v>
      </c>
      <c r="I2396" t="n">
        <v>0</v>
      </c>
      <c r="J2396" t="n">
        <v>0</v>
      </c>
      <c r="K2396" t="n">
        <v>0</v>
      </c>
      <c r="L2396" t="n">
        <v>0</v>
      </c>
      <c r="M2396" t="n">
        <v>0</v>
      </c>
      <c r="N2396" t="n">
        <v>0</v>
      </c>
      <c r="O2396" t="n">
        <v>0</v>
      </c>
      <c r="P2396" t="n">
        <v>0</v>
      </c>
      <c r="Q2396" t="n">
        <v>0</v>
      </c>
      <c r="R2396" s="2" t="inlineStr"/>
    </row>
    <row r="2397" ht="15" customHeight="1">
      <c r="A2397" t="inlineStr">
        <is>
          <t>A 45020-2025</t>
        </is>
      </c>
      <c r="B2397" s="1" t="n">
        <v>45918</v>
      </c>
      <c r="C2397" s="1" t="n">
        <v>46103</v>
      </c>
      <c r="D2397" t="inlineStr">
        <is>
          <t>KRONOBERGS LÄN</t>
        </is>
      </c>
      <c r="E2397" t="inlineStr">
        <is>
          <t>VÄXJÖ</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45024-2025</t>
        </is>
      </c>
      <c r="B2398" s="1" t="n">
        <v>45918</v>
      </c>
      <c r="C2398" s="1" t="n">
        <v>46103</v>
      </c>
      <c r="D2398" t="inlineStr">
        <is>
          <t>KRONOBERGS LÄN</t>
        </is>
      </c>
      <c r="E2398" t="inlineStr">
        <is>
          <t>VÄXJÖ</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38638-2024</t>
        </is>
      </c>
      <c r="B2399" s="1" t="n">
        <v>45546.84695601852</v>
      </c>
      <c r="C2399" s="1" t="n">
        <v>46103</v>
      </c>
      <c r="D2399" t="inlineStr">
        <is>
          <t>KRONOBERGS LÄN</t>
        </is>
      </c>
      <c r="E2399" t="inlineStr">
        <is>
          <t>LJUNGBY</t>
        </is>
      </c>
      <c r="F2399" t="inlineStr">
        <is>
          <t>Sveaskog</t>
        </is>
      </c>
      <c r="G2399" t="n">
        <v>4.7</v>
      </c>
      <c r="H2399" t="n">
        <v>0</v>
      </c>
      <c r="I2399" t="n">
        <v>0</v>
      </c>
      <c r="J2399" t="n">
        <v>0</v>
      </c>
      <c r="K2399" t="n">
        <v>0</v>
      </c>
      <c r="L2399" t="n">
        <v>0</v>
      </c>
      <c r="M2399" t="n">
        <v>0</v>
      </c>
      <c r="N2399" t="n">
        <v>0</v>
      </c>
      <c r="O2399" t="n">
        <v>0</v>
      </c>
      <c r="P2399" t="n">
        <v>0</v>
      </c>
      <c r="Q2399" t="n">
        <v>0</v>
      </c>
      <c r="R2399" s="2" t="inlineStr"/>
    </row>
    <row r="2400" ht="15" customHeight="1">
      <c r="A2400" t="inlineStr">
        <is>
          <t>A 45240-2025</t>
        </is>
      </c>
      <c r="B2400" s="1" t="n">
        <v>45919.59701388889</v>
      </c>
      <c r="C2400" s="1" t="n">
        <v>46103</v>
      </c>
      <c r="D2400" t="inlineStr">
        <is>
          <t>KRONOBERGS LÄN</t>
        </is>
      </c>
      <c r="E2400" t="inlineStr">
        <is>
          <t>TINGSRYD</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3589-2023</t>
        </is>
      </c>
      <c r="B2401" s="1" t="n">
        <v>44950.55974537037</v>
      </c>
      <c r="C2401" s="1" t="n">
        <v>46103</v>
      </c>
      <c r="D2401" t="inlineStr">
        <is>
          <t>KRONOBERGS LÄN</t>
        </is>
      </c>
      <c r="E2401" t="inlineStr">
        <is>
          <t>TINGSRYD</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45021-2025</t>
        </is>
      </c>
      <c r="B2402" s="1" t="n">
        <v>45918</v>
      </c>
      <c r="C2402" s="1" t="n">
        <v>46103</v>
      </c>
      <c r="D2402" t="inlineStr">
        <is>
          <t>KRONOBERGS LÄN</t>
        </is>
      </c>
      <c r="E2402" t="inlineStr">
        <is>
          <t>VÄXJÖ</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7501-2024</t>
        </is>
      </c>
      <c r="B2403" s="1" t="n">
        <v>45347</v>
      </c>
      <c r="C2403" s="1" t="n">
        <v>46103</v>
      </c>
      <c r="D2403" t="inlineStr">
        <is>
          <t>KRONOBERGS LÄN</t>
        </is>
      </c>
      <c r="E2403" t="inlineStr">
        <is>
          <t>MARKARYD</t>
        </is>
      </c>
      <c r="G2403" t="n">
        <v>15.1</v>
      </c>
      <c r="H2403" t="n">
        <v>0</v>
      </c>
      <c r="I2403" t="n">
        <v>0</v>
      </c>
      <c r="J2403" t="n">
        <v>0</v>
      </c>
      <c r="K2403" t="n">
        <v>0</v>
      </c>
      <c r="L2403" t="n">
        <v>0</v>
      </c>
      <c r="M2403" t="n">
        <v>0</v>
      </c>
      <c r="N2403" t="n">
        <v>0</v>
      </c>
      <c r="O2403" t="n">
        <v>0</v>
      </c>
      <c r="P2403" t="n">
        <v>0</v>
      </c>
      <c r="Q2403" t="n">
        <v>0</v>
      </c>
      <c r="R2403" s="2" t="inlineStr"/>
    </row>
    <row r="2404" ht="15" customHeight="1">
      <c r="A2404" t="inlineStr">
        <is>
          <t>A 7516-2024</t>
        </is>
      </c>
      <c r="B2404" s="1" t="n">
        <v>45348.33475694444</v>
      </c>
      <c r="C2404" s="1" t="n">
        <v>46103</v>
      </c>
      <c r="D2404" t="inlineStr">
        <is>
          <t>KRONOBERGS LÄN</t>
        </is>
      </c>
      <c r="E2404" t="inlineStr">
        <is>
          <t>UPPVIDINGE</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63468-2025</t>
        </is>
      </c>
      <c r="B2405" s="1" t="n">
        <v>46013.43255787037</v>
      </c>
      <c r="C2405" s="1" t="n">
        <v>46103</v>
      </c>
      <c r="D2405" t="inlineStr">
        <is>
          <t>KRONOBERGS LÄN</t>
        </is>
      </c>
      <c r="E2405" t="inlineStr">
        <is>
          <t>MARKARYD</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30436-2023</t>
        </is>
      </c>
      <c r="B2406" s="1" t="n">
        <v>45111</v>
      </c>
      <c r="C2406" s="1" t="n">
        <v>46103</v>
      </c>
      <c r="D2406" t="inlineStr">
        <is>
          <t>KRONOBERGS LÄN</t>
        </is>
      </c>
      <c r="E2406" t="inlineStr">
        <is>
          <t>VÄXJÖ</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63938-2025</t>
        </is>
      </c>
      <c r="B2407" s="1" t="n">
        <v>46010</v>
      </c>
      <c r="C2407" s="1" t="n">
        <v>46103</v>
      </c>
      <c r="D2407" t="inlineStr">
        <is>
          <t>KRONOBERGS LÄN</t>
        </is>
      </c>
      <c r="E2407" t="inlineStr">
        <is>
          <t>TINGSRYD</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40584-2025</t>
        </is>
      </c>
      <c r="B2408" s="1" t="n">
        <v>45896.5199537037</v>
      </c>
      <c r="C2408" s="1" t="n">
        <v>46103</v>
      </c>
      <c r="D2408" t="inlineStr">
        <is>
          <t>KRONOBERGS LÄN</t>
        </is>
      </c>
      <c r="E2408" t="inlineStr">
        <is>
          <t>TINGSRYD</t>
        </is>
      </c>
      <c r="G2408" t="n">
        <v>6.8</v>
      </c>
      <c r="H2408" t="n">
        <v>0</v>
      </c>
      <c r="I2408" t="n">
        <v>0</v>
      </c>
      <c r="J2408" t="n">
        <v>0</v>
      </c>
      <c r="K2408" t="n">
        <v>0</v>
      </c>
      <c r="L2408" t="n">
        <v>0</v>
      </c>
      <c r="M2408" t="n">
        <v>0</v>
      </c>
      <c r="N2408" t="n">
        <v>0</v>
      </c>
      <c r="O2408" t="n">
        <v>0</v>
      </c>
      <c r="P2408" t="n">
        <v>0</v>
      </c>
      <c r="Q2408" t="n">
        <v>0</v>
      </c>
      <c r="R2408" s="2" t="inlineStr"/>
    </row>
    <row r="2409" ht="15" customHeight="1">
      <c r="A2409" t="inlineStr">
        <is>
          <t>A 47232-2023</t>
        </is>
      </c>
      <c r="B2409" s="1" t="n">
        <v>45202.38372685185</v>
      </c>
      <c r="C2409" s="1" t="n">
        <v>46103</v>
      </c>
      <c r="D2409" t="inlineStr">
        <is>
          <t>KRONOBERGS LÄN</t>
        </is>
      </c>
      <c r="E2409" t="inlineStr">
        <is>
          <t>LJUNGBY</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19481-2021</t>
        </is>
      </c>
      <c r="B2410" s="1" t="n">
        <v>44312.30976851852</v>
      </c>
      <c r="C2410" s="1" t="n">
        <v>46103</v>
      </c>
      <c r="D2410" t="inlineStr">
        <is>
          <t>KRONOBERGS LÄN</t>
        </is>
      </c>
      <c r="E2410" t="inlineStr">
        <is>
          <t>TINGSRYD</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3869-2025</t>
        </is>
      </c>
      <c r="B2411" s="1" t="n">
        <v>45684.32357638889</v>
      </c>
      <c r="C2411" s="1" t="n">
        <v>46103</v>
      </c>
      <c r="D2411" t="inlineStr">
        <is>
          <t>KRONOBERGS LÄN</t>
        </is>
      </c>
      <c r="E2411" t="inlineStr">
        <is>
          <t>ÄLMHULT</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63466-2025</t>
        </is>
      </c>
      <c r="B2412" s="1" t="n">
        <v>46013.43053240741</v>
      </c>
      <c r="C2412" s="1" t="n">
        <v>46103</v>
      </c>
      <c r="D2412" t="inlineStr">
        <is>
          <t>KRONOBERGS LÄN</t>
        </is>
      </c>
      <c r="E2412" t="inlineStr">
        <is>
          <t>MARKARYD</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45507-2025</t>
        </is>
      </c>
      <c r="B2413" s="1" t="n">
        <v>45922.575625</v>
      </c>
      <c r="C2413" s="1" t="n">
        <v>46103</v>
      </c>
      <c r="D2413" t="inlineStr">
        <is>
          <t>KRONOBERGS LÄN</t>
        </is>
      </c>
      <c r="E2413" t="inlineStr">
        <is>
          <t>LJUNGBY</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40642-2022</t>
        </is>
      </c>
      <c r="B2414" s="1" t="n">
        <v>44824.31822916667</v>
      </c>
      <c r="C2414" s="1" t="n">
        <v>46103</v>
      </c>
      <c r="D2414" t="inlineStr">
        <is>
          <t>KRONOBERGS LÄN</t>
        </is>
      </c>
      <c r="E2414" t="inlineStr">
        <is>
          <t>VÄXJÖ</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63462-2025</t>
        </is>
      </c>
      <c r="B2415" s="1" t="n">
        <v>46013.42674768518</v>
      </c>
      <c r="C2415" s="1" t="n">
        <v>46103</v>
      </c>
      <c r="D2415" t="inlineStr">
        <is>
          <t>KRONOBERGS LÄN</t>
        </is>
      </c>
      <c r="E2415" t="inlineStr">
        <is>
          <t>MARKARYD</t>
        </is>
      </c>
      <c r="G2415" t="n">
        <v>5.3</v>
      </c>
      <c r="H2415" t="n">
        <v>0</v>
      </c>
      <c r="I2415" t="n">
        <v>0</v>
      </c>
      <c r="J2415" t="n">
        <v>0</v>
      </c>
      <c r="K2415" t="n">
        <v>0</v>
      </c>
      <c r="L2415" t="n">
        <v>0</v>
      </c>
      <c r="M2415" t="n">
        <v>0</v>
      </c>
      <c r="N2415" t="n">
        <v>0</v>
      </c>
      <c r="O2415" t="n">
        <v>0</v>
      </c>
      <c r="P2415" t="n">
        <v>0</v>
      </c>
      <c r="Q2415" t="n">
        <v>0</v>
      </c>
      <c r="R2415" s="2" t="inlineStr"/>
    </row>
    <row r="2416" ht="15" customHeight="1">
      <c r="A2416" t="inlineStr">
        <is>
          <t>A 45733-2025</t>
        </is>
      </c>
      <c r="B2416" s="1" t="n">
        <v>45923.46449074074</v>
      </c>
      <c r="C2416" s="1" t="n">
        <v>46103</v>
      </c>
      <c r="D2416" t="inlineStr">
        <is>
          <t>KRONOBERGS LÄN</t>
        </is>
      </c>
      <c r="E2416" t="inlineStr">
        <is>
          <t>ÄLMHULT</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45511-2025</t>
        </is>
      </c>
      <c r="B2417" s="1" t="n">
        <v>45922.58009259259</v>
      </c>
      <c r="C2417" s="1" t="n">
        <v>46103</v>
      </c>
      <c r="D2417" t="inlineStr">
        <is>
          <t>KRONOBERGS LÄN</t>
        </is>
      </c>
      <c r="E2417" t="inlineStr">
        <is>
          <t>LJUNGBY</t>
        </is>
      </c>
      <c r="G2417" t="n">
        <v>4.2</v>
      </c>
      <c r="H2417" t="n">
        <v>0</v>
      </c>
      <c r="I2417" t="n">
        <v>0</v>
      </c>
      <c r="J2417" t="n">
        <v>0</v>
      </c>
      <c r="K2417" t="n">
        <v>0</v>
      </c>
      <c r="L2417" t="n">
        <v>0</v>
      </c>
      <c r="M2417" t="n">
        <v>0</v>
      </c>
      <c r="N2417" t="n">
        <v>0</v>
      </c>
      <c r="O2417" t="n">
        <v>0</v>
      </c>
      <c r="P2417" t="n">
        <v>0</v>
      </c>
      <c r="Q2417" t="n">
        <v>0</v>
      </c>
      <c r="R2417" s="2" t="inlineStr"/>
    </row>
    <row r="2418" ht="15" customHeight="1">
      <c r="A2418" t="inlineStr">
        <is>
          <t>A 33122-2023</t>
        </is>
      </c>
      <c r="B2418" s="1" t="n">
        <v>45126</v>
      </c>
      <c r="C2418" s="1" t="n">
        <v>46103</v>
      </c>
      <c r="D2418" t="inlineStr">
        <is>
          <t>KRONOBERGS LÄN</t>
        </is>
      </c>
      <c r="E2418" t="inlineStr">
        <is>
          <t>LJUNGBY</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63230-2025</t>
        </is>
      </c>
      <c r="B2419" s="1" t="n">
        <v>46010.50359953703</v>
      </c>
      <c r="C2419" s="1" t="n">
        <v>46103</v>
      </c>
      <c r="D2419" t="inlineStr">
        <is>
          <t>KRONOBERGS LÄN</t>
        </is>
      </c>
      <c r="E2419" t="inlineStr">
        <is>
          <t>VÄXJÖ</t>
        </is>
      </c>
      <c r="G2419" t="n">
        <v>6.1</v>
      </c>
      <c r="H2419" t="n">
        <v>0</v>
      </c>
      <c r="I2419" t="n">
        <v>0</v>
      </c>
      <c r="J2419" t="n">
        <v>0</v>
      </c>
      <c r="K2419" t="n">
        <v>0</v>
      </c>
      <c r="L2419" t="n">
        <v>0</v>
      </c>
      <c r="M2419" t="n">
        <v>0</v>
      </c>
      <c r="N2419" t="n">
        <v>0</v>
      </c>
      <c r="O2419" t="n">
        <v>0</v>
      </c>
      <c r="P2419" t="n">
        <v>0</v>
      </c>
      <c r="Q2419" t="n">
        <v>0</v>
      </c>
      <c r="R2419" s="2" t="inlineStr"/>
    </row>
    <row r="2420" ht="15" customHeight="1">
      <c r="A2420" t="inlineStr">
        <is>
          <t>A 63458-2025</t>
        </is>
      </c>
      <c r="B2420" s="1" t="n">
        <v>46013.42341435186</v>
      </c>
      <c r="C2420" s="1" t="n">
        <v>46103</v>
      </c>
      <c r="D2420" t="inlineStr">
        <is>
          <t>KRONOBERGS LÄN</t>
        </is>
      </c>
      <c r="E2420" t="inlineStr">
        <is>
          <t>ÄLMHULT</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27718-2024</t>
        </is>
      </c>
      <c r="B2421" s="1" t="n">
        <v>45475.38958333333</v>
      </c>
      <c r="C2421" s="1" t="n">
        <v>46103</v>
      </c>
      <c r="D2421" t="inlineStr">
        <is>
          <t>KRONOBERGS LÄN</t>
        </is>
      </c>
      <c r="E2421" t="inlineStr">
        <is>
          <t>TINGSRYD</t>
        </is>
      </c>
      <c r="G2421" t="n">
        <v>6.5</v>
      </c>
      <c r="H2421" t="n">
        <v>0</v>
      </c>
      <c r="I2421" t="n">
        <v>0</v>
      </c>
      <c r="J2421" t="n">
        <v>0</v>
      </c>
      <c r="K2421" t="n">
        <v>0</v>
      </c>
      <c r="L2421" t="n">
        <v>0</v>
      </c>
      <c r="M2421" t="n">
        <v>0</v>
      </c>
      <c r="N2421" t="n">
        <v>0</v>
      </c>
      <c r="O2421" t="n">
        <v>0</v>
      </c>
      <c r="P2421" t="n">
        <v>0</v>
      </c>
      <c r="Q2421" t="n">
        <v>0</v>
      </c>
      <c r="R2421" s="2" t="inlineStr"/>
    </row>
    <row r="2422" ht="15" customHeight="1">
      <c r="A2422" t="inlineStr">
        <is>
          <t>A 5500-2025</t>
        </is>
      </c>
      <c r="B2422" s="1" t="n">
        <v>45692</v>
      </c>
      <c r="C2422" s="1" t="n">
        <v>46103</v>
      </c>
      <c r="D2422" t="inlineStr">
        <is>
          <t>KRONOBERGS LÄN</t>
        </is>
      </c>
      <c r="E2422" t="inlineStr">
        <is>
          <t>UPPVIDINGE</t>
        </is>
      </c>
      <c r="F2422" t="inlineStr">
        <is>
          <t>Kyrkan</t>
        </is>
      </c>
      <c r="G2422" t="n">
        <v>9.4</v>
      </c>
      <c r="H2422" t="n">
        <v>0</v>
      </c>
      <c r="I2422" t="n">
        <v>0</v>
      </c>
      <c r="J2422" t="n">
        <v>0</v>
      </c>
      <c r="K2422" t="n">
        <v>0</v>
      </c>
      <c r="L2422" t="n">
        <v>0</v>
      </c>
      <c r="M2422" t="n">
        <v>0</v>
      </c>
      <c r="N2422" t="n">
        <v>0</v>
      </c>
      <c r="O2422" t="n">
        <v>0</v>
      </c>
      <c r="P2422" t="n">
        <v>0</v>
      </c>
      <c r="Q2422" t="n">
        <v>0</v>
      </c>
      <c r="R2422" s="2" t="inlineStr"/>
    </row>
    <row r="2423" ht="15" customHeight="1">
      <c r="A2423" t="inlineStr">
        <is>
          <t>A 3258-2025</t>
        </is>
      </c>
      <c r="B2423" s="1" t="n">
        <v>45679</v>
      </c>
      <c r="C2423" s="1" t="n">
        <v>46103</v>
      </c>
      <c r="D2423" t="inlineStr">
        <is>
          <t>KRONOBERGS LÄN</t>
        </is>
      </c>
      <c r="E2423" t="inlineStr">
        <is>
          <t>ÄLMHULT</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13896-2024</t>
        </is>
      </c>
      <c r="B2424" s="1" t="n">
        <v>45391.63950231481</v>
      </c>
      <c r="C2424" s="1" t="n">
        <v>46103</v>
      </c>
      <c r="D2424" t="inlineStr">
        <is>
          <t>KRONOBERGS LÄN</t>
        </is>
      </c>
      <c r="E2424" t="inlineStr">
        <is>
          <t>ALVESTA</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37947-2024</t>
        </is>
      </c>
      <c r="B2425" s="1" t="n">
        <v>45544.50377314815</v>
      </c>
      <c r="C2425" s="1" t="n">
        <v>46103</v>
      </c>
      <c r="D2425" t="inlineStr">
        <is>
          <t>KRONOBERGS LÄN</t>
        </is>
      </c>
      <c r="E2425" t="inlineStr">
        <is>
          <t>ALVESTA</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8604-2025</t>
        </is>
      </c>
      <c r="B2426" s="1" t="n">
        <v>45710.3284375</v>
      </c>
      <c r="C2426" s="1" t="n">
        <v>46103</v>
      </c>
      <c r="D2426" t="inlineStr">
        <is>
          <t>KRONOBERGS LÄN</t>
        </is>
      </c>
      <c r="E2426" t="inlineStr">
        <is>
          <t>TINGSRYD</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63337-2025</t>
        </is>
      </c>
      <c r="B2427" s="1" t="n">
        <v>46010</v>
      </c>
      <c r="C2427" s="1" t="n">
        <v>46103</v>
      </c>
      <c r="D2427" t="inlineStr">
        <is>
          <t>KRONOBERGS LÄN</t>
        </is>
      </c>
      <c r="E2427" t="inlineStr">
        <is>
          <t>TINGSRYD</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57118-2023</t>
        </is>
      </c>
      <c r="B2428" s="1" t="n">
        <v>45245</v>
      </c>
      <c r="C2428" s="1" t="n">
        <v>46103</v>
      </c>
      <c r="D2428" t="inlineStr">
        <is>
          <t>KRONOBERGS LÄN</t>
        </is>
      </c>
      <c r="E2428" t="inlineStr">
        <is>
          <t>ALVESTA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57159-2023</t>
        </is>
      </c>
      <c r="B2429" s="1" t="n">
        <v>45245</v>
      </c>
      <c r="C2429" s="1" t="n">
        <v>46103</v>
      </c>
      <c r="D2429" t="inlineStr">
        <is>
          <t>KRONOBERGS LÄN</t>
        </is>
      </c>
      <c r="E2429" t="inlineStr">
        <is>
          <t>VÄXJÖ</t>
        </is>
      </c>
      <c r="G2429" t="n">
        <v>5.3</v>
      </c>
      <c r="H2429" t="n">
        <v>0</v>
      </c>
      <c r="I2429" t="n">
        <v>0</v>
      </c>
      <c r="J2429" t="n">
        <v>0</v>
      </c>
      <c r="K2429" t="n">
        <v>0</v>
      </c>
      <c r="L2429" t="n">
        <v>0</v>
      </c>
      <c r="M2429" t="n">
        <v>0</v>
      </c>
      <c r="N2429" t="n">
        <v>0</v>
      </c>
      <c r="O2429" t="n">
        <v>0</v>
      </c>
      <c r="P2429" t="n">
        <v>0</v>
      </c>
      <c r="Q2429" t="n">
        <v>0</v>
      </c>
      <c r="R2429" s="2" t="inlineStr"/>
    </row>
    <row r="2430" ht="15" customHeight="1">
      <c r="A2430" t="inlineStr">
        <is>
          <t>A 1519-2023</t>
        </is>
      </c>
      <c r="B2430" s="1" t="n">
        <v>44937</v>
      </c>
      <c r="C2430" s="1" t="n">
        <v>46103</v>
      </c>
      <c r="D2430" t="inlineStr">
        <is>
          <t>KRONOBERGS LÄN</t>
        </is>
      </c>
      <c r="E2430" t="inlineStr">
        <is>
          <t>TINGSRYD</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51274-2025</t>
        </is>
      </c>
      <c r="B2431" s="1" t="n">
        <v>45949.90959490741</v>
      </c>
      <c r="C2431" s="1" t="n">
        <v>46103</v>
      </c>
      <c r="D2431" t="inlineStr">
        <is>
          <t>KRONOBERGS LÄN</t>
        </is>
      </c>
      <c r="E2431" t="inlineStr">
        <is>
          <t>ALVESTA</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45344-2025</t>
        </is>
      </c>
      <c r="B2432" s="1" t="n">
        <v>45922.34789351852</v>
      </c>
      <c r="C2432" s="1" t="n">
        <v>46103</v>
      </c>
      <c r="D2432" t="inlineStr">
        <is>
          <t>KRONOBERGS LÄN</t>
        </is>
      </c>
      <c r="E2432" t="inlineStr">
        <is>
          <t>UPPVIDINGE</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6674-2024</t>
        </is>
      </c>
      <c r="B2433" s="1" t="n">
        <v>45341</v>
      </c>
      <c r="C2433" s="1" t="n">
        <v>46103</v>
      </c>
      <c r="D2433" t="inlineStr">
        <is>
          <t>KRONOBERGS LÄN</t>
        </is>
      </c>
      <c r="E2433" t="inlineStr">
        <is>
          <t>ALVESTA</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45802-2025</t>
        </is>
      </c>
      <c r="B2434" s="1" t="n">
        <v>45923.58040509259</v>
      </c>
      <c r="C2434" s="1" t="n">
        <v>46103</v>
      </c>
      <c r="D2434" t="inlineStr">
        <is>
          <t>KRONOBERGS LÄN</t>
        </is>
      </c>
      <c r="E2434" t="inlineStr">
        <is>
          <t>UPPVIDINGE</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45813-2025</t>
        </is>
      </c>
      <c r="B2435" s="1" t="n">
        <v>45923.58896990741</v>
      </c>
      <c r="C2435" s="1" t="n">
        <v>46103</v>
      </c>
      <c r="D2435" t="inlineStr">
        <is>
          <t>KRONOBERGS LÄN</t>
        </is>
      </c>
      <c r="E2435" t="inlineStr">
        <is>
          <t>VÄXJÖ</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40015-2024</t>
        </is>
      </c>
      <c r="B2436" s="1" t="n">
        <v>45553.65998842593</v>
      </c>
      <c r="C2436" s="1" t="n">
        <v>46103</v>
      </c>
      <c r="D2436" t="inlineStr">
        <is>
          <t>KRONOBERGS LÄN</t>
        </is>
      </c>
      <c r="E2436" t="inlineStr">
        <is>
          <t>TINGSRYD</t>
        </is>
      </c>
      <c r="F2436" t="inlineStr">
        <is>
          <t>Sveaskog</t>
        </is>
      </c>
      <c r="G2436" t="n">
        <v>8.699999999999999</v>
      </c>
      <c r="H2436" t="n">
        <v>0</v>
      </c>
      <c r="I2436" t="n">
        <v>0</v>
      </c>
      <c r="J2436" t="n">
        <v>0</v>
      </c>
      <c r="K2436" t="n">
        <v>0</v>
      </c>
      <c r="L2436" t="n">
        <v>0</v>
      </c>
      <c r="M2436" t="n">
        <v>0</v>
      </c>
      <c r="N2436" t="n">
        <v>0</v>
      </c>
      <c r="O2436" t="n">
        <v>0</v>
      </c>
      <c r="P2436" t="n">
        <v>0</v>
      </c>
      <c r="Q2436" t="n">
        <v>0</v>
      </c>
      <c r="R2436" s="2" t="inlineStr"/>
    </row>
    <row r="2437" ht="15" customHeight="1">
      <c r="A2437" t="inlineStr">
        <is>
          <t>A 45896-2025</t>
        </is>
      </c>
      <c r="B2437" s="1" t="n">
        <v>45923.67896990741</v>
      </c>
      <c r="C2437" s="1" t="n">
        <v>46103</v>
      </c>
      <c r="D2437" t="inlineStr">
        <is>
          <t>KRONOBERGS LÄN</t>
        </is>
      </c>
      <c r="E2437" t="inlineStr">
        <is>
          <t>TINGSRYD</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19803-2025</t>
        </is>
      </c>
      <c r="B2438" s="1" t="n">
        <v>45771.45237268518</v>
      </c>
      <c r="C2438" s="1" t="n">
        <v>46103</v>
      </c>
      <c r="D2438" t="inlineStr">
        <is>
          <t>KRONOBERGS LÄN</t>
        </is>
      </c>
      <c r="E2438" t="inlineStr">
        <is>
          <t>ÄLMHULT</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45689-2025</t>
        </is>
      </c>
      <c r="B2439" s="1" t="n">
        <v>45923.38232638889</v>
      </c>
      <c r="C2439" s="1" t="n">
        <v>46103</v>
      </c>
      <c r="D2439" t="inlineStr">
        <is>
          <t>KRONOBERGS LÄN</t>
        </is>
      </c>
      <c r="E2439" t="inlineStr">
        <is>
          <t>VÄXJÖ</t>
        </is>
      </c>
      <c r="G2439" t="n">
        <v>4.6</v>
      </c>
      <c r="H2439" t="n">
        <v>0</v>
      </c>
      <c r="I2439" t="n">
        <v>0</v>
      </c>
      <c r="J2439" t="n">
        <v>0</v>
      </c>
      <c r="K2439" t="n">
        <v>0</v>
      </c>
      <c r="L2439" t="n">
        <v>0</v>
      </c>
      <c r="M2439" t="n">
        <v>0</v>
      </c>
      <c r="N2439" t="n">
        <v>0</v>
      </c>
      <c r="O2439" t="n">
        <v>0</v>
      </c>
      <c r="P2439" t="n">
        <v>0</v>
      </c>
      <c r="Q2439" t="n">
        <v>0</v>
      </c>
      <c r="R2439" s="2" t="inlineStr"/>
    </row>
    <row r="2440" ht="15" customHeight="1">
      <c r="A2440" t="inlineStr">
        <is>
          <t>A 45695-2025</t>
        </is>
      </c>
      <c r="B2440" s="1" t="n">
        <v>45923.39356481482</v>
      </c>
      <c r="C2440" s="1" t="n">
        <v>46103</v>
      </c>
      <c r="D2440" t="inlineStr">
        <is>
          <t>KRONOBERGS LÄN</t>
        </is>
      </c>
      <c r="E2440" t="inlineStr">
        <is>
          <t>UPPVIDINGE</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226-2023</t>
        </is>
      </c>
      <c r="B2441" s="1" t="n">
        <v>44928</v>
      </c>
      <c r="C2441" s="1" t="n">
        <v>46103</v>
      </c>
      <c r="D2441" t="inlineStr">
        <is>
          <t>KRONOBERGS LÄN</t>
        </is>
      </c>
      <c r="E2441" t="inlineStr">
        <is>
          <t>LJUNGBY</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37557-2022</t>
        </is>
      </c>
      <c r="B2442" s="1" t="n">
        <v>44809.64534722222</v>
      </c>
      <c r="C2442" s="1" t="n">
        <v>46103</v>
      </c>
      <c r="D2442" t="inlineStr">
        <is>
          <t>KRONOBERGS LÄN</t>
        </is>
      </c>
      <c r="E2442" t="inlineStr">
        <is>
          <t>MARKARYD</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45908-2025</t>
        </is>
      </c>
      <c r="B2443" s="1" t="n">
        <v>45923.71457175926</v>
      </c>
      <c r="C2443" s="1" t="n">
        <v>46103</v>
      </c>
      <c r="D2443" t="inlineStr">
        <is>
          <t>KRONOBERGS LÄN</t>
        </is>
      </c>
      <c r="E2443" t="inlineStr">
        <is>
          <t>UPPVIDINGE</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4213-2025</t>
        </is>
      </c>
      <c r="B2444" s="1" t="n">
        <v>45685.49436342593</v>
      </c>
      <c r="C2444" s="1" t="n">
        <v>46103</v>
      </c>
      <c r="D2444" t="inlineStr">
        <is>
          <t>KRONOBERGS LÄN</t>
        </is>
      </c>
      <c r="E2444" t="inlineStr">
        <is>
          <t>TINGSRYD</t>
        </is>
      </c>
      <c r="G2444" t="n">
        <v>4.9</v>
      </c>
      <c r="H2444" t="n">
        <v>0</v>
      </c>
      <c r="I2444" t="n">
        <v>0</v>
      </c>
      <c r="J2444" t="n">
        <v>0</v>
      </c>
      <c r="K2444" t="n">
        <v>0</v>
      </c>
      <c r="L2444" t="n">
        <v>0</v>
      </c>
      <c r="M2444" t="n">
        <v>0</v>
      </c>
      <c r="N2444" t="n">
        <v>0</v>
      </c>
      <c r="O2444" t="n">
        <v>0</v>
      </c>
      <c r="P2444" t="n">
        <v>0</v>
      </c>
      <c r="Q2444" t="n">
        <v>0</v>
      </c>
      <c r="R2444" s="2" t="inlineStr"/>
    </row>
    <row r="2445" ht="15" customHeight="1">
      <c r="A2445" t="inlineStr">
        <is>
          <t>A 45337-2025</t>
        </is>
      </c>
      <c r="B2445" s="1" t="n">
        <v>45922.34325231481</v>
      </c>
      <c r="C2445" s="1" t="n">
        <v>46103</v>
      </c>
      <c r="D2445" t="inlineStr">
        <is>
          <t>KRONOBERGS LÄN</t>
        </is>
      </c>
      <c r="E2445" t="inlineStr">
        <is>
          <t>TINGSRYD</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63644-2025</t>
        </is>
      </c>
      <c r="B2446" s="1" t="n">
        <v>46014.42715277777</v>
      </c>
      <c r="C2446" s="1" t="n">
        <v>46103</v>
      </c>
      <c r="D2446" t="inlineStr">
        <is>
          <t>KRONOBERGS LÄN</t>
        </is>
      </c>
      <c r="E2446" t="inlineStr">
        <is>
          <t>LJUNGBY</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63647-2025</t>
        </is>
      </c>
      <c r="B2447" s="1" t="n">
        <v>46014.42962962963</v>
      </c>
      <c r="C2447" s="1" t="n">
        <v>46103</v>
      </c>
      <c r="D2447" t="inlineStr">
        <is>
          <t>KRONOBERGS LÄN</t>
        </is>
      </c>
      <c r="E2447" t="inlineStr">
        <is>
          <t>LJUNGBY</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45439-2025</t>
        </is>
      </c>
      <c r="B2448" s="1" t="n">
        <v>45922.47166666666</v>
      </c>
      <c r="C2448" s="1" t="n">
        <v>46103</v>
      </c>
      <c r="D2448" t="inlineStr">
        <is>
          <t>KRONOBERGS LÄN</t>
        </is>
      </c>
      <c r="E2448" t="inlineStr">
        <is>
          <t>TINGSRYD</t>
        </is>
      </c>
      <c r="G2448" t="n">
        <v>7.5</v>
      </c>
      <c r="H2448" t="n">
        <v>0</v>
      </c>
      <c r="I2448" t="n">
        <v>0</v>
      </c>
      <c r="J2448" t="n">
        <v>0</v>
      </c>
      <c r="K2448" t="n">
        <v>0</v>
      </c>
      <c r="L2448" t="n">
        <v>0</v>
      </c>
      <c r="M2448" t="n">
        <v>0</v>
      </c>
      <c r="N2448" t="n">
        <v>0</v>
      </c>
      <c r="O2448" t="n">
        <v>0</v>
      </c>
      <c r="P2448" t="n">
        <v>0</v>
      </c>
      <c r="Q2448" t="n">
        <v>0</v>
      </c>
      <c r="R2448" s="2" t="inlineStr"/>
    </row>
    <row r="2449" ht="15" customHeight="1">
      <c r="A2449" t="inlineStr">
        <is>
          <t>A 45474-2025</t>
        </is>
      </c>
      <c r="B2449" s="1" t="n">
        <v>45922.51623842592</v>
      </c>
      <c r="C2449" s="1" t="n">
        <v>46103</v>
      </c>
      <c r="D2449" t="inlineStr">
        <is>
          <t>KRONOBERGS LÄN</t>
        </is>
      </c>
      <c r="E2449" t="inlineStr">
        <is>
          <t>TINGSRYD</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45475-2025</t>
        </is>
      </c>
      <c r="B2450" s="1" t="n">
        <v>45922.51841435185</v>
      </c>
      <c r="C2450" s="1" t="n">
        <v>46103</v>
      </c>
      <c r="D2450" t="inlineStr">
        <is>
          <t>KRONOBERGS LÄN</t>
        </is>
      </c>
      <c r="E2450" t="inlineStr">
        <is>
          <t>TINGSRYD</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45492-2025</t>
        </is>
      </c>
      <c r="B2451" s="1" t="n">
        <v>45922</v>
      </c>
      <c r="C2451" s="1" t="n">
        <v>46103</v>
      </c>
      <c r="D2451" t="inlineStr">
        <is>
          <t>KRONOBERGS LÄN</t>
        </is>
      </c>
      <c r="E2451" t="inlineStr">
        <is>
          <t>ALVESTA</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63623-2025</t>
        </is>
      </c>
      <c r="B2452" s="1" t="n">
        <v>46014.35407407407</v>
      </c>
      <c r="C2452" s="1" t="n">
        <v>46103</v>
      </c>
      <c r="D2452" t="inlineStr">
        <is>
          <t>KRONOBERGS LÄN</t>
        </is>
      </c>
      <c r="E2452" t="inlineStr">
        <is>
          <t>LJUNGBY</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58287-2022</t>
        </is>
      </c>
      <c r="B2453" s="1" t="n">
        <v>44901.49873842593</v>
      </c>
      <c r="C2453" s="1" t="n">
        <v>46103</v>
      </c>
      <c r="D2453" t="inlineStr">
        <is>
          <t>KRONOBERGS LÄN</t>
        </is>
      </c>
      <c r="E2453" t="inlineStr">
        <is>
          <t>ALVESTA</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58289-2022</t>
        </is>
      </c>
      <c r="B2454" s="1" t="n">
        <v>44901.5021875</v>
      </c>
      <c r="C2454" s="1" t="n">
        <v>46103</v>
      </c>
      <c r="D2454" t="inlineStr">
        <is>
          <t>KRONOBERGS LÄN</t>
        </is>
      </c>
      <c r="E2454" t="inlineStr">
        <is>
          <t>ALVESTA</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18309-2023</t>
        </is>
      </c>
      <c r="B2455" s="1" t="n">
        <v>45041.59671296296</v>
      </c>
      <c r="C2455" s="1" t="n">
        <v>46103</v>
      </c>
      <c r="D2455" t="inlineStr">
        <is>
          <t>KRONOBERGS LÄN</t>
        </is>
      </c>
      <c r="E2455" t="inlineStr">
        <is>
          <t>UPPVIDINGE</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18310-2023</t>
        </is>
      </c>
      <c r="B2456" s="1" t="n">
        <v>45041</v>
      </c>
      <c r="C2456" s="1" t="n">
        <v>46103</v>
      </c>
      <c r="D2456" t="inlineStr">
        <is>
          <t>KRONOBERGS LÄN</t>
        </is>
      </c>
      <c r="E2456" t="inlineStr">
        <is>
          <t>UPPVIDINGE</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58297-2022</t>
        </is>
      </c>
      <c r="B2457" s="1" t="n">
        <v>44901</v>
      </c>
      <c r="C2457" s="1" t="n">
        <v>46103</v>
      </c>
      <c r="D2457" t="inlineStr">
        <is>
          <t>KRONOBERGS LÄN</t>
        </is>
      </c>
      <c r="E2457" t="inlineStr">
        <is>
          <t>ALVESTA</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63656-2025</t>
        </is>
      </c>
      <c r="B2458" s="1" t="n">
        <v>46014.44275462963</v>
      </c>
      <c r="C2458" s="1" t="n">
        <v>46103</v>
      </c>
      <c r="D2458" t="inlineStr">
        <is>
          <t>KRONOBERGS LÄN</t>
        </is>
      </c>
      <c r="E2458" t="inlineStr">
        <is>
          <t>LJUNGBY</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24602-2025</t>
        </is>
      </c>
      <c r="B2459" s="1" t="n">
        <v>45798.56791666667</v>
      </c>
      <c r="C2459" s="1" t="n">
        <v>46103</v>
      </c>
      <c r="D2459" t="inlineStr">
        <is>
          <t>KRONOBERGS LÄN</t>
        </is>
      </c>
      <c r="E2459" t="inlineStr">
        <is>
          <t>MARKARYD</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42654-2023</t>
        </is>
      </c>
      <c r="B2460" s="1" t="n">
        <v>45181.53826388889</v>
      </c>
      <c r="C2460" s="1" t="n">
        <v>46103</v>
      </c>
      <c r="D2460" t="inlineStr">
        <is>
          <t>KRONOBERGS LÄN</t>
        </is>
      </c>
      <c r="E2460" t="inlineStr">
        <is>
          <t>TINGSRYD</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17836-2023</t>
        </is>
      </c>
      <c r="B2461" s="1" t="n">
        <v>45037.63707175926</v>
      </c>
      <c r="C2461" s="1" t="n">
        <v>46103</v>
      </c>
      <c r="D2461" t="inlineStr">
        <is>
          <t>KRONOBERGS LÄN</t>
        </is>
      </c>
      <c r="E2461" t="inlineStr">
        <is>
          <t>LESSEBO</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63742-2025</t>
        </is>
      </c>
      <c r="B2462" s="1" t="n">
        <v>46016.470625</v>
      </c>
      <c r="C2462" s="1" t="n">
        <v>46103</v>
      </c>
      <c r="D2462" t="inlineStr">
        <is>
          <t>KRONOBERGS LÄN</t>
        </is>
      </c>
      <c r="E2462" t="inlineStr">
        <is>
          <t>ÄLMHULT</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28226-2024</t>
        </is>
      </c>
      <c r="B2463" s="1" t="n">
        <v>45477.37409722222</v>
      </c>
      <c r="C2463" s="1" t="n">
        <v>46103</v>
      </c>
      <c r="D2463" t="inlineStr">
        <is>
          <t>KRONOBERGS LÄN</t>
        </is>
      </c>
      <c r="E2463" t="inlineStr">
        <is>
          <t>TINGSRYD</t>
        </is>
      </c>
      <c r="G2463" t="n">
        <v>3.3</v>
      </c>
      <c r="H2463" t="n">
        <v>0</v>
      </c>
      <c r="I2463" t="n">
        <v>0</v>
      </c>
      <c r="J2463" t="n">
        <v>0</v>
      </c>
      <c r="K2463" t="n">
        <v>0</v>
      </c>
      <c r="L2463" t="n">
        <v>0</v>
      </c>
      <c r="M2463" t="n">
        <v>0</v>
      </c>
      <c r="N2463" t="n">
        <v>0</v>
      </c>
      <c r="O2463" t="n">
        <v>0</v>
      </c>
      <c r="P2463" t="n">
        <v>0</v>
      </c>
      <c r="Q2463" t="n">
        <v>0</v>
      </c>
      <c r="R2463" s="2" t="inlineStr"/>
    </row>
    <row r="2464" ht="15" customHeight="1">
      <c r="A2464" t="inlineStr">
        <is>
          <t>A 45716-2025</t>
        </is>
      </c>
      <c r="B2464" s="1" t="n">
        <v>45923.44113425926</v>
      </c>
      <c r="C2464" s="1" t="n">
        <v>46103</v>
      </c>
      <c r="D2464" t="inlineStr">
        <is>
          <t>KRONOBERGS LÄN</t>
        </is>
      </c>
      <c r="E2464" t="inlineStr">
        <is>
          <t>MARKARYD</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45730-2025</t>
        </is>
      </c>
      <c r="B2465" s="1" t="n">
        <v>45923.46226851852</v>
      </c>
      <c r="C2465" s="1" t="n">
        <v>46103</v>
      </c>
      <c r="D2465" t="inlineStr">
        <is>
          <t>KRONOBERGS LÄN</t>
        </is>
      </c>
      <c r="E2465" t="inlineStr">
        <is>
          <t>ÄLMHULT</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45665-2025</t>
        </is>
      </c>
      <c r="B2466" s="1" t="n">
        <v>45923.34780092593</v>
      </c>
      <c r="C2466" s="1" t="n">
        <v>46103</v>
      </c>
      <c r="D2466" t="inlineStr">
        <is>
          <t>KRONOBERGS LÄN</t>
        </is>
      </c>
      <c r="E2466" t="inlineStr">
        <is>
          <t>LJUNGBY</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45680-2025</t>
        </is>
      </c>
      <c r="B2467" s="1" t="n">
        <v>45923.37464120371</v>
      </c>
      <c r="C2467" s="1" t="n">
        <v>46103</v>
      </c>
      <c r="D2467" t="inlineStr">
        <is>
          <t>KRONOBERGS LÄN</t>
        </is>
      </c>
      <c r="E2467" t="inlineStr">
        <is>
          <t>UPPVIDINGE</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42304-2021</t>
        </is>
      </c>
      <c r="B2468" s="1" t="n">
        <v>44426</v>
      </c>
      <c r="C2468" s="1" t="n">
        <v>46103</v>
      </c>
      <c r="D2468" t="inlineStr">
        <is>
          <t>KRONOBERGS LÄN</t>
        </is>
      </c>
      <c r="E2468" t="inlineStr">
        <is>
          <t>TINGSRYD</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45890-2025</t>
        </is>
      </c>
      <c r="B2469" s="1" t="n">
        <v>45923.674375</v>
      </c>
      <c r="C2469" s="1" t="n">
        <v>46103</v>
      </c>
      <c r="D2469" t="inlineStr">
        <is>
          <t>KRONOBERGS LÄN</t>
        </is>
      </c>
      <c r="E2469" t="inlineStr">
        <is>
          <t>TINGSRYD</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62159-2024</t>
        </is>
      </c>
      <c r="B2470" s="1" t="n">
        <v>45656.78905092592</v>
      </c>
      <c r="C2470" s="1" t="n">
        <v>46103</v>
      </c>
      <c r="D2470" t="inlineStr">
        <is>
          <t>KRONOBERGS LÄN</t>
        </is>
      </c>
      <c r="E2470" t="inlineStr">
        <is>
          <t>LJUNGBY</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62566-2022</t>
        </is>
      </c>
      <c r="B2471" s="1" t="n">
        <v>44924.79619212963</v>
      </c>
      <c r="C2471" s="1" t="n">
        <v>46103</v>
      </c>
      <c r="D2471" t="inlineStr">
        <is>
          <t>KRONOBERGS LÄN</t>
        </is>
      </c>
      <c r="E2471" t="inlineStr">
        <is>
          <t>UPPVIDINGE</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45905-2025</t>
        </is>
      </c>
      <c r="B2472" s="1" t="n">
        <v>45923.70304398148</v>
      </c>
      <c r="C2472" s="1" t="n">
        <v>46103</v>
      </c>
      <c r="D2472" t="inlineStr">
        <is>
          <t>KRONOBERGS LÄN</t>
        </is>
      </c>
      <c r="E2472" t="inlineStr">
        <is>
          <t>UPPVIDINGE</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45798-2025</t>
        </is>
      </c>
      <c r="B2473" s="1" t="n">
        <v>45923.57438657407</v>
      </c>
      <c r="C2473" s="1" t="n">
        <v>46103</v>
      </c>
      <c r="D2473" t="inlineStr">
        <is>
          <t>KRONOBERGS LÄN</t>
        </is>
      </c>
      <c r="E2473" t="inlineStr">
        <is>
          <t>UPPVIDINGE</t>
        </is>
      </c>
      <c r="G2473" t="n">
        <v>4.4</v>
      </c>
      <c r="H2473" t="n">
        <v>0</v>
      </c>
      <c r="I2473" t="n">
        <v>0</v>
      </c>
      <c r="J2473" t="n">
        <v>0</v>
      </c>
      <c r="K2473" t="n">
        <v>0</v>
      </c>
      <c r="L2473" t="n">
        <v>0</v>
      </c>
      <c r="M2473" t="n">
        <v>0</v>
      </c>
      <c r="N2473" t="n">
        <v>0</v>
      </c>
      <c r="O2473" t="n">
        <v>0</v>
      </c>
      <c r="P2473" t="n">
        <v>0</v>
      </c>
      <c r="Q2473" t="n">
        <v>0</v>
      </c>
      <c r="R2473" s="2" t="inlineStr"/>
    </row>
    <row r="2474" ht="15" customHeight="1">
      <c r="A2474" t="inlineStr">
        <is>
          <t>A 36780-2021</t>
        </is>
      </c>
      <c r="B2474" s="1" t="n">
        <v>44392.68070601852</v>
      </c>
      <c r="C2474" s="1" t="n">
        <v>46103</v>
      </c>
      <c r="D2474" t="inlineStr">
        <is>
          <t>KRONOBERGS LÄN</t>
        </is>
      </c>
      <c r="E2474" t="inlineStr">
        <is>
          <t>UPPVIDINGE</t>
        </is>
      </c>
      <c r="G2474" t="n">
        <v>8.4</v>
      </c>
      <c r="H2474" t="n">
        <v>0</v>
      </c>
      <c r="I2474" t="n">
        <v>0</v>
      </c>
      <c r="J2474" t="n">
        <v>0</v>
      </c>
      <c r="K2474" t="n">
        <v>0</v>
      </c>
      <c r="L2474" t="n">
        <v>0</v>
      </c>
      <c r="M2474" t="n">
        <v>0</v>
      </c>
      <c r="N2474" t="n">
        <v>0</v>
      </c>
      <c r="O2474" t="n">
        <v>0</v>
      </c>
      <c r="P2474" t="n">
        <v>0</v>
      </c>
      <c r="Q2474" t="n">
        <v>0</v>
      </c>
      <c r="R2474" s="2" t="inlineStr"/>
    </row>
    <row r="2475" ht="15" customHeight="1">
      <c r="A2475" t="inlineStr">
        <is>
          <t>A 45441-2025</t>
        </is>
      </c>
      <c r="B2475" s="1" t="n">
        <v>45922.47278935185</v>
      </c>
      <c r="C2475" s="1" t="n">
        <v>46103</v>
      </c>
      <c r="D2475" t="inlineStr">
        <is>
          <t>KRONOBERGS LÄN</t>
        </is>
      </c>
      <c r="E2475" t="inlineStr">
        <is>
          <t>TINGSRYD</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46172-2025</t>
        </is>
      </c>
      <c r="B2476" s="1" t="n">
        <v>45924.64648148148</v>
      </c>
      <c r="C2476" s="1" t="n">
        <v>46103</v>
      </c>
      <c r="D2476" t="inlineStr">
        <is>
          <t>KRONOBERGS LÄN</t>
        </is>
      </c>
      <c r="E2476" t="inlineStr">
        <is>
          <t>VÄXJÖ</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3041-2022</t>
        </is>
      </c>
      <c r="B2477" s="1" t="n">
        <v>44582</v>
      </c>
      <c r="C2477" s="1" t="n">
        <v>46103</v>
      </c>
      <c r="D2477" t="inlineStr">
        <is>
          <t>KRONOBERGS LÄN</t>
        </is>
      </c>
      <c r="E2477" t="inlineStr">
        <is>
          <t>TINGSRYD</t>
        </is>
      </c>
      <c r="F2477" t="inlineStr">
        <is>
          <t>Övriga Aktiebolag</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3074-2022</t>
        </is>
      </c>
      <c r="B2478" s="1" t="n">
        <v>44582.42422453704</v>
      </c>
      <c r="C2478" s="1" t="n">
        <v>46103</v>
      </c>
      <c r="D2478" t="inlineStr">
        <is>
          <t>KRONOBERGS LÄN</t>
        </is>
      </c>
      <c r="E2478" t="inlineStr">
        <is>
          <t>LJUNGBY</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46461-2025</t>
        </is>
      </c>
      <c r="B2479" s="1" t="n">
        <v>45925.66645833333</v>
      </c>
      <c r="C2479" s="1" t="n">
        <v>46103</v>
      </c>
      <c r="D2479" t="inlineStr">
        <is>
          <t>KRONOBERGS LÄN</t>
        </is>
      </c>
      <c r="E2479" t="inlineStr">
        <is>
          <t>VÄXJÖ</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11376-2025</t>
        </is>
      </c>
      <c r="B2480" s="1" t="n">
        <v>45726.55761574074</v>
      </c>
      <c r="C2480" s="1" t="n">
        <v>46103</v>
      </c>
      <c r="D2480" t="inlineStr">
        <is>
          <t>KRONOBERGS LÄN</t>
        </is>
      </c>
      <c r="E2480" t="inlineStr">
        <is>
          <t>ÄLMHULT</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45913-2025</t>
        </is>
      </c>
      <c r="B2481" s="1" t="n">
        <v>45923.82539351852</v>
      </c>
      <c r="C2481" s="1" t="n">
        <v>46103</v>
      </c>
      <c r="D2481" t="inlineStr">
        <is>
          <t>KRONOBERGS LÄN</t>
        </is>
      </c>
      <c r="E2481" t="inlineStr">
        <is>
          <t>LJUNGBY</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45915-2025</t>
        </is>
      </c>
      <c r="B2482" s="1" t="n">
        <v>45923.82942129629</v>
      </c>
      <c r="C2482" s="1" t="n">
        <v>46103</v>
      </c>
      <c r="D2482" t="inlineStr">
        <is>
          <t>KRONOBERGS LÄN</t>
        </is>
      </c>
      <c r="E2482" t="inlineStr">
        <is>
          <t>LJUNGBY</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63815-2025</t>
        </is>
      </c>
      <c r="B2483" s="1" t="n">
        <v>46020.34120370371</v>
      </c>
      <c r="C2483" s="1" t="n">
        <v>46103</v>
      </c>
      <c r="D2483" t="inlineStr">
        <is>
          <t>KRONOBERGS LÄN</t>
        </is>
      </c>
      <c r="E2483" t="inlineStr">
        <is>
          <t>ÄLMHULT</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46169-2025</t>
        </is>
      </c>
      <c r="B2484" s="1" t="n">
        <v>45924.64511574074</v>
      </c>
      <c r="C2484" s="1" t="n">
        <v>46103</v>
      </c>
      <c r="D2484" t="inlineStr">
        <is>
          <t>KRONOBERGS LÄN</t>
        </is>
      </c>
      <c r="E2484" t="inlineStr">
        <is>
          <t>VÄXJÖ</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17283-2022</t>
        </is>
      </c>
      <c r="B2485" s="1" t="n">
        <v>44678.43256944444</v>
      </c>
      <c r="C2485" s="1" t="n">
        <v>46103</v>
      </c>
      <c r="D2485" t="inlineStr">
        <is>
          <t>KRONOBERGS LÄN</t>
        </is>
      </c>
      <c r="E2485" t="inlineStr">
        <is>
          <t>VÄXJÖ</t>
        </is>
      </c>
      <c r="G2485" t="n">
        <v>10.8</v>
      </c>
      <c r="H2485" t="n">
        <v>0</v>
      </c>
      <c r="I2485" t="n">
        <v>0</v>
      </c>
      <c r="J2485" t="n">
        <v>0</v>
      </c>
      <c r="K2485" t="n">
        <v>0</v>
      </c>
      <c r="L2485" t="n">
        <v>0</v>
      </c>
      <c r="M2485" t="n">
        <v>0</v>
      </c>
      <c r="N2485" t="n">
        <v>0</v>
      </c>
      <c r="O2485" t="n">
        <v>0</v>
      </c>
      <c r="P2485" t="n">
        <v>0</v>
      </c>
      <c r="Q2485" t="n">
        <v>0</v>
      </c>
      <c r="R2485" s="2" t="inlineStr"/>
    </row>
    <row r="2486" ht="15" customHeight="1">
      <c r="A2486" t="inlineStr">
        <is>
          <t>A 30914-2022</t>
        </is>
      </c>
      <c r="B2486" s="1" t="n">
        <v>44767</v>
      </c>
      <c r="C2486" s="1" t="n">
        <v>46103</v>
      </c>
      <c r="D2486" t="inlineStr">
        <is>
          <t>KRONOBERGS LÄN</t>
        </is>
      </c>
      <c r="E2486" t="inlineStr">
        <is>
          <t>LESSEBO</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111-2026</t>
        </is>
      </c>
      <c r="B2487" s="1" t="n">
        <v>46019</v>
      </c>
      <c r="C2487" s="1" t="n">
        <v>46103</v>
      </c>
      <c r="D2487" t="inlineStr">
        <is>
          <t>KRONOBERGS LÄN</t>
        </is>
      </c>
      <c r="E2487" t="inlineStr">
        <is>
          <t>VÄXJÖ</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7575-2026</t>
        </is>
      </c>
      <c r="B2488" s="1" t="n">
        <v>46061.39715277778</v>
      </c>
      <c r="C2488" s="1" t="n">
        <v>46103</v>
      </c>
      <c r="D2488" t="inlineStr">
        <is>
          <t>KRONOBERGS LÄN</t>
        </is>
      </c>
      <c r="E2488" t="inlineStr">
        <is>
          <t>VÄXJÖ</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525-2025</t>
        </is>
      </c>
      <c r="B2489" s="1" t="n">
        <v>45664.49270833333</v>
      </c>
      <c r="C2489" s="1" t="n">
        <v>46103</v>
      </c>
      <c r="D2489" t="inlineStr">
        <is>
          <t>KRONOBERGS LÄN</t>
        </is>
      </c>
      <c r="E2489" t="inlineStr">
        <is>
          <t>TINGSRYD</t>
        </is>
      </c>
      <c r="G2489" t="n">
        <v>4.6</v>
      </c>
      <c r="H2489" t="n">
        <v>0</v>
      </c>
      <c r="I2489" t="n">
        <v>0</v>
      </c>
      <c r="J2489" t="n">
        <v>0</v>
      </c>
      <c r="K2489" t="n">
        <v>0</v>
      </c>
      <c r="L2489" t="n">
        <v>0</v>
      </c>
      <c r="M2489" t="n">
        <v>0</v>
      </c>
      <c r="N2489" t="n">
        <v>0</v>
      </c>
      <c r="O2489" t="n">
        <v>0</v>
      </c>
      <c r="P2489" t="n">
        <v>0</v>
      </c>
      <c r="Q2489" t="n">
        <v>0</v>
      </c>
      <c r="R2489" s="2" t="inlineStr"/>
    </row>
    <row r="2490" ht="15" customHeight="1">
      <c r="A2490" t="inlineStr">
        <is>
          <t>A 7658-2026</t>
        </is>
      </c>
      <c r="B2490" s="1" t="n">
        <v>46062.39100694445</v>
      </c>
      <c r="C2490" s="1" t="n">
        <v>46103</v>
      </c>
      <c r="D2490" t="inlineStr">
        <is>
          <t>KRONOBERGS LÄN</t>
        </is>
      </c>
      <c r="E2490" t="inlineStr">
        <is>
          <t>LJUNGBY</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46229-2025</t>
        </is>
      </c>
      <c r="B2491" s="1" t="n">
        <v>45924.93699074074</v>
      </c>
      <c r="C2491" s="1" t="n">
        <v>46103</v>
      </c>
      <c r="D2491" t="inlineStr">
        <is>
          <t>KRONOBERGS LÄN</t>
        </is>
      </c>
      <c r="E2491" t="inlineStr">
        <is>
          <t>LJUNGBY</t>
        </is>
      </c>
      <c r="G2491" t="n">
        <v>3.9</v>
      </c>
      <c r="H2491" t="n">
        <v>0</v>
      </c>
      <c r="I2491" t="n">
        <v>0</v>
      </c>
      <c r="J2491" t="n">
        <v>0</v>
      </c>
      <c r="K2491" t="n">
        <v>0</v>
      </c>
      <c r="L2491" t="n">
        <v>0</v>
      </c>
      <c r="M2491" t="n">
        <v>0</v>
      </c>
      <c r="N2491" t="n">
        <v>0</v>
      </c>
      <c r="O2491" t="n">
        <v>0</v>
      </c>
      <c r="P2491" t="n">
        <v>0</v>
      </c>
      <c r="Q2491" t="n">
        <v>0</v>
      </c>
      <c r="R2491" s="2" t="inlineStr"/>
    </row>
    <row r="2492" ht="15" customHeight="1">
      <c r="A2492" t="inlineStr">
        <is>
          <t>A 63971-2025</t>
        </is>
      </c>
      <c r="B2492" s="1" t="n">
        <v>46021.32947916666</v>
      </c>
      <c r="C2492" s="1" t="n">
        <v>46103</v>
      </c>
      <c r="D2492" t="inlineStr">
        <is>
          <t>KRONOBERGS LÄN</t>
        </is>
      </c>
      <c r="E2492" t="inlineStr">
        <is>
          <t>MARKARYD</t>
        </is>
      </c>
      <c r="G2492" t="n">
        <v>8.300000000000001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7887-2026</t>
        </is>
      </c>
      <c r="B2493" s="1" t="n">
        <v>46063.30697916666</v>
      </c>
      <c r="C2493" s="1" t="n">
        <v>46103</v>
      </c>
      <c r="D2493" t="inlineStr">
        <is>
          <t>KRONOBERGS LÄN</t>
        </is>
      </c>
      <c r="E2493" t="inlineStr">
        <is>
          <t>MARKARYD</t>
        </is>
      </c>
      <c r="G2493" t="n">
        <v>16.3</v>
      </c>
      <c r="H2493" t="n">
        <v>0</v>
      </c>
      <c r="I2493" t="n">
        <v>0</v>
      </c>
      <c r="J2493" t="n">
        <v>0</v>
      </c>
      <c r="K2493" t="n">
        <v>0</v>
      </c>
      <c r="L2493" t="n">
        <v>0</v>
      </c>
      <c r="M2493" t="n">
        <v>0</v>
      </c>
      <c r="N2493" t="n">
        <v>0</v>
      </c>
      <c r="O2493" t="n">
        <v>0</v>
      </c>
      <c r="P2493" t="n">
        <v>0</v>
      </c>
      <c r="Q2493" t="n">
        <v>0</v>
      </c>
      <c r="R2493" s="2" t="inlineStr"/>
    </row>
    <row r="2494" ht="15" customHeight="1">
      <c r="A2494" t="inlineStr">
        <is>
          <t>A 63878-2025</t>
        </is>
      </c>
      <c r="B2494" s="1" t="n">
        <v>46020.55761574074</v>
      </c>
      <c r="C2494" s="1" t="n">
        <v>46103</v>
      </c>
      <c r="D2494" t="inlineStr">
        <is>
          <t>KRONOBERGS LÄN</t>
        </is>
      </c>
      <c r="E2494" t="inlineStr">
        <is>
          <t>LJUNGBY</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61055-2022</t>
        </is>
      </c>
      <c r="B2495" s="1" t="n">
        <v>44915.05086805556</v>
      </c>
      <c r="C2495" s="1" t="n">
        <v>46103</v>
      </c>
      <c r="D2495" t="inlineStr">
        <is>
          <t>KRONOBERGS LÄN</t>
        </is>
      </c>
      <c r="E2495" t="inlineStr">
        <is>
          <t>VÄXJÖ</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46224-2025</t>
        </is>
      </c>
      <c r="B2496" s="1" t="n">
        <v>45924.8859837963</v>
      </c>
      <c r="C2496" s="1" t="n">
        <v>46103</v>
      </c>
      <c r="D2496" t="inlineStr">
        <is>
          <t>KRONOBERGS LÄN</t>
        </is>
      </c>
      <c r="E2496" t="inlineStr">
        <is>
          <t>LJUNGBY</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46225-2025</t>
        </is>
      </c>
      <c r="B2497" s="1" t="n">
        <v>45924.88934027778</v>
      </c>
      <c r="C2497" s="1" t="n">
        <v>46103</v>
      </c>
      <c r="D2497" t="inlineStr">
        <is>
          <t>KRONOBERGS LÄN</t>
        </is>
      </c>
      <c r="E2497" t="inlineStr">
        <is>
          <t>LJUNGBY</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46228-2025</t>
        </is>
      </c>
      <c r="B2498" s="1" t="n">
        <v>45924.93190972223</v>
      </c>
      <c r="C2498" s="1" t="n">
        <v>46103</v>
      </c>
      <c r="D2498" t="inlineStr">
        <is>
          <t>KRONOBERGS LÄN</t>
        </is>
      </c>
      <c r="E2498" t="inlineStr">
        <is>
          <t>LJUNGBY</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46447-2025</t>
        </is>
      </c>
      <c r="B2499" s="1" t="n">
        <v>45925.64894675926</v>
      </c>
      <c r="C2499" s="1" t="n">
        <v>46103</v>
      </c>
      <c r="D2499" t="inlineStr">
        <is>
          <t>KRONOBERGS LÄN</t>
        </is>
      </c>
      <c r="E2499" t="inlineStr">
        <is>
          <t>UPPVIDINGE</t>
        </is>
      </c>
      <c r="G2499" t="n">
        <v>4.9</v>
      </c>
      <c r="H2499" t="n">
        <v>0</v>
      </c>
      <c r="I2499" t="n">
        <v>0</v>
      </c>
      <c r="J2499" t="n">
        <v>0</v>
      </c>
      <c r="K2499" t="n">
        <v>0</v>
      </c>
      <c r="L2499" t="n">
        <v>0</v>
      </c>
      <c r="M2499" t="n">
        <v>0</v>
      </c>
      <c r="N2499" t="n">
        <v>0</v>
      </c>
      <c r="O2499" t="n">
        <v>0</v>
      </c>
      <c r="P2499" t="n">
        <v>0</v>
      </c>
      <c r="Q2499" t="n">
        <v>0</v>
      </c>
      <c r="R2499" s="2" t="inlineStr"/>
    </row>
    <row r="2500" ht="15" customHeight="1">
      <c r="A2500" t="inlineStr">
        <is>
          <t>A 14890-2023</t>
        </is>
      </c>
      <c r="B2500" s="1" t="n">
        <v>45015.31724537037</v>
      </c>
      <c r="C2500" s="1" t="n">
        <v>46103</v>
      </c>
      <c r="D2500" t="inlineStr">
        <is>
          <t>KRONOBERGS LÄN</t>
        </is>
      </c>
      <c r="E2500" t="inlineStr">
        <is>
          <t>ÄLMHULT</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63814-2025</t>
        </is>
      </c>
      <c r="B2501" s="1" t="n">
        <v>46020.33778935186</v>
      </c>
      <c r="C2501" s="1" t="n">
        <v>46103</v>
      </c>
      <c r="D2501" t="inlineStr">
        <is>
          <t>KRONOBERGS LÄN</t>
        </is>
      </c>
      <c r="E2501" t="inlineStr">
        <is>
          <t>ÄLMHULT</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46474-2025</t>
        </is>
      </c>
      <c r="B2502" s="1" t="n">
        <v>45925.68758101852</v>
      </c>
      <c r="C2502" s="1" t="n">
        <v>46103</v>
      </c>
      <c r="D2502" t="inlineStr">
        <is>
          <t>KRONOBERGS LÄN</t>
        </is>
      </c>
      <c r="E2502" t="inlineStr">
        <is>
          <t>VÄXJÖ</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46219-2025</t>
        </is>
      </c>
      <c r="B2503" s="1" t="n">
        <v>45924.8566087963</v>
      </c>
      <c r="C2503" s="1" t="n">
        <v>46103</v>
      </c>
      <c r="D2503" t="inlineStr">
        <is>
          <t>KRONOBERGS LÄN</t>
        </is>
      </c>
      <c r="E2503" t="inlineStr">
        <is>
          <t>ÄLMHULT</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46221-2025</t>
        </is>
      </c>
      <c r="B2504" s="1" t="n">
        <v>45924.8712037037</v>
      </c>
      <c r="C2504" s="1" t="n">
        <v>46103</v>
      </c>
      <c r="D2504" t="inlineStr">
        <is>
          <t>KRONOBERGS LÄN</t>
        </is>
      </c>
      <c r="E2504" t="inlineStr">
        <is>
          <t>LJUNGBY</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9647-2022</t>
        </is>
      </c>
      <c r="B2505" s="1" t="n">
        <v>44617.58907407407</v>
      </c>
      <c r="C2505" s="1" t="n">
        <v>46103</v>
      </c>
      <c r="D2505" t="inlineStr">
        <is>
          <t>KRONOBERGS LÄN</t>
        </is>
      </c>
      <c r="E2505" t="inlineStr">
        <is>
          <t>TINGSRYD</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50186-2023</t>
        </is>
      </c>
      <c r="B2506" s="1" t="n">
        <v>45215.7849074074</v>
      </c>
      <c r="C2506" s="1" t="n">
        <v>46103</v>
      </c>
      <c r="D2506" t="inlineStr">
        <is>
          <t>KRONOBERGS LÄN</t>
        </is>
      </c>
      <c r="E2506" t="inlineStr">
        <is>
          <t>LJUNGBY</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8054-2026</t>
        </is>
      </c>
      <c r="B2507" s="1" t="n">
        <v>46063.6187037037</v>
      </c>
      <c r="C2507" s="1" t="n">
        <v>46103</v>
      </c>
      <c r="D2507" t="inlineStr">
        <is>
          <t>KRONOBERGS LÄN</t>
        </is>
      </c>
      <c r="E2507" t="inlineStr">
        <is>
          <t>LJUNGBY</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46410-2025</t>
        </is>
      </c>
      <c r="B2508" s="1" t="n">
        <v>45925.56767361111</v>
      </c>
      <c r="C2508" s="1" t="n">
        <v>46103</v>
      </c>
      <c r="D2508" t="inlineStr">
        <is>
          <t>KRONOBERGS LÄN</t>
        </is>
      </c>
      <c r="E2508" t="inlineStr">
        <is>
          <t>VÄXJÖ</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38961-2024</t>
        </is>
      </c>
      <c r="B2509" s="1" t="n">
        <v>45548.36065972222</v>
      </c>
      <c r="C2509" s="1" t="n">
        <v>46103</v>
      </c>
      <c r="D2509" t="inlineStr">
        <is>
          <t>KRONOBERGS LÄN</t>
        </is>
      </c>
      <c r="E2509" t="inlineStr">
        <is>
          <t>TINGSRYD</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15264-2024</t>
        </is>
      </c>
      <c r="B2510" s="1" t="n">
        <v>45400</v>
      </c>
      <c r="C2510" s="1" t="n">
        <v>46103</v>
      </c>
      <c r="D2510" t="inlineStr">
        <is>
          <t>KRONOBERGS LÄN</t>
        </is>
      </c>
      <c r="E2510" t="inlineStr">
        <is>
          <t>UPPVIDINGE</t>
        </is>
      </c>
      <c r="F2510" t="inlineStr">
        <is>
          <t>Sveaskog</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45926-2025</t>
        </is>
      </c>
      <c r="B2511" s="1" t="n">
        <v>45923.85591435185</v>
      </c>
      <c r="C2511" s="1" t="n">
        <v>46103</v>
      </c>
      <c r="D2511" t="inlineStr">
        <is>
          <t>KRONOBERGS LÄN</t>
        </is>
      </c>
      <c r="E2511" t="inlineStr">
        <is>
          <t>LJUNGBY</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34818-2023</t>
        </is>
      </c>
      <c r="B2512" s="1" t="n">
        <v>45141.65546296296</v>
      </c>
      <c r="C2512" s="1" t="n">
        <v>46103</v>
      </c>
      <c r="D2512" t="inlineStr">
        <is>
          <t>KRONOBERGS LÄN</t>
        </is>
      </c>
      <c r="E2512" t="inlineStr">
        <is>
          <t>MARKARYD</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8078-2026</t>
        </is>
      </c>
      <c r="B2513" s="1" t="n">
        <v>46063.65836805556</v>
      </c>
      <c r="C2513" s="1" t="n">
        <v>46103</v>
      </c>
      <c r="D2513" t="inlineStr">
        <is>
          <t>KRONOBERGS LÄN</t>
        </is>
      </c>
      <c r="E2513" t="inlineStr">
        <is>
          <t>LJUNGBY</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46472-2025</t>
        </is>
      </c>
      <c r="B2514" s="1" t="n">
        <v>45925.68578703704</v>
      </c>
      <c r="C2514" s="1" t="n">
        <v>46103</v>
      </c>
      <c r="D2514" t="inlineStr">
        <is>
          <t>KRONOBERGS LÄN</t>
        </is>
      </c>
      <c r="E2514" t="inlineStr">
        <is>
          <t>ALVESTA</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46486-2025</t>
        </is>
      </c>
      <c r="B2515" s="1" t="n">
        <v>45925.70990740741</v>
      </c>
      <c r="C2515" s="1" t="n">
        <v>46103</v>
      </c>
      <c r="D2515" t="inlineStr">
        <is>
          <t>KRONOBERGS LÄN</t>
        </is>
      </c>
      <c r="E2515" t="inlineStr">
        <is>
          <t>TINGSRYD</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46464-2025</t>
        </is>
      </c>
      <c r="B2516" s="1" t="n">
        <v>45925.67674768518</v>
      </c>
      <c r="C2516" s="1" t="n">
        <v>46103</v>
      </c>
      <c r="D2516" t="inlineStr">
        <is>
          <t>KRONOBERGS LÄN</t>
        </is>
      </c>
      <c r="E2516" t="inlineStr">
        <is>
          <t>ALVESTA</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26344-2024</t>
        </is>
      </c>
      <c r="B2517" s="1" t="n">
        <v>45469.34783564815</v>
      </c>
      <c r="C2517" s="1" t="n">
        <v>46103</v>
      </c>
      <c r="D2517" t="inlineStr">
        <is>
          <t>KRONOBERGS LÄN</t>
        </is>
      </c>
      <c r="E2517" t="inlineStr">
        <is>
          <t>UPPVIDINGE</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45976-2025</t>
        </is>
      </c>
      <c r="B2518" s="1" t="n">
        <v>45924.36989583333</v>
      </c>
      <c r="C2518" s="1" t="n">
        <v>46103</v>
      </c>
      <c r="D2518" t="inlineStr">
        <is>
          <t>KRONOBERGS LÄN</t>
        </is>
      </c>
      <c r="E2518" t="inlineStr">
        <is>
          <t>VÄXJÖ</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7843-2026</t>
        </is>
      </c>
      <c r="B2519" s="1" t="n">
        <v>46062.65396990741</v>
      </c>
      <c r="C2519" s="1" t="n">
        <v>46103</v>
      </c>
      <c r="D2519" t="inlineStr">
        <is>
          <t>KRONOBERGS LÄN</t>
        </is>
      </c>
      <c r="E2519" t="inlineStr">
        <is>
          <t>UPPVIDINGE</t>
        </is>
      </c>
      <c r="G2519" t="n">
        <v>6.6</v>
      </c>
      <c r="H2519" t="n">
        <v>0</v>
      </c>
      <c r="I2519" t="n">
        <v>0</v>
      </c>
      <c r="J2519" t="n">
        <v>0</v>
      </c>
      <c r="K2519" t="n">
        <v>0</v>
      </c>
      <c r="L2519" t="n">
        <v>0</v>
      </c>
      <c r="M2519" t="n">
        <v>0</v>
      </c>
      <c r="N2519" t="n">
        <v>0</v>
      </c>
      <c r="O2519" t="n">
        <v>0</v>
      </c>
      <c r="P2519" t="n">
        <v>0</v>
      </c>
      <c r="Q2519" t="n">
        <v>0</v>
      </c>
      <c r="R2519" s="2" t="inlineStr"/>
    </row>
    <row r="2520" ht="15" customHeight="1">
      <c r="A2520" t="inlineStr">
        <is>
          <t>A 35687-2025</t>
        </is>
      </c>
      <c r="B2520" s="1" t="n">
        <v>45860.10805555555</v>
      </c>
      <c r="C2520" s="1" t="n">
        <v>46103</v>
      </c>
      <c r="D2520" t="inlineStr">
        <is>
          <t>KRONOBERGS LÄN</t>
        </is>
      </c>
      <c r="E2520" t="inlineStr">
        <is>
          <t>ALVESTA</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46072-2025</t>
        </is>
      </c>
      <c r="B2521" s="1" t="n">
        <v>45924.49310185185</v>
      </c>
      <c r="C2521" s="1" t="n">
        <v>46103</v>
      </c>
      <c r="D2521" t="inlineStr">
        <is>
          <t>KRONOBERGS LÄN</t>
        </is>
      </c>
      <c r="E2521" t="inlineStr">
        <is>
          <t>TINGSRYD</t>
        </is>
      </c>
      <c r="G2521" t="n">
        <v>3.8</v>
      </c>
      <c r="H2521" t="n">
        <v>0</v>
      </c>
      <c r="I2521" t="n">
        <v>0</v>
      </c>
      <c r="J2521" t="n">
        <v>0</v>
      </c>
      <c r="K2521" t="n">
        <v>0</v>
      </c>
      <c r="L2521" t="n">
        <v>0</v>
      </c>
      <c r="M2521" t="n">
        <v>0</v>
      </c>
      <c r="N2521" t="n">
        <v>0</v>
      </c>
      <c r="O2521" t="n">
        <v>0</v>
      </c>
      <c r="P2521" t="n">
        <v>0</v>
      </c>
      <c r="Q2521" t="n">
        <v>0</v>
      </c>
      <c r="R2521" s="2" t="inlineStr"/>
    </row>
    <row r="2522" ht="15" customHeight="1">
      <c r="A2522" t="inlineStr">
        <is>
          <t>A 1476-2025</t>
        </is>
      </c>
      <c r="B2522" s="1" t="n">
        <v>45670.3792824074</v>
      </c>
      <c r="C2522" s="1" t="n">
        <v>46103</v>
      </c>
      <c r="D2522" t="inlineStr">
        <is>
          <t>KRONOBERGS LÄN</t>
        </is>
      </c>
      <c r="E2522" t="inlineStr">
        <is>
          <t>UPPVIDINGE</t>
        </is>
      </c>
      <c r="G2522" t="n">
        <v>5.2</v>
      </c>
      <c r="H2522" t="n">
        <v>0</v>
      </c>
      <c r="I2522" t="n">
        <v>0</v>
      </c>
      <c r="J2522" t="n">
        <v>0</v>
      </c>
      <c r="K2522" t="n">
        <v>0</v>
      </c>
      <c r="L2522" t="n">
        <v>0</v>
      </c>
      <c r="M2522" t="n">
        <v>0</v>
      </c>
      <c r="N2522" t="n">
        <v>0</v>
      </c>
      <c r="O2522" t="n">
        <v>0</v>
      </c>
      <c r="P2522" t="n">
        <v>0</v>
      </c>
      <c r="Q2522" t="n">
        <v>0</v>
      </c>
      <c r="R2522" s="2" t="inlineStr"/>
    </row>
    <row r="2523" ht="15" customHeight="1">
      <c r="A2523" t="inlineStr">
        <is>
          <t>A 46360-2025</t>
        </is>
      </c>
      <c r="B2523" s="1" t="n">
        <v>45925.49622685185</v>
      </c>
      <c r="C2523" s="1" t="n">
        <v>46103</v>
      </c>
      <c r="D2523" t="inlineStr">
        <is>
          <t>KRONOBERGS LÄN</t>
        </is>
      </c>
      <c r="E2523" t="inlineStr">
        <is>
          <t>ALVESTA</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46223-2025</t>
        </is>
      </c>
      <c r="B2524" s="1" t="n">
        <v>45924.88241898148</v>
      </c>
      <c r="C2524" s="1" t="n">
        <v>46103</v>
      </c>
      <c r="D2524" t="inlineStr">
        <is>
          <t>KRONOBERGS LÄN</t>
        </is>
      </c>
      <c r="E2524" t="inlineStr">
        <is>
          <t>LJUNGBY</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45928-2025</t>
        </is>
      </c>
      <c r="B2525" s="1" t="n">
        <v>45923.86340277778</v>
      </c>
      <c r="C2525" s="1" t="n">
        <v>46103</v>
      </c>
      <c r="D2525" t="inlineStr">
        <is>
          <t>KRONOBERGS LÄN</t>
        </is>
      </c>
      <c r="E2525" t="inlineStr">
        <is>
          <t>LJUNGBY</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19870-2025</t>
        </is>
      </c>
      <c r="B2526" s="1" t="n">
        <v>45771.54563657408</v>
      </c>
      <c r="C2526" s="1" t="n">
        <v>46103</v>
      </c>
      <c r="D2526" t="inlineStr">
        <is>
          <t>KRONOBERGS LÄN</t>
        </is>
      </c>
      <c r="E2526" t="inlineStr">
        <is>
          <t>ÄLMHULT</t>
        </is>
      </c>
      <c r="F2526" t="inlineStr">
        <is>
          <t>Sveaskog</t>
        </is>
      </c>
      <c r="G2526" t="n">
        <v>6.6</v>
      </c>
      <c r="H2526" t="n">
        <v>0</v>
      </c>
      <c r="I2526" t="n">
        <v>0</v>
      </c>
      <c r="J2526" t="n">
        <v>0</v>
      </c>
      <c r="K2526" t="n">
        <v>0</v>
      </c>
      <c r="L2526" t="n">
        <v>0</v>
      </c>
      <c r="M2526" t="n">
        <v>0</v>
      </c>
      <c r="N2526" t="n">
        <v>0</v>
      </c>
      <c r="O2526" t="n">
        <v>0</v>
      </c>
      <c r="P2526" t="n">
        <v>0</v>
      </c>
      <c r="Q2526" t="n">
        <v>0</v>
      </c>
      <c r="R2526" s="2" t="inlineStr"/>
    </row>
    <row r="2527" ht="15" customHeight="1">
      <c r="A2527" t="inlineStr">
        <is>
          <t>A 8065-2026</t>
        </is>
      </c>
      <c r="B2527" s="1" t="n">
        <v>46063.63143518518</v>
      </c>
      <c r="C2527" s="1" t="n">
        <v>46103</v>
      </c>
      <c r="D2527" t="inlineStr">
        <is>
          <t>KRONOBERGS LÄN</t>
        </is>
      </c>
      <c r="E2527" t="inlineStr">
        <is>
          <t>LJUNGBY</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44734-2024</t>
        </is>
      </c>
      <c r="B2528" s="1" t="n">
        <v>45574.59</v>
      </c>
      <c r="C2528" s="1" t="n">
        <v>46103</v>
      </c>
      <c r="D2528" t="inlineStr">
        <is>
          <t>KRONOBERGS LÄN</t>
        </is>
      </c>
      <c r="E2528" t="inlineStr">
        <is>
          <t>TINGSRYD</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45930-2025</t>
        </is>
      </c>
      <c r="B2529" s="1" t="n">
        <v>45923.87383101852</v>
      </c>
      <c r="C2529" s="1" t="n">
        <v>46103</v>
      </c>
      <c r="D2529" t="inlineStr">
        <is>
          <t>KRONOBERGS LÄN</t>
        </is>
      </c>
      <c r="E2529" t="inlineStr">
        <is>
          <t>LJUNGBY</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7594-2026</t>
        </is>
      </c>
      <c r="B2530" s="1" t="n">
        <v>46061.88951388889</v>
      </c>
      <c r="C2530" s="1" t="n">
        <v>46103</v>
      </c>
      <c r="D2530" t="inlineStr">
        <is>
          <t>KRONOBERGS LÄN</t>
        </is>
      </c>
      <c r="E2530" t="inlineStr">
        <is>
          <t>ÄLMHULT</t>
        </is>
      </c>
      <c r="G2530" t="n">
        <v>4.8</v>
      </c>
      <c r="H2530" t="n">
        <v>0</v>
      </c>
      <c r="I2530" t="n">
        <v>0</v>
      </c>
      <c r="J2530" t="n">
        <v>0</v>
      </c>
      <c r="K2530" t="n">
        <v>0</v>
      </c>
      <c r="L2530" t="n">
        <v>0</v>
      </c>
      <c r="M2530" t="n">
        <v>0</v>
      </c>
      <c r="N2530" t="n">
        <v>0</v>
      </c>
      <c r="O2530" t="n">
        <v>0</v>
      </c>
      <c r="P2530" t="n">
        <v>0</v>
      </c>
      <c r="Q2530" t="n">
        <v>0</v>
      </c>
      <c r="R2530" s="2" t="inlineStr"/>
    </row>
    <row r="2531" ht="15" customHeight="1">
      <c r="A2531" t="inlineStr">
        <is>
          <t>A 46289-2025</t>
        </is>
      </c>
      <c r="B2531" s="1" t="n">
        <v>45925.38702546297</v>
      </c>
      <c r="C2531" s="1" t="n">
        <v>46103</v>
      </c>
      <c r="D2531" t="inlineStr">
        <is>
          <t>KRONOBERGS LÄN</t>
        </is>
      </c>
      <c r="E2531" t="inlineStr">
        <is>
          <t>TINGSRYD</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32833-2025</t>
        </is>
      </c>
      <c r="B2532" s="1" t="n">
        <v>45839</v>
      </c>
      <c r="C2532" s="1" t="n">
        <v>46103</v>
      </c>
      <c r="D2532" t="inlineStr">
        <is>
          <t>KRONOBERGS LÄN</t>
        </is>
      </c>
      <c r="E2532" t="inlineStr">
        <is>
          <t>UPPVIDINGE</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44564-2024</t>
        </is>
      </c>
      <c r="B2533" s="1" t="n">
        <v>45574.47497685185</v>
      </c>
      <c r="C2533" s="1" t="n">
        <v>46103</v>
      </c>
      <c r="D2533" t="inlineStr">
        <is>
          <t>KRONOBERGS LÄN</t>
        </is>
      </c>
      <c r="E2533" t="inlineStr">
        <is>
          <t>VÄXJÖ</t>
        </is>
      </c>
      <c r="G2533" t="n">
        <v>6</v>
      </c>
      <c r="H2533" t="n">
        <v>0</v>
      </c>
      <c r="I2533" t="n">
        <v>0</v>
      </c>
      <c r="J2533" t="n">
        <v>0</v>
      </c>
      <c r="K2533" t="n">
        <v>0</v>
      </c>
      <c r="L2533" t="n">
        <v>0</v>
      </c>
      <c r="M2533" t="n">
        <v>0</v>
      </c>
      <c r="N2533" t="n">
        <v>0</v>
      </c>
      <c r="O2533" t="n">
        <v>0</v>
      </c>
      <c r="P2533" t="n">
        <v>0</v>
      </c>
      <c r="Q2533" t="n">
        <v>0</v>
      </c>
      <c r="R2533" s="2" t="inlineStr"/>
    </row>
    <row r="2534" ht="15" customHeight="1">
      <c r="A2534" t="inlineStr">
        <is>
          <t>A 57896-2025</t>
        </is>
      </c>
      <c r="B2534" s="1" t="n">
        <v>45981</v>
      </c>
      <c r="C2534" s="1" t="n">
        <v>46103</v>
      </c>
      <c r="D2534" t="inlineStr">
        <is>
          <t>KRONOBERGS LÄN</t>
        </is>
      </c>
      <c r="E2534" t="inlineStr">
        <is>
          <t>LJUNGBY</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46362-2025</t>
        </is>
      </c>
      <c r="B2535" s="1" t="n">
        <v>45925.49689814815</v>
      </c>
      <c r="C2535" s="1" t="n">
        <v>46103</v>
      </c>
      <c r="D2535" t="inlineStr">
        <is>
          <t>KRONOBERGS LÄN</t>
        </is>
      </c>
      <c r="E2535" t="inlineStr">
        <is>
          <t>ALVESTA</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17737-2024</t>
        </is>
      </c>
      <c r="B2536" s="1" t="n">
        <v>45418.57553240741</v>
      </c>
      <c r="C2536" s="1" t="n">
        <v>46103</v>
      </c>
      <c r="D2536" t="inlineStr">
        <is>
          <t>KRONOBERGS LÄN</t>
        </is>
      </c>
      <c r="E2536" t="inlineStr">
        <is>
          <t>ALVESTA</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63818-2025</t>
        </is>
      </c>
      <c r="B2537" s="1" t="n">
        <v>46020.35215277778</v>
      </c>
      <c r="C2537" s="1" t="n">
        <v>46103</v>
      </c>
      <c r="D2537" t="inlineStr">
        <is>
          <t>KRONOBERGS LÄN</t>
        </is>
      </c>
      <c r="E2537" t="inlineStr">
        <is>
          <t>ÄLMHULT</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35854-2024</t>
        </is>
      </c>
      <c r="B2538" s="1" t="n">
        <v>45533.27699074074</v>
      </c>
      <c r="C2538" s="1" t="n">
        <v>46103</v>
      </c>
      <c r="D2538" t="inlineStr">
        <is>
          <t>KRONOBERGS LÄN</t>
        </is>
      </c>
      <c r="E2538" t="inlineStr">
        <is>
          <t>TINGSRYD</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7755-2026</t>
        </is>
      </c>
      <c r="B2539" s="1" t="n">
        <v>46062.5503587963</v>
      </c>
      <c r="C2539" s="1" t="n">
        <v>46103</v>
      </c>
      <c r="D2539" t="inlineStr">
        <is>
          <t>KRONOBERGS LÄN</t>
        </is>
      </c>
      <c r="E2539" t="inlineStr">
        <is>
          <t>ALVESTA</t>
        </is>
      </c>
      <c r="G2539" t="n">
        <v>5.8</v>
      </c>
      <c r="H2539" t="n">
        <v>0</v>
      </c>
      <c r="I2539" t="n">
        <v>0</v>
      </c>
      <c r="J2539" t="n">
        <v>0</v>
      </c>
      <c r="K2539" t="n">
        <v>0</v>
      </c>
      <c r="L2539" t="n">
        <v>0</v>
      </c>
      <c r="M2539" t="n">
        <v>0</v>
      </c>
      <c r="N2539" t="n">
        <v>0</v>
      </c>
      <c r="O2539" t="n">
        <v>0</v>
      </c>
      <c r="P2539" t="n">
        <v>0</v>
      </c>
      <c r="Q2539" t="n">
        <v>0</v>
      </c>
      <c r="R2539" s="2" t="inlineStr"/>
    </row>
    <row r="2540" ht="15" customHeight="1">
      <c r="A2540" t="inlineStr">
        <is>
          <t>A 46222-2025</t>
        </is>
      </c>
      <c r="B2540" s="1" t="n">
        <v>45924.87837962963</v>
      </c>
      <c r="C2540" s="1" t="n">
        <v>46103</v>
      </c>
      <c r="D2540" t="inlineStr">
        <is>
          <t>KRONOBERGS LÄN</t>
        </is>
      </c>
      <c r="E2540" t="inlineStr">
        <is>
          <t>LJUNGBY</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28983-2023</t>
        </is>
      </c>
      <c r="B2541" s="1" t="n">
        <v>45104.61909722222</v>
      </c>
      <c r="C2541" s="1" t="n">
        <v>46103</v>
      </c>
      <c r="D2541" t="inlineStr">
        <is>
          <t>KRONOBERGS LÄN</t>
        </is>
      </c>
      <c r="E2541" t="inlineStr">
        <is>
          <t>VÄXJÖ</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42054-2024</t>
        </is>
      </c>
      <c r="B2542" s="1" t="n">
        <v>45561.88243055555</v>
      </c>
      <c r="C2542" s="1" t="n">
        <v>46103</v>
      </c>
      <c r="D2542" t="inlineStr">
        <is>
          <t>KRONOBERGS LÄN</t>
        </is>
      </c>
      <c r="E2542" t="inlineStr">
        <is>
          <t>LJUNGBY</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21262-2024</t>
        </is>
      </c>
      <c r="B2543" s="1" t="n">
        <v>45440.63173611111</v>
      </c>
      <c r="C2543" s="1" t="n">
        <v>46103</v>
      </c>
      <c r="D2543" t="inlineStr">
        <is>
          <t>KRONOBERGS LÄN</t>
        </is>
      </c>
      <c r="E2543" t="inlineStr">
        <is>
          <t>UPPVIDINGE</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46087-2025</t>
        </is>
      </c>
      <c r="B2544" s="1" t="n">
        <v>45924</v>
      </c>
      <c r="C2544" s="1" t="n">
        <v>46103</v>
      </c>
      <c r="D2544" t="inlineStr">
        <is>
          <t>KRONOBERGS LÄN</t>
        </is>
      </c>
      <c r="E2544" t="inlineStr">
        <is>
          <t>TINGSRYD</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6341-2024</t>
        </is>
      </c>
      <c r="B2545" s="1" t="n">
        <v>45338.43309027778</v>
      </c>
      <c r="C2545" s="1" t="n">
        <v>46103</v>
      </c>
      <c r="D2545" t="inlineStr">
        <is>
          <t>KRONOBERGS LÄN</t>
        </is>
      </c>
      <c r="E2545" t="inlineStr">
        <is>
          <t>UPPVIDINGE</t>
        </is>
      </c>
      <c r="F2545" t="inlineStr">
        <is>
          <t>Sveaskog</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6365-2024</t>
        </is>
      </c>
      <c r="B2546" s="1" t="n">
        <v>45338.49630787037</v>
      </c>
      <c r="C2546" s="1" t="n">
        <v>46103</v>
      </c>
      <c r="D2546" t="inlineStr">
        <is>
          <t>KRONOBERGS LÄN</t>
        </is>
      </c>
      <c r="E2546" t="inlineStr">
        <is>
          <t>ALVESTA</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6368-2024</t>
        </is>
      </c>
      <c r="B2547" s="1" t="n">
        <v>45338.50097222222</v>
      </c>
      <c r="C2547" s="1" t="n">
        <v>46103</v>
      </c>
      <c r="D2547" t="inlineStr">
        <is>
          <t>KRONOBERGS LÄN</t>
        </is>
      </c>
      <c r="E2547" t="inlineStr">
        <is>
          <t>ALVESTA</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41302-2023</t>
        </is>
      </c>
      <c r="B2548" s="1" t="n">
        <v>45173</v>
      </c>
      <c r="C2548" s="1" t="n">
        <v>46103</v>
      </c>
      <c r="D2548" t="inlineStr">
        <is>
          <t>KRONOBERGS LÄN</t>
        </is>
      </c>
      <c r="E2548" t="inlineStr">
        <is>
          <t>TINGSRYD</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32835-2025</t>
        </is>
      </c>
      <c r="B2549" s="1" t="n">
        <v>45839</v>
      </c>
      <c r="C2549" s="1" t="n">
        <v>46103</v>
      </c>
      <c r="D2549" t="inlineStr">
        <is>
          <t>KRONOBERGS LÄN</t>
        </is>
      </c>
      <c r="E2549" t="inlineStr">
        <is>
          <t>UPPVIDINGE</t>
        </is>
      </c>
      <c r="G2549" t="n">
        <v>3.2</v>
      </c>
      <c r="H2549" t="n">
        <v>0</v>
      </c>
      <c r="I2549" t="n">
        <v>0</v>
      </c>
      <c r="J2549" t="n">
        <v>0</v>
      </c>
      <c r="K2549" t="n">
        <v>0</v>
      </c>
      <c r="L2549" t="n">
        <v>0</v>
      </c>
      <c r="M2549" t="n">
        <v>0</v>
      </c>
      <c r="N2549" t="n">
        <v>0</v>
      </c>
      <c r="O2549" t="n">
        <v>0</v>
      </c>
      <c r="P2549" t="n">
        <v>0</v>
      </c>
      <c r="Q2549" t="n">
        <v>0</v>
      </c>
      <c r="R2549" s="2" t="inlineStr"/>
      <c r="U2549">
        <f>HYPERLINK("https://klasma.github.io/Logging_0760/knärot/A 32835-2025 karta knärot.png", "A 32835-2025")</f>
        <v/>
      </c>
      <c r="V2549">
        <f>HYPERLINK("https://klasma.github.io/Logging_0760/klagomål/A 32835-2025 FSC-klagomål.docx", "A 32835-2025")</f>
        <v/>
      </c>
      <c r="W2549">
        <f>HYPERLINK("https://klasma.github.io/Logging_0760/klagomålsmail/A 32835-2025 FSC-klagomål mail.docx", "A 32835-2025")</f>
        <v/>
      </c>
      <c r="X2549">
        <f>HYPERLINK("https://klasma.github.io/Logging_0760/tillsyn/A 32835-2025 tillsynsbegäran.docx", "A 32835-2025")</f>
        <v/>
      </c>
      <c r="Y2549">
        <f>HYPERLINK("https://klasma.github.io/Logging_0760/tillsynsmail/A 32835-2025 tillsynsbegäran mail.docx", "A 32835-2025")</f>
        <v/>
      </c>
    </row>
    <row r="2550" ht="15" customHeight="1">
      <c r="A2550" t="inlineStr">
        <is>
          <t>A 116-2026</t>
        </is>
      </c>
      <c r="B2550" s="1" t="n">
        <v>46019</v>
      </c>
      <c r="C2550" s="1" t="n">
        <v>46103</v>
      </c>
      <c r="D2550" t="inlineStr">
        <is>
          <t>KRONOBERGS LÄN</t>
        </is>
      </c>
      <c r="E2550" t="inlineStr">
        <is>
          <t>VÄXJÖ</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46553-2025</t>
        </is>
      </c>
      <c r="B2551" s="1" t="n">
        <v>45926.34652777778</v>
      </c>
      <c r="C2551" s="1" t="n">
        <v>46103</v>
      </c>
      <c r="D2551" t="inlineStr">
        <is>
          <t>KRONOBERGS LÄN</t>
        </is>
      </c>
      <c r="E2551" t="inlineStr">
        <is>
          <t>UPPVIDINGE</t>
        </is>
      </c>
      <c r="G2551" t="n">
        <v>7.2</v>
      </c>
      <c r="H2551" t="n">
        <v>0</v>
      </c>
      <c r="I2551" t="n">
        <v>0</v>
      </c>
      <c r="J2551" t="n">
        <v>0</v>
      </c>
      <c r="K2551" t="n">
        <v>0</v>
      </c>
      <c r="L2551" t="n">
        <v>0</v>
      </c>
      <c r="M2551" t="n">
        <v>0</v>
      </c>
      <c r="N2551" t="n">
        <v>0</v>
      </c>
      <c r="O2551" t="n">
        <v>0</v>
      </c>
      <c r="P2551" t="n">
        <v>0</v>
      </c>
      <c r="Q2551" t="n">
        <v>0</v>
      </c>
      <c r="R2551" s="2" t="inlineStr"/>
    </row>
    <row r="2552" ht="15" customHeight="1">
      <c r="A2552" t="inlineStr">
        <is>
          <t>A 63444-2023</t>
        </is>
      </c>
      <c r="B2552" s="1" t="n">
        <v>45274.60413194444</v>
      </c>
      <c r="C2552" s="1" t="n">
        <v>46103</v>
      </c>
      <c r="D2552" t="inlineStr">
        <is>
          <t>KRONOBERGS LÄN</t>
        </is>
      </c>
      <c r="E2552" t="inlineStr">
        <is>
          <t>TINGSRYD</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7832-2026</t>
        </is>
      </c>
      <c r="B2553" s="1" t="n">
        <v>46062.6469212963</v>
      </c>
      <c r="C2553" s="1" t="n">
        <v>46103</v>
      </c>
      <c r="D2553" t="inlineStr">
        <is>
          <t>KRONOBERGS LÄN</t>
        </is>
      </c>
      <c r="E2553" t="inlineStr">
        <is>
          <t>MARKARYD</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5265-2025</t>
        </is>
      </c>
      <c r="B2554" s="1" t="n">
        <v>45692.37760416666</v>
      </c>
      <c r="C2554" s="1" t="n">
        <v>46103</v>
      </c>
      <c r="D2554" t="inlineStr">
        <is>
          <t>KRONOBERGS LÄN</t>
        </is>
      </c>
      <c r="E2554" t="inlineStr">
        <is>
          <t>TINGSRYD</t>
        </is>
      </c>
      <c r="G2554" t="n">
        <v>4.7</v>
      </c>
      <c r="H2554" t="n">
        <v>0</v>
      </c>
      <c r="I2554" t="n">
        <v>0</v>
      </c>
      <c r="J2554" t="n">
        <v>0</v>
      </c>
      <c r="K2554" t="n">
        <v>0</v>
      </c>
      <c r="L2554" t="n">
        <v>0</v>
      </c>
      <c r="M2554" t="n">
        <v>0</v>
      </c>
      <c r="N2554" t="n">
        <v>0</v>
      </c>
      <c r="O2554" t="n">
        <v>0</v>
      </c>
      <c r="P2554" t="n">
        <v>0</v>
      </c>
      <c r="Q2554" t="n">
        <v>0</v>
      </c>
      <c r="R2554" s="2" t="inlineStr"/>
    </row>
    <row r="2555" ht="15" customHeight="1">
      <c r="A2555" t="inlineStr">
        <is>
          <t>A 8069-2026</t>
        </is>
      </c>
      <c r="B2555" s="1" t="n">
        <v>46063.6409375</v>
      </c>
      <c r="C2555" s="1" t="n">
        <v>46103</v>
      </c>
      <c r="D2555" t="inlineStr">
        <is>
          <t>KRONOBERGS LÄN</t>
        </is>
      </c>
      <c r="E2555" t="inlineStr">
        <is>
          <t>ÄLMHULT</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7342-2024</t>
        </is>
      </c>
      <c r="B2556" s="1" t="n">
        <v>45345.45221064815</v>
      </c>
      <c r="C2556" s="1" t="n">
        <v>46103</v>
      </c>
      <c r="D2556" t="inlineStr">
        <is>
          <t>KRONOBERGS LÄN</t>
        </is>
      </c>
      <c r="E2556" t="inlineStr">
        <is>
          <t>ALVESTA</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8101-2026</t>
        </is>
      </c>
      <c r="B2557" s="1" t="n">
        <v>46063.72636574074</v>
      </c>
      <c r="C2557" s="1" t="n">
        <v>46103</v>
      </c>
      <c r="D2557" t="inlineStr">
        <is>
          <t>KRONOBERGS LÄN</t>
        </is>
      </c>
      <c r="E2557" t="inlineStr">
        <is>
          <t>TINGSRYD</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8102-2026</t>
        </is>
      </c>
      <c r="B2558" s="1" t="n">
        <v>46063.73157407407</v>
      </c>
      <c r="C2558" s="1" t="n">
        <v>46103</v>
      </c>
      <c r="D2558" t="inlineStr">
        <is>
          <t>KRONOBERGS LÄN</t>
        </is>
      </c>
      <c r="E2558" t="inlineStr">
        <is>
          <t>ÄLMHULT</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8107-2026</t>
        </is>
      </c>
      <c r="B2559" s="1" t="n">
        <v>46063.74853009259</v>
      </c>
      <c r="C2559" s="1" t="n">
        <v>46103</v>
      </c>
      <c r="D2559" t="inlineStr">
        <is>
          <t>KRONOBERGS LÄN</t>
        </is>
      </c>
      <c r="E2559" t="inlineStr">
        <is>
          <t>TINGSRYD</t>
        </is>
      </c>
      <c r="G2559" t="n">
        <v>6.5</v>
      </c>
      <c r="H2559" t="n">
        <v>0</v>
      </c>
      <c r="I2559" t="n">
        <v>0</v>
      </c>
      <c r="J2559" t="n">
        <v>0</v>
      </c>
      <c r="K2559" t="n">
        <v>0</v>
      </c>
      <c r="L2559" t="n">
        <v>0</v>
      </c>
      <c r="M2559" t="n">
        <v>0</v>
      </c>
      <c r="N2559" t="n">
        <v>0</v>
      </c>
      <c r="O2559" t="n">
        <v>0</v>
      </c>
      <c r="P2559" t="n">
        <v>0</v>
      </c>
      <c r="Q2559" t="n">
        <v>0</v>
      </c>
      <c r="R2559" s="2" t="inlineStr"/>
    </row>
    <row r="2560" ht="15" customHeight="1">
      <c r="A2560" t="inlineStr">
        <is>
          <t>A 55382-2024</t>
        </is>
      </c>
      <c r="B2560" s="1" t="n">
        <v>45622</v>
      </c>
      <c r="C2560" s="1" t="n">
        <v>46103</v>
      </c>
      <c r="D2560" t="inlineStr">
        <is>
          <t>KRONOBERGS LÄN</t>
        </is>
      </c>
      <c r="E2560" t="inlineStr">
        <is>
          <t>UPPVIDINGE</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23909-2023</t>
        </is>
      </c>
      <c r="B2561" s="1" t="n">
        <v>45078.55971064815</v>
      </c>
      <c r="C2561" s="1" t="n">
        <v>46103</v>
      </c>
      <c r="D2561" t="inlineStr">
        <is>
          <t>KRONOBERGS LÄN</t>
        </is>
      </c>
      <c r="E2561" t="inlineStr">
        <is>
          <t>ALVESTA</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8039-2026</t>
        </is>
      </c>
      <c r="B2562" s="1" t="n">
        <v>46063.59994212963</v>
      </c>
      <c r="C2562" s="1" t="n">
        <v>46103</v>
      </c>
      <c r="D2562" t="inlineStr">
        <is>
          <t>KRONOBERGS LÄN</t>
        </is>
      </c>
      <c r="E2562" t="inlineStr">
        <is>
          <t>TINGSRYD</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33222-2024</t>
        </is>
      </c>
      <c r="B2563" s="1" t="n">
        <v>45518.55765046296</v>
      </c>
      <c r="C2563" s="1" t="n">
        <v>46103</v>
      </c>
      <c r="D2563" t="inlineStr">
        <is>
          <t>KRONOBERGS LÄN</t>
        </is>
      </c>
      <c r="E2563" t="inlineStr">
        <is>
          <t>ALVESTA</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54410-2024</t>
        </is>
      </c>
      <c r="B2564" s="1" t="n">
        <v>45617</v>
      </c>
      <c r="C2564" s="1" t="n">
        <v>46103</v>
      </c>
      <c r="D2564" t="inlineStr">
        <is>
          <t>KRONOBERGS LÄN</t>
        </is>
      </c>
      <c r="E2564" t="inlineStr">
        <is>
          <t>VÄXJÖ</t>
        </is>
      </c>
      <c r="F2564" t="inlineStr">
        <is>
          <t>Kommuner</t>
        </is>
      </c>
      <c r="G2564" t="n">
        <v>7.2</v>
      </c>
      <c r="H2564" t="n">
        <v>0</v>
      </c>
      <c r="I2564" t="n">
        <v>0</v>
      </c>
      <c r="J2564" t="n">
        <v>0</v>
      </c>
      <c r="K2564" t="n">
        <v>0</v>
      </c>
      <c r="L2564" t="n">
        <v>0</v>
      </c>
      <c r="M2564" t="n">
        <v>0</v>
      </c>
      <c r="N2564" t="n">
        <v>0</v>
      </c>
      <c r="O2564" t="n">
        <v>0</v>
      </c>
      <c r="P2564" t="n">
        <v>0</v>
      </c>
      <c r="Q2564" t="n">
        <v>0</v>
      </c>
      <c r="R2564" s="2" t="inlineStr"/>
    </row>
    <row r="2565" ht="15" customHeight="1">
      <c r="A2565" t="inlineStr">
        <is>
          <t>A 19501-2022</t>
        </is>
      </c>
      <c r="B2565" s="1" t="n">
        <v>44693.50209490741</v>
      </c>
      <c r="C2565" s="1" t="n">
        <v>46103</v>
      </c>
      <c r="D2565" t="inlineStr">
        <is>
          <t>KRONOBERGS LÄN</t>
        </is>
      </c>
      <c r="E2565" t="inlineStr">
        <is>
          <t>LESSEBO</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7993-2026</t>
        </is>
      </c>
      <c r="B2566" s="1" t="n">
        <v>46063.49953703704</v>
      </c>
      <c r="C2566" s="1" t="n">
        <v>46103</v>
      </c>
      <c r="D2566" t="inlineStr">
        <is>
          <t>KRONOBERGS LÄN</t>
        </is>
      </c>
      <c r="E2566" t="inlineStr">
        <is>
          <t>ALVESTA</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8046-2026</t>
        </is>
      </c>
      <c r="B2567" s="1" t="n">
        <v>46063.60928240741</v>
      </c>
      <c r="C2567" s="1" t="n">
        <v>46103</v>
      </c>
      <c r="D2567" t="inlineStr">
        <is>
          <t>KRONOBERGS LÄN</t>
        </is>
      </c>
      <c r="E2567" t="inlineStr">
        <is>
          <t>LJUNGBY</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7726-2026</t>
        </is>
      </c>
      <c r="B2568" s="1" t="n">
        <v>46062.50005787037</v>
      </c>
      <c r="C2568" s="1" t="n">
        <v>46103</v>
      </c>
      <c r="D2568" t="inlineStr">
        <is>
          <t>KRONOBERGS LÄN</t>
        </is>
      </c>
      <c r="E2568" t="inlineStr">
        <is>
          <t>ÄLMHULT</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46616-2025</t>
        </is>
      </c>
      <c r="B2569" s="1" t="n">
        <v>45926.43168981482</v>
      </c>
      <c r="C2569" s="1" t="n">
        <v>46103</v>
      </c>
      <c r="D2569" t="inlineStr">
        <is>
          <t>KRONOBERGS LÄN</t>
        </is>
      </c>
      <c r="E2569" t="inlineStr">
        <is>
          <t>TINGSRYD</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46628-2025</t>
        </is>
      </c>
      <c r="B2570" s="1" t="n">
        <v>45926.45256944445</v>
      </c>
      <c r="C2570" s="1" t="n">
        <v>46103</v>
      </c>
      <c r="D2570" t="inlineStr">
        <is>
          <t>KRONOBERGS LÄN</t>
        </is>
      </c>
      <c r="E2570" t="inlineStr">
        <is>
          <t>VÄXJÖ</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8345-2026</t>
        </is>
      </c>
      <c r="B2571" s="1" t="n">
        <v>46064.63957175926</v>
      </c>
      <c r="C2571" s="1" t="n">
        <v>46103</v>
      </c>
      <c r="D2571" t="inlineStr">
        <is>
          <t>KRONOBERGS LÄN</t>
        </is>
      </c>
      <c r="E2571" t="inlineStr">
        <is>
          <t>ALVESTA</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1470-2024</t>
        </is>
      </c>
      <c r="B2572" s="1" t="n">
        <v>45304.56362268519</v>
      </c>
      <c r="C2572" s="1" t="n">
        <v>46103</v>
      </c>
      <c r="D2572" t="inlineStr">
        <is>
          <t>KRONOBERGS LÄN</t>
        </is>
      </c>
      <c r="E2572" t="inlineStr">
        <is>
          <t>VÄXJÖ</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1479-2024</t>
        </is>
      </c>
      <c r="B2573" s="1" t="n">
        <v>45305.57791666667</v>
      </c>
      <c r="C2573" s="1" t="n">
        <v>46103</v>
      </c>
      <c r="D2573" t="inlineStr">
        <is>
          <t>KRONOBERGS LÄN</t>
        </is>
      </c>
      <c r="E2573" t="inlineStr">
        <is>
          <t>LJUNGBY</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44860-2023</t>
        </is>
      </c>
      <c r="B2574" s="1" t="n">
        <v>45190</v>
      </c>
      <c r="C2574" s="1" t="n">
        <v>46103</v>
      </c>
      <c r="D2574" t="inlineStr">
        <is>
          <t>KRONOBERGS LÄN</t>
        </is>
      </c>
      <c r="E2574" t="inlineStr">
        <is>
          <t>VÄXJÖ</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46728-2025</t>
        </is>
      </c>
      <c r="B2575" s="1" t="n">
        <v>45926.59025462963</v>
      </c>
      <c r="C2575" s="1" t="n">
        <v>46103</v>
      </c>
      <c r="D2575" t="inlineStr">
        <is>
          <t>KRONOBERGS LÄN</t>
        </is>
      </c>
      <c r="E2575" t="inlineStr">
        <is>
          <t>TINGSRYD</t>
        </is>
      </c>
      <c r="G2575" t="n">
        <v>5.5</v>
      </c>
      <c r="H2575" t="n">
        <v>0</v>
      </c>
      <c r="I2575" t="n">
        <v>0</v>
      </c>
      <c r="J2575" t="n">
        <v>0</v>
      </c>
      <c r="K2575" t="n">
        <v>0</v>
      </c>
      <c r="L2575" t="n">
        <v>0</v>
      </c>
      <c r="M2575" t="n">
        <v>0</v>
      </c>
      <c r="N2575" t="n">
        <v>0</v>
      </c>
      <c r="O2575" t="n">
        <v>0</v>
      </c>
      <c r="P2575" t="n">
        <v>0</v>
      </c>
      <c r="Q2575" t="n">
        <v>0</v>
      </c>
      <c r="R2575" s="2" t="inlineStr"/>
    </row>
    <row r="2576" ht="15" customHeight="1">
      <c r="A2576" t="inlineStr">
        <is>
          <t>A 10283-2025</t>
        </is>
      </c>
      <c r="B2576" s="1" t="n">
        <v>45720.40681712963</v>
      </c>
      <c r="C2576" s="1" t="n">
        <v>46103</v>
      </c>
      <c r="D2576" t="inlineStr">
        <is>
          <t>KRONOBERGS LÄN</t>
        </is>
      </c>
      <c r="E2576" t="inlineStr">
        <is>
          <t>UPPVIDINGE</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46499-2025</t>
        </is>
      </c>
      <c r="B2577" s="1" t="n">
        <v>45925.85697916667</v>
      </c>
      <c r="C2577" s="1" t="n">
        <v>46103</v>
      </c>
      <c r="D2577" t="inlineStr">
        <is>
          <t>KRONOBERGS LÄN</t>
        </is>
      </c>
      <c r="E2577" t="inlineStr">
        <is>
          <t>LJUNGBY</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46501-2025</t>
        </is>
      </c>
      <c r="B2578" s="1" t="n">
        <v>45925.86418981481</v>
      </c>
      <c r="C2578" s="1" t="n">
        <v>46103</v>
      </c>
      <c r="D2578" t="inlineStr">
        <is>
          <t>KRONOBERGS LÄN</t>
        </is>
      </c>
      <c r="E2578" t="inlineStr">
        <is>
          <t>LJUNGBY</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46513-2025</t>
        </is>
      </c>
      <c r="B2579" s="1" t="n">
        <v>45926.28380787037</v>
      </c>
      <c r="C2579" s="1" t="n">
        <v>46103</v>
      </c>
      <c r="D2579" t="inlineStr">
        <is>
          <t>KRONOBERGS LÄN</t>
        </is>
      </c>
      <c r="E2579" t="inlineStr">
        <is>
          <t>ALVESTA</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46515-2025</t>
        </is>
      </c>
      <c r="B2580" s="1" t="n">
        <v>45926.28853009259</v>
      </c>
      <c r="C2580" s="1" t="n">
        <v>46103</v>
      </c>
      <c r="D2580" t="inlineStr">
        <is>
          <t>KRONOBERGS LÄN</t>
        </is>
      </c>
      <c r="E2580" t="inlineStr">
        <is>
          <t>ALVESTA</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42931-2024</t>
        </is>
      </c>
      <c r="B2581" s="1" t="n">
        <v>45567.33017361111</v>
      </c>
      <c r="C2581" s="1" t="n">
        <v>46103</v>
      </c>
      <c r="D2581" t="inlineStr">
        <is>
          <t>KRONOBERGS LÄN</t>
        </is>
      </c>
      <c r="E2581" t="inlineStr">
        <is>
          <t>LJUNGBY</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8473-2026</t>
        </is>
      </c>
      <c r="B2582" s="1" t="n">
        <v>46065.45155092593</v>
      </c>
      <c r="C2582" s="1" t="n">
        <v>46103</v>
      </c>
      <c r="D2582" t="inlineStr">
        <is>
          <t>KRONOBERGS LÄN</t>
        </is>
      </c>
      <c r="E2582" t="inlineStr">
        <is>
          <t>UPPVIDINGE</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38427-2023</t>
        </is>
      </c>
      <c r="B2583" s="1" t="n">
        <v>45162</v>
      </c>
      <c r="C2583" s="1" t="n">
        <v>46103</v>
      </c>
      <c r="D2583" t="inlineStr">
        <is>
          <t>KRONOBERGS LÄN</t>
        </is>
      </c>
      <c r="E2583" t="inlineStr">
        <is>
          <t>LJUNGBY</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8438-2026</t>
        </is>
      </c>
      <c r="B2584" s="1" t="n">
        <v>46065.39539351852</v>
      </c>
      <c r="C2584" s="1" t="n">
        <v>46103</v>
      </c>
      <c r="D2584" t="inlineStr">
        <is>
          <t>KRONOBERGS LÄN</t>
        </is>
      </c>
      <c r="E2584" t="inlineStr">
        <is>
          <t>LESSEBO</t>
        </is>
      </c>
      <c r="F2584" t="inlineStr">
        <is>
          <t>Sveaskog</t>
        </is>
      </c>
      <c r="G2584" t="n">
        <v>4.5</v>
      </c>
      <c r="H2584" t="n">
        <v>0</v>
      </c>
      <c r="I2584" t="n">
        <v>0</v>
      </c>
      <c r="J2584" t="n">
        <v>0</v>
      </c>
      <c r="K2584" t="n">
        <v>0</v>
      </c>
      <c r="L2584" t="n">
        <v>0</v>
      </c>
      <c r="M2584" t="n">
        <v>0</v>
      </c>
      <c r="N2584" t="n">
        <v>0</v>
      </c>
      <c r="O2584" t="n">
        <v>0</v>
      </c>
      <c r="P2584" t="n">
        <v>0</v>
      </c>
      <c r="Q2584" t="n">
        <v>0</v>
      </c>
      <c r="R2584" s="2" t="inlineStr"/>
    </row>
    <row r="2585" ht="15" customHeight="1">
      <c r="A2585" t="inlineStr">
        <is>
          <t>A 25242-2024</t>
        </is>
      </c>
      <c r="B2585" s="1" t="n">
        <v>45462.60291666666</v>
      </c>
      <c r="C2585" s="1" t="n">
        <v>46103</v>
      </c>
      <c r="D2585" t="inlineStr">
        <is>
          <t>KRONOBERGS LÄN</t>
        </is>
      </c>
      <c r="E2585" t="inlineStr">
        <is>
          <t>ÄLMHULT</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25261-2024</t>
        </is>
      </c>
      <c r="B2586" s="1" t="n">
        <v>45462</v>
      </c>
      <c r="C2586" s="1" t="n">
        <v>46103</v>
      </c>
      <c r="D2586" t="inlineStr">
        <is>
          <t>KRONOBERGS LÄN</t>
        </is>
      </c>
      <c r="E2586" t="inlineStr">
        <is>
          <t>ALVESTA</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46500-2025</t>
        </is>
      </c>
      <c r="B2587" s="1" t="n">
        <v>45925.85975694445</v>
      </c>
      <c r="C2587" s="1" t="n">
        <v>46103</v>
      </c>
      <c r="D2587" t="inlineStr">
        <is>
          <t>KRONOBERGS LÄN</t>
        </is>
      </c>
      <c r="E2587" t="inlineStr">
        <is>
          <t>LJUNGBY</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46502-2025</t>
        </is>
      </c>
      <c r="B2588" s="1" t="n">
        <v>45925.86666666667</v>
      </c>
      <c r="C2588" s="1" t="n">
        <v>46103</v>
      </c>
      <c r="D2588" t="inlineStr">
        <is>
          <t>KRONOBERGS LÄN</t>
        </is>
      </c>
      <c r="E2588" t="inlineStr">
        <is>
          <t>LJUNGBY</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46509-2025</t>
        </is>
      </c>
      <c r="B2589" s="1" t="n">
        <v>45925.91809027778</v>
      </c>
      <c r="C2589" s="1" t="n">
        <v>46103</v>
      </c>
      <c r="D2589" t="inlineStr">
        <is>
          <t>KRONOBERGS LÄN</t>
        </is>
      </c>
      <c r="E2589" t="inlineStr">
        <is>
          <t>LJUNGBY</t>
        </is>
      </c>
      <c r="G2589" t="n">
        <v>4.1</v>
      </c>
      <c r="H2589" t="n">
        <v>0</v>
      </c>
      <c r="I2589" t="n">
        <v>0</v>
      </c>
      <c r="J2589" t="n">
        <v>0</v>
      </c>
      <c r="K2589" t="n">
        <v>0</v>
      </c>
      <c r="L2589" t="n">
        <v>0</v>
      </c>
      <c r="M2589" t="n">
        <v>0</v>
      </c>
      <c r="N2589" t="n">
        <v>0</v>
      </c>
      <c r="O2589" t="n">
        <v>0</v>
      </c>
      <c r="P2589" t="n">
        <v>0</v>
      </c>
      <c r="Q2589" t="n">
        <v>0</v>
      </c>
      <c r="R2589" s="2" t="inlineStr"/>
    </row>
    <row r="2590" ht="15" customHeight="1">
      <c r="A2590" t="inlineStr">
        <is>
          <t>A 62559-2022</t>
        </is>
      </c>
      <c r="B2590" s="1" t="n">
        <v>44924.77766203704</v>
      </c>
      <c r="C2590" s="1" t="n">
        <v>46103</v>
      </c>
      <c r="D2590" t="inlineStr">
        <is>
          <t>KRONOBERGS LÄN</t>
        </is>
      </c>
      <c r="E2590" t="inlineStr">
        <is>
          <t>UPPVIDINGE</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46555-2025</t>
        </is>
      </c>
      <c r="B2591" s="1" t="n">
        <v>45926.31744212963</v>
      </c>
      <c r="C2591" s="1" t="n">
        <v>46103</v>
      </c>
      <c r="D2591" t="inlineStr">
        <is>
          <t>KRONOBERGS LÄN</t>
        </is>
      </c>
      <c r="E2591" t="inlineStr">
        <is>
          <t>ALVESTA</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29516-2022</t>
        </is>
      </c>
      <c r="B2592" s="1" t="n">
        <v>44753.66082175926</v>
      </c>
      <c r="C2592" s="1" t="n">
        <v>46103</v>
      </c>
      <c r="D2592" t="inlineStr">
        <is>
          <t>KRONOBERGS LÄN</t>
        </is>
      </c>
      <c r="E2592" t="inlineStr">
        <is>
          <t>TINGSRYD</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14396-2024</t>
        </is>
      </c>
      <c r="B2593" s="1" t="n">
        <v>45394.33746527778</v>
      </c>
      <c r="C2593" s="1" t="n">
        <v>46103</v>
      </c>
      <c r="D2593" t="inlineStr">
        <is>
          <t>KRONOBERGS LÄN</t>
        </is>
      </c>
      <c r="E2593" t="inlineStr">
        <is>
          <t>TINGSRYD</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43846-2023</t>
        </is>
      </c>
      <c r="B2594" s="1" t="n">
        <v>45187.60013888889</v>
      </c>
      <c r="C2594" s="1" t="n">
        <v>46103</v>
      </c>
      <c r="D2594" t="inlineStr">
        <is>
          <t>KRONOBERGS LÄN</t>
        </is>
      </c>
      <c r="E2594" t="inlineStr">
        <is>
          <t>ÄLMHULT</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8336-2026</t>
        </is>
      </c>
      <c r="B2595" s="1" t="n">
        <v>46064.63122685185</v>
      </c>
      <c r="C2595" s="1" t="n">
        <v>46103</v>
      </c>
      <c r="D2595" t="inlineStr">
        <is>
          <t>KRONOBERGS LÄN</t>
        </is>
      </c>
      <c r="E2595" t="inlineStr">
        <is>
          <t>ALVESTA</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47002-2025</t>
        </is>
      </c>
      <c r="B2596" s="1" t="n">
        <v>45929.5547337963</v>
      </c>
      <c r="C2596" s="1" t="n">
        <v>46103</v>
      </c>
      <c r="D2596" t="inlineStr">
        <is>
          <t>KRONOBERGS LÄN</t>
        </is>
      </c>
      <c r="E2596" t="inlineStr">
        <is>
          <t>ÄLMHULT</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41168-2023</t>
        </is>
      </c>
      <c r="B2597" s="1" t="n">
        <v>45174.34193287037</v>
      </c>
      <c r="C2597" s="1" t="n">
        <v>46103</v>
      </c>
      <c r="D2597" t="inlineStr">
        <is>
          <t>KRONOBERGS LÄN</t>
        </is>
      </c>
      <c r="E2597" t="inlineStr">
        <is>
          <t>UPPVIDINGE</t>
        </is>
      </c>
      <c r="G2597" t="n">
        <v>6.7</v>
      </c>
      <c r="H2597" t="n">
        <v>0</v>
      </c>
      <c r="I2597" t="n">
        <v>0</v>
      </c>
      <c r="J2597" t="n">
        <v>0</v>
      </c>
      <c r="K2597" t="n">
        <v>0</v>
      </c>
      <c r="L2597" t="n">
        <v>0</v>
      </c>
      <c r="M2597" t="n">
        <v>0</v>
      </c>
      <c r="N2597" t="n">
        <v>0</v>
      </c>
      <c r="O2597" t="n">
        <v>0</v>
      </c>
      <c r="P2597" t="n">
        <v>0</v>
      </c>
      <c r="Q2597" t="n">
        <v>0</v>
      </c>
      <c r="R2597" s="2" t="inlineStr"/>
    </row>
    <row r="2598" ht="15" customHeight="1">
      <c r="A2598" t="inlineStr">
        <is>
          <t>A 47019-2025</t>
        </is>
      </c>
      <c r="B2598" s="1" t="n">
        <v>45929.57574074074</v>
      </c>
      <c r="C2598" s="1" t="n">
        <v>46103</v>
      </c>
      <c r="D2598" t="inlineStr">
        <is>
          <t>KRONOBERGS LÄN</t>
        </is>
      </c>
      <c r="E2598" t="inlineStr">
        <is>
          <t>LJUNGBY</t>
        </is>
      </c>
      <c r="G2598" t="n">
        <v>10</v>
      </c>
      <c r="H2598" t="n">
        <v>0</v>
      </c>
      <c r="I2598" t="n">
        <v>0</v>
      </c>
      <c r="J2598" t="n">
        <v>0</v>
      </c>
      <c r="K2598" t="n">
        <v>0</v>
      </c>
      <c r="L2598" t="n">
        <v>0</v>
      </c>
      <c r="M2598" t="n">
        <v>0</v>
      </c>
      <c r="N2598" t="n">
        <v>0</v>
      </c>
      <c r="O2598" t="n">
        <v>0</v>
      </c>
      <c r="P2598" t="n">
        <v>0</v>
      </c>
      <c r="Q2598" t="n">
        <v>0</v>
      </c>
      <c r="R2598" s="2" t="inlineStr"/>
    </row>
    <row r="2599" ht="15" customHeight="1">
      <c r="A2599" t="inlineStr">
        <is>
          <t>A 8071-2026</t>
        </is>
      </c>
      <c r="B2599" s="1" t="n">
        <v>46063</v>
      </c>
      <c r="C2599" s="1" t="n">
        <v>46103</v>
      </c>
      <c r="D2599" t="inlineStr">
        <is>
          <t>KRONOBERGS LÄN</t>
        </is>
      </c>
      <c r="E2599" t="inlineStr">
        <is>
          <t>LJUNGBY</t>
        </is>
      </c>
      <c r="G2599" t="n">
        <v>4.9</v>
      </c>
      <c r="H2599" t="n">
        <v>0</v>
      </c>
      <c r="I2599" t="n">
        <v>0</v>
      </c>
      <c r="J2599" t="n">
        <v>0</v>
      </c>
      <c r="K2599" t="n">
        <v>0</v>
      </c>
      <c r="L2599" t="n">
        <v>0</v>
      </c>
      <c r="M2599" t="n">
        <v>0</v>
      </c>
      <c r="N2599" t="n">
        <v>0</v>
      </c>
      <c r="O2599" t="n">
        <v>0</v>
      </c>
      <c r="P2599" t="n">
        <v>0</v>
      </c>
      <c r="Q2599" t="n">
        <v>0</v>
      </c>
      <c r="R2599" s="2" t="inlineStr"/>
    </row>
    <row r="2600" ht="15" customHeight="1">
      <c r="A2600" t="inlineStr">
        <is>
          <t>A 46554-2025</t>
        </is>
      </c>
      <c r="B2600" s="1" t="n">
        <v>45926.34913194444</v>
      </c>
      <c r="C2600" s="1" t="n">
        <v>46103</v>
      </c>
      <c r="D2600" t="inlineStr">
        <is>
          <t>KRONOBERGS LÄN</t>
        </is>
      </c>
      <c r="E2600" t="inlineStr">
        <is>
          <t>UPPVIDINGE</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46558-2025</t>
        </is>
      </c>
      <c r="B2601" s="1" t="n">
        <v>45926.32541666667</v>
      </c>
      <c r="C2601" s="1" t="n">
        <v>46103</v>
      </c>
      <c r="D2601" t="inlineStr">
        <is>
          <t>KRONOBERGS LÄN</t>
        </is>
      </c>
      <c r="E2601" t="inlineStr">
        <is>
          <t>TINGSRYD</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47110-2025</t>
        </is>
      </c>
      <c r="B2602" s="1" t="n">
        <v>45929.66826388889</v>
      </c>
      <c r="C2602" s="1" t="n">
        <v>46103</v>
      </c>
      <c r="D2602" t="inlineStr">
        <is>
          <t>KRONOBERGS LÄN</t>
        </is>
      </c>
      <c r="E2602" t="inlineStr">
        <is>
          <t>ALVESTA</t>
        </is>
      </c>
      <c r="F2602" t="inlineStr">
        <is>
          <t>Kommuner</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58559-2024</t>
        </is>
      </c>
      <c r="B2603" s="1" t="n">
        <v>45635.46958333333</v>
      </c>
      <c r="C2603" s="1" t="n">
        <v>46103</v>
      </c>
      <c r="D2603" t="inlineStr">
        <is>
          <t>KRONOBERGS LÄN</t>
        </is>
      </c>
      <c r="E2603" t="inlineStr">
        <is>
          <t>TINGSRYD</t>
        </is>
      </c>
      <c r="F2603" t="inlineStr">
        <is>
          <t>Övriga Aktiebolag</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5135-2023</t>
        </is>
      </c>
      <c r="B2604" s="1" t="n">
        <v>44958.84677083333</v>
      </c>
      <c r="C2604" s="1" t="n">
        <v>46103</v>
      </c>
      <c r="D2604" t="inlineStr">
        <is>
          <t>KRONOBERGS LÄN</t>
        </is>
      </c>
      <c r="E2604" t="inlineStr">
        <is>
          <t>ÄLMHULT</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46602-2025</t>
        </is>
      </c>
      <c r="B2605" s="1" t="n">
        <v>45926.40893518519</v>
      </c>
      <c r="C2605" s="1" t="n">
        <v>46103</v>
      </c>
      <c r="D2605" t="inlineStr">
        <is>
          <t>KRONOBERGS LÄN</t>
        </is>
      </c>
      <c r="E2605" t="inlineStr">
        <is>
          <t>UPPVIDINGE</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64193-2023</t>
        </is>
      </c>
      <c r="B2606" s="1" t="n">
        <v>45279.67762731481</v>
      </c>
      <c r="C2606" s="1" t="n">
        <v>46103</v>
      </c>
      <c r="D2606" t="inlineStr">
        <is>
          <t>KRONOBERGS LÄN</t>
        </is>
      </c>
      <c r="E2606" t="inlineStr">
        <is>
          <t>VÄXJÖ</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8340-2026</t>
        </is>
      </c>
      <c r="B2607" s="1" t="n">
        <v>46064.63515046296</v>
      </c>
      <c r="C2607" s="1" t="n">
        <v>46103</v>
      </c>
      <c r="D2607" t="inlineStr">
        <is>
          <t>KRONOBERGS LÄN</t>
        </is>
      </c>
      <c r="E2607" t="inlineStr">
        <is>
          <t>ALVESTA</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16536-2023</t>
        </is>
      </c>
      <c r="B2608" s="1" t="n">
        <v>45029.70599537037</v>
      </c>
      <c r="C2608" s="1" t="n">
        <v>46103</v>
      </c>
      <c r="D2608" t="inlineStr">
        <is>
          <t>KRONOBERGS LÄN</t>
        </is>
      </c>
      <c r="E2608" t="inlineStr">
        <is>
          <t>TINGSRYD</t>
        </is>
      </c>
      <c r="G2608" t="n">
        <v>0.2</v>
      </c>
      <c r="H2608" t="n">
        <v>0</v>
      </c>
      <c r="I2608" t="n">
        <v>0</v>
      </c>
      <c r="J2608" t="n">
        <v>0</v>
      </c>
      <c r="K2608" t="n">
        <v>0</v>
      </c>
      <c r="L2608" t="n">
        <v>0</v>
      </c>
      <c r="M2608" t="n">
        <v>0</v>
      </c>
      <c r="N2608" t="n">
        <v>0</v>
      </c>
      <c r="O2608" t="n">
        <v>0</v>
      </c>
      <c r="P2608" t="n">
        <v>0</v>
      </c>
      <c r="Q2608" t="n">
        <v>0</v>
      </c>
      <c r="R2608" s="2" t="inlineStr"/>
    </row>
    <row r="2609" ht="15" customHeight="1">
      <c r="A2609" t="inlineStr">
        <is>
          <t>A 7189-2025</t>
        </is>
      </c>
      <c r="B2609" s="1" t="n">
        <v>45702.43898148148</v>
      </c>
      <c r="C2609" s="1" t="n">
        <v>46103</v>
      </c>
      <c r="D2609" t="inlineStr">
        <is>
          <t>KRONOBERGS LÄN</t>
        </is>
      </c>
      <c r="E2609" t="inlineStr">
        <is>
          <t>TINGSRYD</t>
        </is>
      </c>
      <c r="G2609" t="n">
        <v>4.8</v>
      </c>
      <c r="H2609" t="n">
        <v>0</v>
      </c>
      <c r="I2609" t="n">
        <v>0</v>
      </c>
      <c r="J2609" t="n">
        <v>0</v>
      </c>
      <c r="K2609" t="n">
        <v>0</v>
      </c>
      <c r="L2609" t="n">
        <v>0</v>
      </c>
      <c r="M2609" t="n">
        <v>0</v>
      </c>
      <c r="N2609" t="n">
        <v>0</v>
      </c>
      <c r="O2609" t="n">
        <v>0</v>
      </c>
      <c r="P2609" t="n">
        <v>0</v>
      </c>
      <c r="Q2609" t="n">
        <v>0</v>
      </c>
      <c r="R2609" s="2" t="inlineStr"/>
    </row>
    <row r="2610" ht="15" customHeight="1">
      <c r="A2610" t="inlineStr">
        <is>
          <t>A 8419-2026</t>
        </is>
      </c>
      <c r="B2610" s="1" t="n">
        <v>46065.35259259259</v>
      </c>
      <c r="C2610" s="1" t="n">
        <v>46103</v>
      </c>
      <c r="D2610" t="inlineStr">
        <is>
          <t>KRONOBERGS LÄN</t>
        </is>
      </c>
      <c r="E2610" t="inlineStr">
        <is>
          <t>TINGSRYD</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8462-2026</t>
        </is>
      </c>
      <c r="B2611" s="1" t="n">
        <v>46065.43212962963</v>
      </c>
      <c r="C2611" s="1" t="n">
        <v>46103</v>
      </c>
      <c r="D2611" t="inlineStr">
        <is>
          <t>KRONOBERGS LÄN</t>
        </is>
      </c>
      <c r="E2611" t="inlineStr">
        <is>
          <t>UPPVIDINGE</t>
        </is>
      </c>
      <c r="G2611" t="n">
        <v>5.2</v>
      </c>
      <c r="H2611" t="n">
        <v>0</v>
      </c>
      <c r="I2611" t="n">
        <v>0</v>
      </c>
      <c r="J2611" t="n">
        <v>0</v>
      </c>
      <c r="K2611" t="n">
        <v>0</v>
      </c>
      <c r="L2611" t="n">
        <v>0</v>
      </c>
      <c r="M2611" t="n">
        <v>0</v>
      </c>
      <c r="N2611" t="n">
        <v>0</v>
      </c>
      <c r="O2611" t="n">
        <v>0</v>
      </c>
      <c r="P2611" t="n">
        <v>0</v>
      </c>
      <c r="Q2611" t="n">
        <v>0</v>
      </c>
      <c r="R2611" s="2" t="inlineStr"/>
    </row>
    <row r="2612" ht="15" customHeight="1">
      <c r="A2612" t="inlineStr">
        <is>
          <t>A 16594-2025</t>
        </is>
      </c>
      <c r="B2612" s="1" t="n">
        <v>45753.32603009259</v>
      </c>
      <c r="C2612" s="1" t="n">
        <v>46103</v>
      </c>
      <c r="D2612" t="inlineStr">
        <is>
          <t>KRONOBERGS LÄN</t>
        </is>
      </c>
      <c r="E2612" t="inlineStr">
        <is>
          <t>VÄXJÖ</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8285-2026</t>
        </is>
      </c>
      <c r="B2613" s="1" t="n">
        <v>46064.56519675926</v>
      </c>
      <c r="C2613" s="1" t="n">
        <v>46103</v>
      </c>
      <c r="D2613" t="inlineStr">
        <is>
          <t>KRONOBERGS LÄN</t>
        </is>
      </c>
      <c r="E2613" t="inlineStr">
        <is>
          <t>MARKARYD</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8320-2026</t>
        </is>
      </c>
      <c r="B2614" s="1" t="n">
        <v>46064.60870370371</v>
      </c>
      <c r="C2614" s="1" t="n">
        <v>46103</v>
      </c>
      <c r="D2614" t="inlineStr">
        <is>
          <t>KRONOBERGS LÄN</t>
        </is>
      </c>
      <c r="E2614" t="inlineStr">
        <is>
          <t>ALVESTA</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17398-2025</t>
        </is>
      </c>
      <c r="B2615" s="1" t="n">
        <v>45757.34662037037</v>
      </c>
      <c r="C2615" s="1" t="n">
        <v>46103</v>
      </c>
      <c r="D2615" t="inlineStr">
        <is>
          <t>KRONOBERGS LÄN</t>
        </is>
      </c>
      <c r="E2615" t="inlineStr">
        <is>
          <t>UPPVIDINGE</t>
        </is>
      </c>
      <c r="G2615" t="n">
        <v>6.2</v>
      </c>
      <c r="H2615" t="n">
        <v>0</v>
      </c>
      <c r="I2615" t="n">
        <v>0</v>
      </c>
      <c r="J2615" t="n">
        <v>0</v>
      </c>
      <c r="K2615" t="n">
        <v>0</v>
      </c>
      <c r="L2615" t="n">
        <v>0</v>
      </c>
      <c r="M2615" t="n">
        <v>0</v>
      </c>
      <c r="N2615" t="n">
        <v>0</v>
      </c>
      <c r="O2615" t="n">
        <v>0</v>
      </c>
      <c r="P2615" t="n">
        <v>0</v>
      </c>
      <c r="Q2615" t="n">
        <v>0</v>
      </c>
      <c r="R2615" s="2" t="inlineStr"/>
    </row>
    <row r="2616" ht="15" customHeight="1">
      <c r="A2616" t="inlineStr">
        <is>
          <t>A 8566-2026</t>
        </is>
      </c>
      <c r="B2616" s="1" t="n">
        <v>46065.66357638889</v>
      </c>
      <c r="C2616" s="1" t="n">
        <v>46103</v>
      </c>
      <c r="D2616" t="inlineStr">
        <is>
          <t>KRONOBERGS LÄN</t>
        </is>
      </c>
      <c r="E2616" t="inlineStr">
        <is>
          <t>ÄLMHULT</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45038-2023</t>
        </is>
      </c>
      <c r="B2617" s="1" t="n">
        <v>45191</v>
      </c>
      <c r="C2617" s="1" t="n">
        <v>46103</v>
      </c>
      <c r="D2617" t="inlineStr">
        <is>
          <t>KRONOBERGS LÄN</t>
        </is>
      </c>
      <c r="E2617" t="inlineStr">
        <is>
          <t>TINGSRYD</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45055-2023</t>
        </is>
      </c>
      <c r="B2618" s="1" t="n">
        <v>45191</v>
      </c>
      <c r="C2618" s="1" t="n">
        <v>46103</v>
      </c>
      <c r="D2618" t="inlineStr">
        <is>
          <t>KRONOBERGS LÄN</t>
        </is>
      </c>
      <c r="E2618" t="inlineStr">
        <is>
          <t>UPPVIDINGE</t>
        </is>
      </c>
      <c r="F2618" t="inlineStr">
        <is>
          <t>Sveaskog</t>
        </is>
      </c>
      <c r="G2618" t="n">
        <v>5.8</v>
      </c>
      <c r="H2618" t="n">
        <v>0</v>
      </c>
      <c r="I2618" t="n">
        <v>0</v>
      </c>
      <c r="J2618" t="n">
        <v>0</v>
      </c>
      <c r="K2618" t="n">
        <v>0</v>
      </c>
      <c r="L2618" t="n">
        <v>0</v>
      </c>
      <c r="M2618" t="n">
        <v>0</v>
      </c>
      <c r="N2618" t="n">
        <v>0</v>
      </c>
      <c r="O2618" t="n">
        <v>0</v>
      </c>
      <c r="P2618" t="n">
        <v>0</v>
      </c>
      <c r="Q2618" t="n">
        <v>0</v>
      </c>
      <c r="R2618" s="2" t="inlineStr"/>
    </row>
    <row r="2619" ht="15" customHeight="1">
      <c r="A2619" t="inlineStr">
        <is>
          <t>A 8373-2026</t>
        </is>
      </c>
      <c r="B2619" s="1" t="n">
        <v>46064.72435185185</v>
      </c>
      <c r="C2619" s="1" t="n">
        <v>46103</v>
      </c>
      <c r="D2619" t="inlineStr">
        <is>
          <t>KRONOBERGS LÄN</t>
        </is>
      </c>
      <c r="E2619" t="inlineStr">
        <is>
          <t>ÄLMHULT</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58301-2024</t>
        </is>
      </c>
      <c r="B2620" s="1" t="n">
        <v>45632.60225694445</v>
      </c>
      <c r="C2620" s="1" t="n">
        <v>46103</v>
      </c>
      <c r="D2620" t="inlineStr">
        <is>
          <t>KRONOBERGS LÄN</t>
        </is>
      </c>
      <c r="E2620" t="inlineStr">
        <is>
          <t>ALVESTA</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46631-2025</t>
        </is>
      </c>
      <c r="B2621" s="1" t="n">
        <v>45926.45581018519</v>
      </c>
      <c r="C2621" s="1" t="n">
        <v>46103</v>
      </c>
      <c r="D2621" t="inlineStr">
        <is>
          <t>KRONOBERGS LÄN</t>
        </is>
      </c>
      <c r="E2621" t="inlineStr">
        <is>
          <t>LESSEBO</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47004-2025</t>
        </is>
      </c>
      <c r="B2622" s="1" t="n">
        <v>45929.55532407408</v>
      </c>
      <c r="C2622" s="1" t="n">
        <v>46103</v>
      </c>
      <c r="D2622" t="inlineStr">
        <is>
          <t>KRONOBERGS LÄN</t>
        </is>
      </c>
      <c r="E2622" t="inlineStr">
        <is>
          <t>ALVESTA</t>
        </is>
      </c>
      <c r="F2622" t="inlineStr">
        <is>
          <t>Kommuner</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21168-2021</t>
        </is>
      </c>
      <c r="B2623" s="1" t="n">
        <v>44320.42920138889</v>
      </c>
      <c r="C2623" s="1" t="n">
        <v>46103</v>
      </c>
      <c r="D2623" t="inlineStr">
        <is>
          <t>KRONOBERGS LÄN</t>
        </is>
      </c>
      <c r="E2623" t="inlineStr">
        <is>
          <t>ÄLMHULT</t>
        </is>
      </c>
      <c r="F2623" t="inlineStr">
        <is>
          <t>Sveaskog</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47051-2025</t>
        </is>
      </c>
      <c r="B2624" s="1" t="n">
        <v>45929.61498842593</v>
      </c>
      <c r="C2624" s="1" t="n">
        <v>46103</v>
      </c>
      <c r="D2624" t="inlineStr">
        <is>
          <t>KRONOBERGS LÄN</t>
        </is>
      </c>
      <c r="E2624" t="inlineStr">
        <is>
          <t>ALVESTA</t>
        </is>
      </c>
      <c r="F2624" t="inlineStr">
        <is>
          <t>Kommuner</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55926-2022</t>
        </is>
      </c>
      <c r="B2625" s="1" t="n">
        <v>44886</v>
      </c>
      <c r="C2625" s="1" t="n">
        <v>46103</v>
      </c>
      <c r="D2625" t="inlineStr">
        <is>
          <t>KRONOBERGS LÄN</t>
        </is>
      </c>
      <c r="E2625" t="inlineStr">
        <is>
          <t>LJUNGBY</t>
        </is>
      </c>
      <c r="F2625" t="inlineStr">
        <is>
          <t>Kyrkan</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42037-2021</t>
        </is>
      </c>
      <c r="B2626" s="1" t="n">
        <v>44426.54175925926</v>
      </c>
      <c r="C2626" s="1" t="n">
        <v>46103</v>
      </c>
      <c r="D2626" t="inlineStr">
        <is>
          <t>KRONOBERGS LÄN</t>
        </is>
      </c>
      <c r="E2626" t="inlineStr">
        <is>
          <t>VÄXJÖ</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50154-2022</t>
        </is>
      </c>
      <c r="B2627" s="1" t="n">
        <v>44865</v>
      </c>
      <c r="C2627" s="1" t="n">
        <v>46103</v>
      </c>
      <c r="D2627" t="inlineStr">
        <is>
          <t>KRONOBERGS LÄN</t>
        </is>
      </c>
      <c r="E2627" t="inlineStr">
        <is>
          <t>LESSEBO</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60157-2024</t>
        </is>
      </c>
      <c r="B2628" s="1" t="n">
        <v>45642.62440972222</v>
      </c>
      <c r="C2628" s="1" t="n">
        <v>46103</v>
      </c>
      <c r="D2628" t="inlineStr">
        <is>
          <t>KRONOBERGS LÄN</t>
        </is>
      </c>
      <c r="E2628" t="inlineStr">
        <is>
          <t>ALVESTA</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2890-2025</t>
        </is>
      </c>
      <c r="B2629" s="1" t="n">
        <v>45677</v>
      </c>
      <c r="C2629" s="1" t="n">
        <v>46103</v>
      </c>
      <c r="D2629" t="inlineStr">
        <is>
          <t>KRONOBERGS LÄN</t>
        </is>
      </c>
      <c r="E2629" t="inlineStr">
        <is>
          <t>VÄXJÖ</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47587-2025</t>
        </is>
      </c>
      <c r="B2630" s="1" t="n">
        <v>45931.43657407408</v>
      </c>
      <c r="C2630" s="1" t="n">
        <v>46103</v>
      </c>
      <c r="D2630" t="inlineStr">
        <is>
          <t>KRONOBERGS LÄN</t>
        </is>
      </c>
      <c r="E2630" t="inlineStr">
        <is>
          <t>TINGSRYD</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28843-2024</t>
        </is>
      </c>
      <c r="B2631" s="1" t="n">
        <v>45478.71304398148</v>
      </c>
      <c r="C2631" s="1" t="n">
        <v>46103</v>
      </c>
      <c r="D2631" t="inlineStr">
        <is>
          <t>KRONOBERGS LÄN</t>
        </is>
      </c>
      <c r="E2631" t="inlineStr">
        <is>
          <t>TINGSRYD</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9062-2026</t>
        </is>
      </c>
      <c r="B2632" s="1" t="n">
        <v>46069.56819444444</v>
      </c>
      <c r="C2632" s="1" t="n">
        <v>46103</v>
      </c>
      <c r="D2632" t="inlineStr">
        <is>
          <t>KRONOBERGS LÄN</t>
        </is>
      </c>
      <c r="E2632" t="inlineStr">
        <is>
          <t>MARKARYD</t>
        </is>
      </c>
      <c r="F2632" t="inlineStr">
        <is>
          <t>Sveaskog</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9064-2026</t>
        </is>
      </c>
      <c r="B2633" s="1" t="n">
        <v>46069.56936342592</v>
      </c>
      <c r="C2633" s="1" t="n">
        <v>46103</v>
      </c>
      <c r="D2633" t="inlineStr">
        <is>
          <t>KRONOBERGS LÄN</t>
        </is>
      </c>
      <c r="E2633" t="inlineStr">
        <is>
          <t>MARKARYD</t>
        </is>
      </c>
      <c r="F2633" t="inlineStr">
        <is>
          <t>Sveaskog</t>
        </is>
      </c>
      <c r="G2633" t="n">
        <v>11.2</v>
      </c>
      <c r="H2633" t="n">
        <v>0</v>
      </c>
      <c r="I2633" t="n">
        <v>0</v>
      </c>
      <c r="J2633" t="n">
        <v>0</v>
      </c>
      <c r="K2633" t="n">
        <v>0</v>
      </c>
      <c r="L2633" t="n">
        <v>0</v>
      </c>
      <c r="M2633" t="n">
        <v>0</v>
      </c>
      <c r="N2633" t="n">
        <v>0</v>
      </c>
      <c r="O2633" t="n">
        <v>0</v>
      </c>
      <c r="P2633" t="n">
        <v>0</v>
      </c>
      <c r="Q2633" t="n">
        <v>0</v>
      </c>
      <c r="R2633" s="2" t="inlineStr"/>
    </row>
    <row r="2634" ht="15" customHeight="1">
      <c r="A2634" t="inlineStr">
        <is>
          <t>A 47257-2025</t>
        </is>
      </c>
      <c r="B2634" s="1" t="n">
        <v>45930</v>
      </c>
      <c r="C2634" s="1" t="n">
        <v>46103</v>
      </c>
      <c r="D2634" t="inlineStr">
        <is>
          <t>KRONOBERGS LÄN</t>
        </is>
      </c>
      <c r="E2634" t="inlineStr">
        <is>
          <t>VÄXJÖ</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27158-2022</t>
        </is>
      </c>
      <c r="B2635" s="1" t="n">
        <v>44741</v>
      </c>
      <c r="C2635" s="1" t="n">
        <v>46103</v>
      </c>
      <c r="D2635" t="inlineStr">
        <is>
          <t>KRONOBERGS LÄN</t>
        </is>
      </c>
      <c r="E2635" t="inlineStr">
        <is>
          <t>VÄXJÖ</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4570-2024</t>
        </is>
      </c>
      <c r="B2636" s="1" t="n">
        <v>45327.82774305555</v>
      </c>
      <c r="C2636" s="1" t="n">
        <v>46103</v>
      </c>
      <c r="D2636" t="inlineStr">
        <is>
          <t>KRONOBERGS LÄN</t>
        </is>
      </c>
      <c r="E2636" t="inlineStr">
        <is>
          <t>TINGSRYD</t>
        </is>
      </c>
      <c r="F2636" t="inlineStr">
        <is>
          <t>Sveaskog</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70676-2021</t>
        </is>
      </c>
      <c r="B2637" s="1" t="n">
        <v>44537.56209490741</v>
      </c>
      <c r="C2637" s="1" t="n">
        <v>46103</v>
      </c>
      <c r="D2637" t="inlineStr">
        <is>
          <t>KRONOBERGS LÄN</t>
        </is>
      </c>
      <c r="E2637" t="inlineStr">
        <is>
          <t>VÄXJÖ</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4641-2024</t>
        </is>
      </c>
      <c r="B2638" s="1" t="n">
        <v>45328.43439814815</v>
      </c>
      <c r="C2638" s="1" t="n">
        <v>46103</v>
      </c>
      <c r="D2638" t="inlineStr">
        <is>
          <t>KRONOBERGS LÄN</t>
        </is>
      </c>
      <c r="E2638" t="inlineStr">
        <is>
          <t>ÄLMHULT</t>
        </is>
      </c>
      <c r="G2638" t="n">
        <v>6</v>
      </c>
      <c r="H2638" t="n">
        <v>0</v>
      </c>
      <c r="I2638" t="n">
        <v>0</v>
      </c>
      <c r="J2638" t="n">
        <v>0</v>
      </c>
      <c r="K2638" t="n">
        <v>0</v>
      </c>
      <c r="L2638" t="n">
        <v>0</v>
      </c>
      <c r="M2638" t="n">
        <v>0</v>
      </c>
      <c r="N2638" t="n">
        <v>0</v>
      </c>
      <c r="O2638" t="n">
        <v>0</v>
      </c>
      <c r="P2638" t="n">
        <v>0</v>
      </c>
      <c r="Q2638" t="n">
        <v>0</v>
      </c>
      <c r="R2638" s="2" t="inlineStr"/>
    </row>
    <row r="2639" ht="15" customHeight="1">
      <c r="A2639" t="inlineStr">
        <is>
          <t>A 9066-2026</t>
        </is>
      </c>
      <c r="B2639" s="1" t="n">
        <v>46069.57060185185</v>
      </c>
      <c r="C2639" s="1" t="n">
        <v>46103</v>
      </c>
      <c r="D2639" t="inlineStr">
        <is>
          <t>KRONOBERGS LÄN</t>
        </is>
      </c>
      <c r="E2639" t="inlineStr">
        <is>
          <t>MARKARYD</t>
        </is>
      </c>
      <c r="F2639" t="inlineStr">
        <is>
          <t>Sveaskog</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2292-2025</t>
        </is>
      </c>
      <c r="B2640" s="1" t="n">
        <v>45673.59208333334</v>
      </c>
      <c r="C2640" s="1" t="n">
        <v>46103</v>
      </c>
      <c r="D2640" t="inlineStr">
        <is>
          <t>KRONOBERGS LÄN</t>
        </is>
      </c>
      <c r="E2640" t="inlineStr">
        <is>
          <t>ALVESTA</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2302-2025</t>
        </is>
      </c>
      <c r="B2641" s="1" t="n">
        <v>45673.59799768519</v>
      </c>
      <c r="C2641" s="1" t="n">
        <v>46103</v>
      </c>
      <c r="D2641" t="inlineStr">
        <is>
          <t>KRONOBERGS LÄN</t>
        </is>
      </c>
      <c r="E2641" t="inlineStr">
        <is>
          <t>ALVESTA</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54757-2023</t>
        </is>
      </c>
      <c r="B2642" s="1" t="n">
        <v>45236.44059027778</v>
      </c>
      <c r="C2642" s="1" t="n">
        <v>46103</v>
      </c>
      <c r="D2642" t="inlineStr">
        <is>
          <t>KRONOBERGS LÄN</t>
        </is>
      </c>
      <c r="E2642" t="inlineStr">
        <is>
          <t>VÄXJÖ</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54759-2023</t>
        </is>
      </c>
      <c r="B2643" s="1" t="n">
        <v>45236.44439814815</v>
      </c>
      <c r="C2643" s="1" t="n">
        <v>46103</v>
      </c>
      <c r="D2643" t="inlineStr">
        <is>
          <t>KRONOBERGS LÄN</t>
        </is>
      </c>
      <c r="E2643" t="inlineStr">
        <is>
          <t>VÄXJÖ</t>
        </is>
      </c>
      <c r="G2643" t="n">
        <v>5.5</v>
      </c>
      <c r="H2643" t="n">
        <v>0</v>
      </c>
      <c r="I2643" t="n">
        <v>0</v>
      </c>
      <c r="J2643" t="n">
        <v>0</v>
      </c>
      <c r="K2643" t="n">
        <v>0</v>
      </c>
      <c r="L2643" t="n">
        <v>0</v>
      </c>
      <c r="M2643" t="n">
        <v>0</v>
      </c>
      <c r="N2643" t="n">
        <v>0</v>
      </c>
      <c r="O2643" t="n">
        <v>0</v>
      </c>
      <c r="P2643" t="n">
        <v>0</v>
      </c>
      <c r="Q2643" t="n">
        <v>0</v>
      </c>
      <c r="R2643" s="2" t="inlineStr"/>
    </row>
    <row r="2644" ht="15" customHeight="1">
      <c r="A2644" t="inlineStr">
        <is>
          <t>A 15988-2024</t>
        </is>
      </c>
      <c r="B2644" s="1" t="n">
        <v>45405.59800925926</v>
      </c>
      <c r="C2644" s="1" t="n">
        <v>46103</v>
      </c>
      <c r="D2644" t="inlineStr">
        <is>
          <t>KRONOBERGS LÄN</t>
        </is>
      </c>
      <c r="E2644" t="inlineStr">
        <is>
          <t>ÄLMHULT</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47449-2025</t>
        </is>
      </c>
      <c r="B2645" s="1" t="n">
        <v>45930</v>
      </c>
      <c r="C2645" s="1" t="n">
        <v>46103</v>
      </c>
      <c r="D2645" t="inlineStr">
        <is>
          <t>KRONOBERGS LÄN</t>
        </is>
      </c>
      <c r="E2645" t="inlineStr">
        <is>
          <t>UPPVIDINGE</t>
        </is>
      </c>
      <c r="F2645" t="inlineStr">
        <is>
          <t>Kyrkan</t>
        </is>
      </c>
      <c r="G2645" t="n">
        <v>6.8</v>
      </c>
      <c r="H2645" t="n">
        <v>0</v>
      </c>
      <c r="I2645" t="n">
        <v>0</v>
      </c>
      <c r="J2645" t="n">
        <v>0</v>
      </c>
      <c r="K2645" t="n">
        <v>0</v>
      </c>
      <c r="L2645" t="n">
        <v>0</v>
      </c>
      <c r="M2645" t="n">
        <v>0</v>
      </c>
      <c r="N2645" t="n">
        <v>0</v>
      </c>
      <c r="O2645" t="n">
        <v>0</v>
      </c>
      <c r="P2645" t="n">
        <v>0</v>
      </c>
      <c r="Q2645" t="n">
        <v>0</v>
      </c>
      <c r="R2645" s="2" t="inlineStr"/>
    </row>
    <row r="2646" ht="15" customHeight="1">
      <c r="A2646" t="inlineStr">
        <is>
          <t>A 3271-2024</t>
        </is>
      </c>
      <c r="B2646" s="1" t="n">
        <v>45317</v>
      </c>
      <c r="C2646" s="1" t="n">
        <v>46103</v>
      </c>
      <c r="D2646" t="inlineStr">
        <is>
          <t>KRONOBERGS LÄN</t>
        </is>
      </c>
      <c r="E2646" t="inlineStr">
        <is>
          <t>LJUNGBY</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3365-2024</t>
        </is>
      </c>
      <c r="B2647" s="1" t="n">
        <v>45317.65170138889</v>
      </c>
      <c r="C2647" s="1" t="n">
        <v>46103</v>
      </c>
      <c r="D2647" t="inlineStr">
        <is>
          <t>KRONOBERGS LÄN</t>
        </is>
      </c>
      <c r="E2647" t="inlineStr">
        <is>
          <t>VÄXJÖ</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48175-2022</t>
        </is>
      </c>
      <c r="B2648" s="1" t="n">
        <v>44858</v>
      </c>
      <c r="C2648" s="1" t="n">
        <v>46103</v>
      </c>
      <c r="D2648" t="inlineStr">
        <is>
          <t>KRONOBERGS LÄN</t>
        </is>
      </c>
      <c r="E2648" t="inlineStr">
        <is>
          <t>UPPVIDINGE</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47350-2025</t>
        </is>
      </c>
      <c r="B2649" s="1" t="n">
        <v>45930</v>
      </c>
      <c r="C2649" s="1" t="n">
        <v>46103</v>
      </c>
      <c r="D2649" t="inlineStr">
        <is>
          <t>KRONOBERGS LÄN</t>
        </is>
      </c>
      <c r="E2649" t="inlineStr">
        <is>
          <t>LJUNGBY</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47353-2025</t>
        </is>
      </c>
      <c r="B2650" s="1" t="n">
        <v>45930</v>
      </c>
      <c r="C2650" s="1" t="n">
        <v>46103</v>
      </c>
      <c r="D2650" t="inlineStr">
        <is>
          <t>KRONOBERGS LÄN</t>
        </is>
      </c>
      <c r="E2650" t="inlineStr">
        <is>
          <t>LJUNGBY</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334-2026</t>
        </is>
      </c>
      <c r="B2651" s="1" t="n">
        <v>46027.59738425926</v>
      </c>
      <c r="C2651" s="1" t="n">
        <v>46103</v>
      </c>
      <c r="D2651" t="inlineStr">
        <is>
          <t>KRONOBERGS LÄN</t>
        </is>
      </c>
      <c r="E2651" t="inlineStr">
        <is>
          <t>UPPVIDINGE</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25220-2025</t>
        </is>
      </c>
      <c r="B2652" s="1" t="n">
        <v>45798</v>
      </c>
      <c r="C2652" s="1" t="n">
        <v>46103</v>
      </c>
      <c r="D2652" t="inlineStr">
        <is>
          <t>KRONOBERGS LÄN</t>
        </is>
      </c>
      <c r="E2652" t="inlineStr">
        <is>
          <t>ALVESTA</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47693-2025</t>
        </is>
      </c>
      <c r="B2653" s="1" t="n">
        <v>45931.59833333334</v>
      </c>
      <c r="C2653" s="1" t="n">
        <v>46103</v>
      </c>
      <c r="D2653" t="inlineStr">
        <is>
          <t>KRONOBERGS LÄN</t>
        </is>
      </c>
      <c r="E2653" t="inlineStr">
        <is>
          <t>LESSEBO</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8682-2026</t>
        </is>
      </c>
      <c r="B2654" s="1" t="n">
        <v>46066.42033564814</v>
      </c>
      <c r="C2654" s="1" t="n">
        <v>46103</v>
      </c>
      <c r="D2654" t="inlineStr">
        <is>
          <t>KRONOBERGS LÄN</t>
        </is>
      </c>
      <c r="E2654" t="inlineStr">
        <is>
          <t>ÄLMHULT</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3257-2023</t>
        </is>
      </c>
      <c r="B2655" s="1" t="n">
        <v>44948.74932870371</v>
      </c>
      <c r="C2655" s="1" t="n">
        <v>46103</v>
      </c>
      <c r="D2655" t="inlineStr">
        <is>
          <t>KRONOBERGS LÄN</t>
        </is>
      </c>
      <c r="E2655" t="inlineStr">
        <is>
          <t>ALVESTA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9070-2026</t>
        </is>
      </c>
      <c r="B2656" s="1" t="n">
        <v>46069.5756712963</v>
      </c>
      <c r="C2656" s="1" t="n">
        <v>46103</v>
      </c>
      <c r="D2656" t="inlineStr">
        <is>
          <t>KRONOBERGS LÄN</t>
        </is>
      </c>
      <c r="E2656" t="inlineStr">
        <is>
          <t>LJUNGBY</t>
        </is>
      </c>
      <c r="F2656" t="inlineStr">
        <is>
          <t>Sveaskog</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47270-2025</t>
        </is>
      </c>
      <c r="B2657" s="1" t="n">
        <v>45930.46203703704</v>
      </c>
      <c r="C2657" s="1" t="n">
        <v>46103</v>
      </c>
      <c r="D2657" t="inlineStr">
        <is>
          <t>KRONOBERGS LÄN</t>
        </is>
      </c>
      <c r="E2657" t="inlineStr">
        <is>
          <t>TINGSRYD</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47679-2025</t>
        </is>
      </c>
      <c r="B2658" s="1" t="n">
        <v>45930</v>
      </c>
      <c r="C2658" s="1" t="n">
        <v>46103</v>
      </c>
      <c r="D2658" t="inlineStr">
        <is>
          <t>KRONOBERGS LÄN</t>
        </is>
      </c>
      <c r="E2658" t="inlineStr">
        <is>
          <t>UPPVIDINGE</t>
        </is>
      </c>
      <c r="F2658" t="inlineStr">
        <is>
          <t>Kyrkan</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24583-2025</t>
        </is>
      </c>
      <c r="B2659" s="1" t="n">
        <v>45798.50189814815</v>
      </c>
      <c r="C2659" s="1" t="n">
        <v>46103</v>
      </c>
      <c r="D2659" t="inlineStr">
        <is>
          <t>KRONOBERGS LÄN</t>
        </is>
      </c>
      <c r="E2659" t="inlineStr">
        <is>
          <t>LJUNGBY</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8727-2026</t>
        </is>
      </c>
      <c r="B2660" s="1" t="n">
        <v>46065</v>
      </c>
      <c r="C2660" s="1" t="n">
        <v>46103</v>
      </c>
      <c r="D2660" t="inlineStr">
        <is>
          <t>KRONOBERGS LÄN</t>
        </is>
      </c>
      <c r="E2660" t="inlineStr">
        <is>
          <t>LJUNGBY</t>
        </is>
      </c>
      <c r="F2660" t="inlineStr">
        <is>
          <t>Kyrkan</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59366-2024</t>
        </is>
      </c>
      <c r="B2661" s="1" t="n">
        <v>45638.33574074074</v>
      </c>
      <c r="C2661" s="1" t="n">
        <v>46103</v>
      </c>
      <c r="D2661" t="inlineStr">
        <is>
          <t>KRONOBERGS LÄN</t>
        </is>
      </c>
      <c r="E2661" t="inlineStr">
        <is>
          <t>VÄXJÖ</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47687-2025</t>
        </is>
      </c>
      <c r="B2662" s="1" t="n">
        <v>45930</v>
      </c>
      <c r="C2662" s="1" t="n">
        <v>46103</v>
      </c>
      <c r="D2662" t="inlineStr">
        <is>
          <t>KRONOBERGS LÄN</t>
        </is>
      </c>
      <c r="E2662" t="inlineStr">
        <is>
          <t>UPPVIDINGE</t>
        </is>
      </c>
      <c r="F2662" t="inlineStr">
        <is>
          <t>Kyrkan</t>
        </is>
      </c>
      <c r="G2662" t="n">
        <v>5.2</v>
      </c>
      <c r="H2662" t="n">
        <v>0</v>
      </c>
      <c r="I2662" t="n">
        <v>0</v>
      </c>
      <c r="J2662" t="n">
        <v>0</v>
      </c>
      <c r="K2662" t="n">
        <v>0</v>
      </c>
      <c r="L2662" t="n">
        <v>0</v>
      </c>
      <c r="M2662" t="n">
        <v>0</v>
      </c>
      <c r="N2662" t="n">
        <v>0</v>
      </c>
      <c r="O2662" t="n">
        <v>0</v>
      </c>
      <c r="P2662" t="n">
        <v>0</v>
      </c>
      <c r="Q2662" t="n">
        <v>0</v>
      </c>
      <c r="R2662" s="2" t="inlineStr"/>
    </row>
    <row r="2663" ht="15" customHeight="1">
      <c r="A2663" t="inlineStr">
        <is>
          <t>A 8632-2026</t>
        </is>
      </c>
      <c r="B2663" s="1" t="n">
        <v>46066.35013888889</v>
      </c>
      <c r="C2663" s="1" t="n">
        <v>46103</v>
      </c>
      <c r="D2663" t="inlineStr">
        <is>
          <t>KRONOBERGS LÄN</t>
        </is>
      </c>
      <c r="E2663" t="inlineStr">
        <is>
          <t>ÄLMHULT</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47424-2025</t>
        </is>
      </c>
      <c r="B2664" s="1" t="n">
        <v>45930</v>
      </c>
      <c r="C2664" s="1" t="n">
        <v>46103</v>
      </c>
      <c r="D2664" t="inlineStr">
        <is>
          <t>KRONOBERGS LÄN</t>
        </is>
      </c>
      <c r="E2664" t="inlineStr">
        <is>
          <t>MARKARYD</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50938-2024</t>
        </is>
      </c>
      <c r="B2665" s="1" t="n">
        <v>45602.91650462963</v>
      </c>
      <c r="C2665" s="1" t="n">
        <v>46103</v>
      </c>
      <c r="D2665" t="inlineStr">
        <is>
          <t>KRONOBERGS LÄN</t>
        </is>
      </c>
      <c r="E2665" t="inlineStr">
        <is>
          <t>LJUNGBY</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47170-2025</t>
        </is>
      </c>
      <c r="B2666" s="1" t="n">
        <v>45929.92255787037</v>
      </c>
      <c r="C2666" s="1" t="n">
        <v>46103</v>
      </c>
      <c r="D2666" t="inlineStr">
        <is>
          <t>KRONOBERGS LÄN</t>
        </is>
      </c>
      <c r="E2666" t="inlineStr">
        <is>
          <t>ÄLMHULT</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14941-2023</t>
        </is>
      </c>
      <c r="B2667" s="1" t="n">
        <v>45015</v>
      </c>
      <c r="C2667" s="1" t="n">
        <v>46103</v>
      </c>
      <c r="D2667" t="inlineStr">
        <is>
          <t>KRONOBERGS LÄN</t>
        </is>
      </c>
      <c r="E2667" t="inlineStr">
        <is>
          <t>ALVESTA</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47486-2025</t>
        </is>
      </c>
      <c r="B2668" s="1" t="n">
        <v>45930.69873842593</v>
      </c>
      <c r="C2668" s="1" t="n">
        <v>46103</v>
      </c>
      <c r="D2668" t="inlineStr">
        <is>
          <t>KRONOBERGS LÄN</t>
        </is>
      </c>
      <c r="E2668" t="inlineStr">
        <is>
          <t>ÄLMHULT</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47415-2025</t>
        </is>
      </c>
      <c r="B2669" s="1" t="n">
        <v>45930</v>
      </c>
      <c r="C2669" s="1" t="n">
        <v>46103</v>
      </c>
      <c r="D2669" t="inlineStr">
        <is>
          <t>KRONOBERGS LÄN</t>
        </is>
      </c>
      <c r="E2669" t="inlineStr">
        <is>
          <t>UPPVIDINGE</t>
        </is>
      </c>
      <c r="F2669" t="inlineStr">
        <is>
          <t>Kyrkan</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15399-2024</t>
        </is>
      </c>
      <c r="B2670" s="1" t="n">
        <v>45401.32819444445</v>
      </c>
      <c r="C2670" s="1" t="n">
        <v>46103</v>
      </c>
      <c r="D2670" t="inlineStr">
        <is>
          <t>KRONOBERGS LÄN</t>
        </is>
      </c>
      <c r="E2670" t="inlineStr">
        <is>
          <t>LESSEBO</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53487-2024</t>
        </is>
      </c>
      <c r="B2671" s="1" t="n">
        <v>45611</v>
      </c>
      <c r="C2671" s="1" t="n">
        <v>46103</v>
      </c>
      <c r="D2671" t="inlineStr">
        <is>
          <t>KRONOBERGS LÄN</t>
        </is>
      </c>
      <c r="E2671" t="inlineStr">
        <is>
          <t>LESSEBO</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32487-2023</t>
        </is>
      </c>
      <c r="B2672" s="1" t="n">
        <v>45121</v>
      </c>
      <c r="C2672" s="1" t="n">
        <v>46103</v>
      </c>
      <c r="D2672" t="inlineStr">
        <is>
          <t>KRONOBERGS LÄN</t>
        </is>
      </c>
      <c r="E2672" t="inlineStr">
        <is>
          <t>VÄXJÖ</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32492-2023</t>
        </is>
      </c>
      <c r="B2673" s="1" t="n">
        <v>45121</v>
      </c>
      <c r="C2673" s="1" t="n">
        <v>46103</v>
      </c>
      <c r="D2673" t="inlineStr">
        <is>
          <t>KRONOBERGS LÄN</t>
        </is>
      </c>
      <c r="E2673" t="inlineStr">
        <is>
          <t>VÄXJÖ</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32496-2023</t>
        </is>
      </c>
      <c r="B2674" s="1" t="n">
        <v>45121</v>
      </c>
      <c r="C2674" s="1" t="n">
        <v>46103</v>
      </c>
      <c r="D2674" t="inlineStr">
        <is>
          <t>KRONOBERGS LÄN</t>
        </is>
      </c>
      <c r="E2674" t="inlineStr">
        <is>
          <t>VÄXJÖ</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47682-2025</t>
        </is>
      </c>
      <c r="B2675" s="1" t="n">
        <v>45930</v>
      </c>
      <c r="C2675" s="1" t="n">
        <v>46103</v>
      </c>
      <c r="D2675" t="inlineStr">
        <is>
          <t>KRONOBERGS LÄN</t>
        </is>
      </c>
      <c r="E2675" t="inlineStr">
        <is>
          <t>UPPVIDINGE</t>
        </is>
      </c>
      <c r="F2675" t="inlineStr">
        <is>
          <t>Kyrkan</t>
        </is>
      </c>
      <c r="G2675" t="n">
        <v>7.1</v>
      </c>
      <c r="H2675" t="n">
        <v>0</v>
      </c>
      <c r="I2675" t="n">
        <v>0</v>
      </c>
      <c r="J2675" t="n">
        <v>0</v>
      </c>
      <c r="K2675" t="n">
        <v>0</v>
      </c>
      <c r="L2675" t="n">
        <v>0</v>
      </c>
      <c r="M2675" t="n">
        <v>0</v>
      </c>
      <c r="N2675" t="n">
        <v>0</v>
      </c>
      <c r="O2675" t="n">
        <v>0</v>
      </c>
      <c r="P2675" t="n">
        <v>0</v>
      </c>
      <c r="Q2675" t="n">
        <v>0</v>
      </c>
      <c r="R2675" s="2" t="inlineStr"/>
    </row>
    <row r="2676" ht="15" customHeight="1">
      <c r="A2676" t="inlineStr">
        <is>
          <t>A 47400-2025</t>
        </is>
      </c>
      <c r="B2676" s="1" t="n">
        <v>45930</v>
      </c>
      <c r="C2676" s="1" t="n">
        <v>46103</v>
      </c>
      <c r="D2676" t="inlineStr">
        <is>
          <t>KRONOBERGS LÄN</t>
        </is>
      </c>
      <c r="E2676" t="inlineStr">
        <is>
          <t>UPPVIDINGE</t>
        </is>
      </c>
      <c r="F2676" t="inlineStr">
        <is>
          <t>Kyrkan</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47427-2025</t>
        </is>
      </c>
      <c r="B2677" s="1" t="n">
        <v>45930.6357175926</v>
      </c>
      <c r="C2677" s="1" t="n">
        <v>46103</v>
      </c>
      <c r="D2677" t="inlineStr">
        <is>
          <t>KRONOBERGS LÄN</t>
        </is>
      </c>
      <c r="E2677" t="inlineStr">
        <is>
          <t>MARKARYD</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6489-2022</t>
        </is>
      </c>
      <c r="B2678" s="1" t="n">
        <v>44601</v>
      </c>
      <c r="C2678" s="1" t="n">
        <v>46103</v>
      </c>
      <c r="D2678" t="inlineStr">
        <is>
          <t>KRONOBERGS LÄN</t>
        </is>
      </c>
      <c r="E2678" t="inlineStr">
        <is>
          <t>ALVESTA</t>
        </is>
      </c>
      <c r="G2678" t="n">
        <v>0.1</v>
      </c>
      <c r="H2678" t="n">
        <v>0</v>
      </c>
      <c r="I2678" t="n">
        <v>0</v>
      </c>
      <c r="J2678" t="n">
        <v>0</v>
      </c>
      <c r="K2678" t="n">
        <v>0</v>
      </c>
      <c r="L2678" t="n">
        <v>0</v>
      </c>
      <c r="M2678" t="n">
        <v>0</v>
      </c>
      <c r="N2678" t="n">
        <v>0</v>
      </c>
      <c r="O2678" t="n">
        <v>0</v>
      </c>
      <c r="P2678" t="n">
        <v>0</v>
      </c>
      <c r="Q2678" t="n">
        <v>0</v>
      </c>
      <c r="R2678" s="2" t="inlineStr"/>
    </row>
    <row r="2679" ht="15" customHeight="1">
      <c r="A2679" t="inlineStr">
        <is>
          <t>A 49292-2022</t>
        </is>
      </c>
      <c r="B2679" s="1" t="n">
        <v>44861</v>
      </c>
      <c r="C2679" s="1" t="n">
        <v>46103</v>
      </c>
      <c r="D2679" t="inlineStr">
        <is>
          <t>KRONOBERGS LÄN</t>
        </is>
      </c>
      <c r="E2679" t="inlineStr">
        <is>
          <t>ÄLMHULT</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57430-2021</t>
        </is>
      </c>
      <c r="B2680" s="1" t="n">
        <v>44483.60684027777</v>
      </c>
      <c r="C2680" s="1" t="n">
        <v>46103</v>
      </c>
      <c r="D2680" t="inlineStr">
        <is>
          <t>KRONOBERGS LÄN</t>
        </is>
      </c>
      <c r="E2680" t="inlineStr">
        <is>
          <t>TINGSRYD</t>
        </is>
      </c>
      <c r="G2680" t="n">
        <v>4.4</v>
      </c>
      <c r="H2680" t="n">
        <v>0</v>
      </c>
      <c r="I2680" t="n">
        <v>0</v>
      </c>
      <c r="J2680" t="n">
        <v>0</v>
      </c>
      <c r="K2680" t="n">
        <v>0</v>
      </c>
      <c r="L2680" t="n">
        <v>0</v>
      </c>
      <c r="M2680" t="n">
        <v>0</v>
      </c>
      <c r="N2680" t="n">
        <v>0</v>
      </c>
      <c r="O2680" t="n">
        <v>0</v>
      </c>
      <c r="P2680" t="n">
        <v>0</v>
      </c>
      <c r="Q2680" t="n">
        <v>0</v>
      </c>
      <c r="R2680" s="2" t="inlineStr"/>
    </row>
    <row r="2681" ht="15" customHeight="1">
      <c r="A2681" t="inlineStr">
        <is>
          <t>A 47478-2025</t>
        </is>
      </c>
      <c r="B2681" s="1" t="n">
        <v>45930</v>
      </c>
      <c r="C2681" s="1" t="n">
        <v>46103</v>
      </c>
      <c r="D2681" t="inlineStr">
        <is>
          <t>KRONOBERGS LÄN</t>
        </is>
      </c>
      <c r="E2681" t="inlineStr">
        <is>
          <t>UPPVIDINGE</t>
        </is>
      </c>
      <c r="F2681" t="inlineStr">
        <is>
          <t>Kyrkan</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47457-2025</t>
        </is>
      </c>
      <c r="B2682" s="1" t="n">
        <v>45930.65747685185</v>
      </c>
      <c r="C2682" s="1" t="n">
        <v>46103</v>
      </c>
      <c r="D2682" t="inlineStr">
        <is>
          <t>KRONOBERGS LÄN</t>
        </is>
      </c>
      <c r="E2682" t="inlineStr">
        <is>
          <t>MARKARYD</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47458-2025</t>
        </is>
      </c>
      <c r="B2683" s="1" t="n">
        <v>45930</v>
      </c>
      <c r="C2683" s="1" t="n">
        <v>46103</v>
      </c>
      <c r="D2683" t="inlineStr">
        <is>
          <t>KRONOBERGS LÄN</t>
        </is>
      </c>
      <c r="E2683" t="inlineStr">
        <is>
          <t>UPPVIDINGE</t>
        </is>
      </c>
      <c r="F2683" t="inlineStr">
        <is>
          <t>Kyrkan</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47464-2025</t>
        </is>
      </c>
      <c r="B2684" s="1" t="n">
        <v>45930</v>
      </c>
      <c r="C2684" s="1" t="n">
        <v>46103</v>
      </c>
      <c r="D2684" t="inlineStr">
        <is>
          <t>KRONOBERGS LÄN</t>
        </is>
      </c>
      <c r="E2684" t="inlineStr">
        <is>
          <t>UPPVIDINGE</t>
        </is>
      </c>
      <c r="F2684" t="inlineStr">
        <is>
          <t>Kyrkan</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47510-2025</t>
        </is>
      </c>
      <c r="B2685" s="1" t="n">
        <v>45930.91256944444</v>
      </c>
      <c r="C2685" s="1" t="n">
        <v>46103</v>
      </c>
      <c r="D2685" t="inlineStr">
        <is>
          <t>KRONOBERGS LÄN</t>
        </is>
      </c>
      <c r="E2685" t="inlineStr">
        <is>
          <t>ÄLMHULT</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337-2026</t>
        </is>
      </c>
      <c r="B2686" s="1" t="n">
        <v>46027.599375</v>
      </c>
      <c r="C2686" s="1" t="n">
        <v>46103</v>
      </c>
      <c r="D2686" t="inlineStr">
        <is>
          <t>KRONOBERGS LÄN</t>
        </is>
      </c>
      <c r="E2686" t="inlineStr">
        <is>
          <t>UPPVIDINGE</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8804-2026</t>
        </is>
      </c>
      <c r="B2687" s="1" t="n">
        <v>46065</v>
      </c>
      <c r="C2687" s="1" t="n">
        <v>46103</v>
      </c>
      <c r="D2687" t="inlineStr">
        <is>
          <t>KRONOBERGS LÄN</t>
        </is>
      </c>
      <c r="E2687" t="inlineStr">
        <is>
          <t>LJUNGBY</t>
        </is>
      </c>
      <c r="F2687" t="inlineStr">
        <is>
          <t>Kyrkan</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24981-2023</t>
        </is>
      </c>
      <c r="B2688" s="1" t="n">
        <v>45085</v>
      </c>
      <c r="C2688" s="1" t="n">
        <v>46103</v>
      </c>
      <c r="D2688" t="inlineStr">
        <is>
          <t>KRONOBERGS LÄN</t>
        </is>
      </c>
      <c r="E2688" t="inlineStr">
        <is>
          <t>TINGSRYD</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60118-2023</t>
        </is>
      </c>
      <c r="B2689" s="1" t="n">
        <v>45258.47685185185</v>
      </c>
      <c r="C2689" s="1" t="n">
        <v>46103</v>
      </c>
      <c r="D2689" t="inlineStr">
        <is>
          <t>KRONOBERGS LÄN</t>
        </is>
      </c>
      <c r="E2689" t="inlineStr">
        <is>
          <t>MARKARYD</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3565-2023</t>
        </is>
      </c>
      <c r="B2690" s="1" t="n">
        <v>44950.47614583333</v>
      </c>
      <c r="C2690" s="1" t="n">
        <v>46103</v>
      </c>
      <c r="D2690" t="inlineStr">
        <is>
          <t>KRONOBERGS LÄN</t>
        </is>
      </c>
      <c r="E2690" t="inlineStr">
        <is>
          <t>VÄXJÖ</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155-2026</t>
        </is>
      </c>
      <c r="B2691" s="1" t="n">
        <v>46024.69451388889</v>
      </c>
      <c r="C2691" s="1" t="n">
        <v>46103</v>
      </c>
      <c r="D2691" t="inlineStr">
        <is>
          <t>KRONOBERGS LÄN</t>
        </is>
      </c>
      <c r="E2691" t="inlineStr">
        <is>
          <t>LJUNGBY</t>
        </is>
      </c>
      <c r="G2691" t="n">
        <v>5.8</v>
      </c>
      <c r="H2691" t="n">
        <v>0</v>
      </c>
      <c r="I2691" t="n">
        <v>0</v>
      </c>
      <c r="J2691" t="n">
        <v>0</v>
      </c>
      <c r="K2691" t="n">
        <v>0</v>
      </c>
      <c r="L2691" t="n">
        <v>0</v>
      </c>
      <c r="M2691" t="n">
        <v>0</v>
      </c>
      <c r="N2691" t="n">
        <v>0</v>
      </c>
      <c r="O2691" t="n">
        <v>0</v>
      </c>
      <c r="P2691" t="n">
        <v>0</v>
      </c>
      <c r="Q2691" t="n">
        <v>0</v>
      </c>
      <c r="R2691" s="2" t="inlineStr"/>
    </row>
    <row r="2692" ht="15" customHeight="1">
      <c r="A2692" t="inlineStr">
        <is>
          <t>A 47511-2025</t>
        </is>
      </c>
      <c r="B2692" s="1" t="n">
        <v>45930.91648148148</v>
      </c>
      <c r="C2692" s="1" t="n">
        <v>46103</v>
      </c>
      <c r="D2692" t="inlineStr">
        <is>
          <t>KRONOBERGS LÄN</t>
        </is>
      </c>
      <c r="E2692" t="inlineStr">
        <is>
          <t>ÄLMHULT</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47696-2025</t>
        </is>
      </c>
      <c r="B2693" s="1" t="n">
        <v>45931.59982638889</v>
      </c>
      <c r="C2693" s="1" t="n">
        <v>46103</v>
      </c>
      <c r="D2693" t="inlineStr">
        <is>
          <t>KRONOBERGS LÄN</t>
        </is>
      </c>
      <c r="E2693" t="inlineStr">
        <is>
          <t>LESSEBO</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40210-2023</t>
        </is>
      </c>
      <c r="B2694" s="1" t="n">
        <v>45169</v>
      </c>
      <c r="C2694" s="1" t="n">
        <v>46103</v>
      </c>
      <c r="D2694" t="inlineStr">
        <is>
          <t>KRONOBERGS LÄN</t>
        </is>
      </c>
      <c r="E2694" t="inlineStr">
        <is>
          <t>VÄXJÖ</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8857-2026</t>
        </is>
      </c>
      <c r="B2695" s="1" t="n">
        <v>46066.67835648148</v>
      </c>
      <c r="C2695" s="1" t="n">
        <v>46103</v>
      </c>
      <c r="D2695" t="inlineStr">
        <is>
          <t>KRONOBERGS LÄN</t>
        </is>
      </c>
      <c r="E2695" t="inlineStr">
        <is>
          <t>UPPVIDINGE</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48145-2025</t>
        </is>
      </c>
      <c r="B2696" s="1" t="n">
        <v>45933.38829861111</v>
      </c>
      <c r="C2696" s="1" t="n">
        <v>46103</v>
      </c>
      <c r="D2696" t="inlineStr">
        <is>
          <t>KRONOBERGS LÄN</t>
        </is>
      </c>
      <c r="E2696" t="inlineStr">
        <is>
          <t>ÄLMHULT</t>
        </is>
      </c>
      <c r="G2696" t="n">
        <v>4.9</v>
      </c>
      <c r="H2696" t="n">
        <v>0</v>
      </c>
      <c r="I2696" t="n">
        <v>0</v>
      </c>
      <c r="J2696" t="n">
        <v>0</v>
      </c>
      <c r="K2696" t="n">
        <v>0</v>
      </c>
      <c r="L2696" t="n">
        <v>0</v>
      </c>
      <c r="M2696" t="n">
        <v>0</v>
      </c>
      <c r="N2696" t="n">
        <v>0</v>
      </c>
      <c r="O2696" t="n">
        <v>0</v>
      </c>
      <c r="P2696" t="n">
        <v>0</v>
      </c>
      <c r="Q2696" t="n">
        <v>0</v>
      </c>
      <c r="R2696" s="2" t="inlineStr"/>
    </row>
    <row r="2697" ht="15" customHeight="1">
      <c r="A2697" t="inlineStr">
        <is>
          <t>A 9060-2026</t>
        </is>
      </c>
      <c r="B2697" s="1" t="n">
        <v>46069.56532407407</v>
      </c>
      <c r="C2697" s="1" t="n">
        <v>46103</v>
      </c>
      <c r="D2697" t="inlineStr">
        <is>
          <t>KRONOBERGS LÄN</t>
        </is>
      </c>
      <c r="E2697" t="inlineStr">
        <is>
          <t>MARKARYD</t>
        </is>
      </c>
      <c r="F2697" t="inlineStr">
        <is>
          <t>Sveaskog</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48278-2025</t>
        </is>
      </c>
      <c r="B2698" s="1" t="n">
        <v>45933.58689814815</v>
      </c>
      <c r="C2698" s="1" t="n">
        <v>46103</v>
      </c>
      <c r="D2698" t="inlineStr">
        <is>
          <t>KRONOBERGS LÄN</t>
        </is>
      </c>
      <c r="E2698" t="inlineStr">
        <is>
          <t>UPPVIDINGE</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9061-2026</t>
        </is>
      </c>
      <c r="B2699" s="1" t="n">
        <v>46069.56706018518</v>
      </c>
      <c r="C2699" s="1" t="n">
        <v>46103</v>
      </c>
      <c r="D2699" t="inlineStr">
        <is>
          <t>KRONOBERGS LÄN</t>
        </is>
      </c>
      <c r="E2699" t="inlineStr">
        <is>
          <t>MARKARYD</t>
        </is>
      </c>
      <c r="F2699" t="inlineStr">
        <is>
          <t>Sveaskog</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14387-2024</t>
        </is>
      </c>
      <c r="B2700" s="1" t="n">
        <v>45394.32820601852</v>
      </c>
      <c r="C2700" s="1" t="n">
        <v>46103</v>
      </c>
      <c r="D2700" t="inlineStr">
        <is>
          <t>KRONOBERGS LÄN</t>
        </is>
      </c>
      <c r="E2700" t="inlineStr">
        <is>
          <t>TINGSRYD</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21201-2023</t>
        </is>
      </c>
      <c r="B2701" s="1" t="n">
        <v>45062.49423611111</v>
      </c>
      <c r="C2701" s="1" t="n">
        <v>46103</v>
      </c>
      <c r="D2701" t="inlineStr">
        <is>
          <t>KRONOBERGS LÄN</t>
        </is>
      </c>
      <c r="E2701" t="inlineStr">
        <is>
          <t>ÄLMHULT</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76-2026</t>
        </is>
      </c>
      <c r="B2702" s="1" t="n">
        <v>46024.46804398148</v>
      </c>
      <c r="C2702" s="1" t="n">
        <v>46103</v>
      </c>
      <c r="D2702" t="inlineStr">
        <is>
          <t>KRONOBERGS LÄN</t>
        </is>
      </c>
      <c r="E2702" t="inlineStr">
        <is>
          <t>LJUNGBY</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17212-2024</t>
        </is>
      </c>
      <c r="B2703" s="1" t="n">
        <v>45414.31873842593</v>
      </c>
      <c r="C2703" s="1" t="n">
        <v>46103</v>
      </c>
      <c r="D2703" t="inlineStr">
        <is>
          <t>KRONOBERGS LÄN</t>
        </is>
      </c>
      <c r="E2703" t="inlineStr">
        <is>
          <t>ÄLMHULT</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9499-2026</t>
        </is>
      </c>
      <c r="B2704" s="1" t="n">
        <v>46071.57190972222</v>
      </c>
      <c r="C2704" s="1" t="n">
        <v>46103</v>
      </c>
      <c r="D2704" t="inlineStr">
        <is>
          <t>KRONOBERGS LÄN</t>
        </is>
      </c>
      <c r="E2704" t="inlineStr">
        <is>
          <t>UPPVIDINGE</t>
        </is>
      </c>
      <c r="G2704" t="n">
        <v>22.6</v>
      </c>
      <c r="H2704" t="n">
        <v>0</v>
      </c>
      <c r="I2704" t="n">
        <v>0</v>
      </c>
      <c r="J2704" t="n">
        <v>0</v>
      </c>
      <c r="K2704" t="n">
        <v>0</v>
      </c>
      <c r="L2704" t="n">
        <v>0</v>
      </c>
      <c r="M2704" t="n">
        <v>0</v>
      </c>
      <c r="N2704" t="n">
        <v>0</v>
      </c>
      <c r="O2704" t="n">
        <v>0</v>
      </c>
      <c r="P2704" t="n">
        <v>0</v>
      </c>
      <c r="Q2704" t="n">
        <v>0</v>
      </c>
      <c r="R2704" s="2" t="inlineStr"/>
    </row>
    <row r="2705" ht="15" customHeight="1">
      <c r="A2705" t="inlineStr">
        <is>
          <t>A 17504-2023</t>
        </is>
      </c>
      <c r="B2705" s="1" t="n">
        <v>45036</v>
      </c>
      <c r="C2705" s="1" t="n">
        <v>46103</v>
      </c>
      <c r="D2705" t="inlineStr">
        <is>
          <t>KRONOBERGS LÄN</t>
        </is>
      </c>
      <c r="E2705" t="inlineStr">
        <is>
          <t>VÄXJÖ</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578-2026</t>
        </is>
      </c>
      <c r="B2706" s="1" t="n">
        <v>46029.47736111111</v>
      </c>
      <c r="C2706" s="1" t="n">
        <v>46103</v>
      </c>
      <c r="D2706" t="inlineStr">
        <is>
          <t>KRONOBERGS LÄN</t>
        </is>
      </c>
      <c r="E2706" t="inlineStr">
        <is>
          <t>VÄXJÖ</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42671-2023</t>
        </is>
      </c>
      <c r="B2707" s="1" t="n">
        <v>45181.56402777778</v>
      </c>
      <c r="C2707" s="1" t="n">
        <v>46103</v>
      </c>
      <c r="D2707" t="inlineStr">
        <is>
          <t>KRONOBERGS LÄN</t>
        </is>
      </c>
      <c r="E2707" t="inlineStr">
        <is>
          <t>MARKARYD</t>
        </is>
      </c>
      <c r="F2707" t="inlineStr">
        <is>
          <t>Sveaskog</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37701-2022</t>
        </is>
      </c>
      <c r="B2708" s="1" t="n">
        <v>44810.52567129629</v>
      </c>
      <c r="C2708" s="1" t="n">
        <v>46103</v>
      </c>
      <c r="D2708" t="inlineStr">
        <is>
          <t>KRONOBERGS LÄN</t>
        </is>
      </c>
      <c r="E2708" t="inlineStr">
        <is>
          <t>LJUNGBY</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59692-2022</t>
        </is>
      </c>
      <c r="B2709" s="1" t="n">
        <v>44908</v>
      </c>
      <c r="C2709" s="1" t="n">
        <v>46103</v>
      </c>
      <c r="D2709" t="inlineStr">
        <is>
          <t>KRONOBERGS LÄN</t>
        </is>
      </c>
      <c r="E2709" t="inlineStr">
        <is>
          <t>LJUNGBY</t>
        </is>
      </c>
      <c r="F2709" t="inlineStr">
        <is>
          <t>Sveaskog</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35732-2024</t>
        </is>
      </c>
      <c r="B2710" s="1" t="n">
        <v>45532</v>
      </c>
      <c r="C2710" s="1" t="n">
        <v>46103</v>
      </c>
      <c r="D2710" t="inlineStr">
        <is>
          <t>KRONOBERGS LÄN</t>
        </is>
      </c>
      <c r="E2710" t="inlineStr">
        <is>
          <t>ALVESTA</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48327-2025</t>
        </is>
      </c>
      <c r="B2711" s="1" t="n">
        <v>45933.6312962963</v>
      </c>
      <c r="C2711" s="1" t="n">
        <v>46103</v>
      </c>
      <c r="D2711" t="inlineStr">
        <is>
          <t>KRONOBERGS LÄN</t>
        </is>
      </c>
      <c r="E2711" t="inlineStr">
        <is>
          <t>MARKARYD</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587-2026</t>
        </is>
      </c>
      <c r="B2712" s="1" t="n">
        <v>46029.48863425926</v>
      </c>
      <c r="C2712" s="1" t="n">
        <v>46103</v>
      </c>
      <c r="D2712" t="inlineStr">
        <is>
          <t>KRONOBERGS LÄN</t>
        </is>
      </c>
      <c r="E2712" t="inlineStr">
        <is>
          <t>VÄXJÖ</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18998-2025</t>
        </is>
      </c>
      <c r="B2713" s="1" t="n">
        <v>45764</v>
      </c>
      <c r="C2713" s="1" t="n">
        <v>46103</v>
      </c>
      <c r="D2713" t="inlineStr">
        <is>
          <t>KRONOBERGS LÄN</t>
        </is>
      </c>
      <c r="E2713" t="inlineStr">
        <is>
          <t>VÄXJÖ</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36242-2024</t>
        </is>
      </c>
      <c r="B2714" s="1" t="n">
        <v>45534</v>
      </c>
      <c r="C2714" s="1" t="n">
        <v>46103</v>
      </c>
      <c r="D2714" t="inlineStr">
        <is>
          <t>KRONOBERGS LÄN</t>
        </is>
      </c>
      <c r="E2714" t="inlineStr">
        <is>
          <t>UPPVIDINGE</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48196-2025</t>
        </is>
      </c>
      <c r="B2715" s="1" t="n">
        <v>45932</v>
      </c>
      <c r="C2715" s="1" t="n">
        <v>46103</v>
      </c>
      <c r="D2715" t="inlineStr">
        <is>
          <t>KRONOBERGS LÄN</t>
        </is>
      </c>
      <c r="E2715" t="inlineStr">
        <is>
          <t>ÄLMHULT</t>
        </is>
      </c>
      <c r="G2715" t="n">
        <v>20.1</v>
      </c>
      <c r="H2715" t="n">
        <v>0</v>
      </c>
      <c r="I2715" t="n">
        <v>0</v>
      </c>
      <c r="J2715" t="n">
        <v>0</v>
      </c>
      <c r="K2715" t="n">
        <v>0</v>
      </c>
      <c r="L2715" t="n">
        <v>0</v>
      </c>
      <c r="M2715" t="n">
        <v>0</v>
      </c>
      <c r="N2715" t="n">
        <v>0</v>
      </c>
      <c r="O2715" t="n">
        <v>0</v>
      </c>
      <c r="P2715" t="n">
        <v>0</v>
      </c>
      <c r="Q2715" t="n">
        <v>0</v>
      </c>
      <c r="R2715" s="2" t="inlineStr"/>
    </row>
    <row r="2716" ht="15" customHeight="1">
      <c r="A2716" t="inlineStr">
        <is>
          <t>A 25012-2025</t>
        </is>
      </c>
      <c r="B2716" s="1" t="n">
        <v>45799.62875</v>
      </c>
      <c r="C2716" s="1" t="n">
        <v>46103</v>
      </c>
      <c r="D2716" t="inlineStr">
        <is>
          <t>KRONOBERGS LÄN</t>
        </is>
      </c>
      <c r="E2716" t="inlineStr">
        <is>
          <t>MARKARYD</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48292-2025</t>
        </is>
      </c>
      <c r="B2717" s="1" t="n">
        <v>45933.5980324074</v>
      </c>
      <c r="C2717" s="1" t="n">
        <v>46103</v>
      </c>
      <c r="D2717" t="inlineStr">
        <is>
          <t>KRONOBERGS LÄN</t>
        </is>
      </c>
      <c r="E2717" t="inlineStr">
        <is>
          <t>VÄXJÖ</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12608-2023</t>
        </is>
      </c>
      <c r="B2718" s="1" t="n">
        <v>45000</v>
      </c>
      <c r="C2718" s="1" t="n">
        <v>46103</v>
      </c>
      <c r="D2718" t="inlineStr">
        <is>
          <t>KRONOBERGS LÄN</t>
        </is>
      </c>
      <c r="E2718" t="inlineStr">
        <is>
          <t>ALVESTA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48143-2025</t>
        </is>
      </c>
      <c r="B2719" s="1" t="n">
        <v>45933.38685185185</v>
      </c>
      <c r="C2719" s="1" t="n">
        <v>46103</v>
      </c>
      <c r="D2719" t="inlineStr">
        <is>
          <t>KRONOBERGS LÄN</t>
        </is>
      </c>
      <c r="E2719" t="inlineStr">
        <is>
          <t>ALVESTA</t>
        </is>
      </c>
      <c r="G2719" t="n">
        <v>4.4</v>
      </c>
      <c r="H2719" t="n">
        <v>0</v>
      </c>
      <c r="I2719" t="n">
        <v>0</v>
      </c>
      <c r="J2719" t="n">
        <v>0</v>
      </c>
      <c r="K2719" t="n">
        <v>0</v>
      </c>
      <c r="L2719" t="n">
        <v>0</v>
      </c>
      <c r="M2719" t="n">
        <v>0</v>
      </c>
      <c r="N2719" t="n">
        <v>0</v>
      </c>
      <c r="O2719" t="n">
        <v>0</v>
      </c>
      <c r="P2719" t="n">
        <v>0</v>
      </c>
      <c r="Q2719" t="n">
        <v>0</v>
      </c>
      <c r="R2719" s="2" t="inlineStr"/>
    </row>
    <row r="2720" ht="15" customHeight="1">
      <c r="A2720" t="inlineStr">
        <is>
          <t>A 41772-2023</t>
        </is>
      </c>
      <c r="B2720" s="1" t="n">
        <v>45176.46469907407</v>
      </c>
      <c r="C2720" s="1" t="n">
        <v>46103</v>
      </c>
      <c r="D2720" t="inlineStr">
        <is>
          <t>KRONOBERGS LÄN</t>
        </is>
      </c>
      <c r="E2720" t="inlineStr">
        <is>
          <t>TINGSRYD</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20421-2021</t>
        </is>
      </c>
      <c r="B2721" s="1" t="n">
        <v>44315</v>
      </c>
      <c r="C2721" s="1" t="n">
        <v>46103</v>
      </c>
      <c r="D2721" t="inlineStr">
        <is>
          <t>KRONOBERGS LÄN</t>
        </is>
      </c>
      <c r="E2721" t="inlineStr">
        <is>
          <t>ÄLMHULT</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20425-2021</t>
        </is>
      </c>
      <c r="B2722" s="1" t="n">
        <v>44315</v>
      </c>
      <c r="C2722" s="1" t="n">
        <v>46103</v>
      </c>
      <c r="D2722" t="inlineStr">
        <is>
          <t>KRONOBERGS LÄN</t>
        </is>
      </c>
      <c r="E2722" t="inlineStr">
        <is>
          <t>ÄLMHULT</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457-2026</t>
        </is>
      </c>
      <c r="B2723" s="1" t="n">
        <v>46029.37082175926</v>
      </c>
      <c r="C2723" s="1" t="n">
        <v>46103</v>
      </c>
      <c r="D2723" t="inlineStr">
        <is>
          <t>KRONOBERGS LÄN</t>
        </is>
      </c>
      <c r="E2723" t="inlineStr">
        <is>
          <t>VÄXJÖ</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48345-2025</t>
        </is>
      </c>
      <c r="B2724" s="1" t="n">
        <v>45933.64509259259</v>
      </c>
      <c r="C2724" s="1" t="n">
        <v>46103</v>
      </c>
      <c r="D2724" t="inlineStr">
        <is>
          <t>KRONOBERGS LÄN</t>
        </is>
      </c>
      <c r="E2724" t="inlineStr">
        <is>
          <t>MARKARYD</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61422-2023</t>
        </is>
      </c>
      <c r="B2725" s="1" t="n">
        <v>45264.68416666667</v>
      </c>
      <c r="C2725" s="1" t="n">
        <v>46103</v>
      </c>
      <c r="D2725" t="inlineStr">
        <is>
          <t>KRONOBERGS LÄN</t>
        </is>
      </c>
      <c r="E2725" t="inlineStr">
        <is>
          <t>LJUNGBY</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9459-2026</t>
        </is>
      </c>
      <c r="B2726" s="1" t="n">
        <v>46071.49119212963</v>
      </c>
      <c r="C2726" s="1" t="n">
        <v>46103</v>
      </c>
      <c r="D2726" t="inlineStr">
        <is>
          <t>KRONOBERGS LÄN</t>
        </is>
      </c>
      <c r="E2726" t="inlineStr">
        <is>
          <t>UPPVIDINGE</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503-2026</t>
        </is>
      </c>
      <c r="B2727" s="1" t="n">
        <v>46029.43753472222</v>
      </c>
      <c r="C2727" s="1" t="n">
        <v>46103</v>
      </c>
      <c r="D2727" t="inlineStr">
        <is>
          <t>KRONOBERGS LÄN</t>
        </is>
      </c>
      <c r="E2727" t="inlineStr">
        <is>
          <t>UPPVIDINGE</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24621-2025</t>
        </is>
      </c>
      <c r="B2728" s="1" t="n">
        <v>45798</v>
      </c>
      <c r="C2728" s="1" t="n">
        <v>46103</v>
      </c>
      <c r="D2728" t="inlineStr">
        <is>
          <t>KRONOBERGS LÄN</t>
        </is>
      </c>
      <c r="E2728" t="inlineStr">
        <is>
          <t>TINGSRYD</t>
        </is>
      </c>
      <c r="G2728" t="n">
        <v>9.199999999999999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3971-2025</t>
        </is>
      </c>
      <c r="B2729" s="1" t="n">
        <v>45684.52679398148</v>
      </c>
      <c r="C2729" s="1" t="n">
        <v>46103</v>
      </c>
      <c r="D2729" t="inlineStr">
        <is>
          <t>KRONOBERGS LÄN</t>
        </is>
      </c>
      <c r="E2729" t="inlineStr">
        <is>
          <t>TINGSRYD</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59088-2024</t>
        </is>
      </c>
      <c r="B2730" s="1" t="n">
        <v>45637.3166087963</v>
      </c>
      <c r="C2730" s="1" t="n">
        <v>46103</v>
      </c>
      <c r="D2730" t="inlineStr">
        <is>
          <t>KRONOBERGS LÄN</t>
        </is>
      </c>
      <c r="E2730" t="inlineStr">
        <is>
          <t>TINGSRYD</t>
        </is>
      </c>
      <c r="F2730" t="inlineStr">
        <is>
          <t>Övriga Aktiebolag</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47922-2025</t>
        </is>
      </c>
      <c r="B2731" s="1" t="n">
        <v>45932.53429398148</v>
      </c>
      <c r="C2731" s="1" t="n">
        <v>46103</v>
      </c>
      <c r="D2731" t="inlineStr">
        <is>
          <t>KRONOBERGS LÄN</t>
        </is>
      </c>
      <c r="E2731" t="inlineStr">
        <is>
          <t>TINGSRYD</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48245-2025</t>
        </is>
      </c>
      <c r="B2732" s="1" t="n">
        <v>45932</v>
      </c>
      <c r="C2732" s="1" t="n">
        <v>46103</v>
      </c>
      <c r="D2732" t="inlineStr">
        <is>
          <t>KRONOBERGS LÄN</t>
        </is>
      </c>
      <c r="E2732" t="inlineStr">
        <is>
          <t>ÄLMHULT</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9215-2026</t>
        </is>
      </c>
      <c r="B2733" s="1" t="n">
        <v>46070.43625</v>
      </c>
      <c r="C2733" s="1" t="n">
        <v>46103</v>
      </c>
      <c r="D2733" t="inlineStr">
        <is>
          <t>KRONOBERGS LÄN</t>
        </is>
      </c>
      <c r="E2733" t="inlineStr">
        <is>
          <t>ALVESTA</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17037-2024</t>
        </is>
      </c>
      <c r="B2734" s="1" t="n">
        <v>45412</v>
      </c>
      <c r="C2734" s="1" t="n">
        <v>46103</v>
      </c>
      <c r="D2734" t="inlineStr">
        <is>
          <t>KRONOBERGS LÄN</t>
        </is>
      </c>
      <c r="E2734" t="inlineStr">
        <is>
          <t>LJUNGBY</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48093-2025</t>
        </is>
      </c>
      <c r="B2735" s="1" t="n">
        <v>45933.29821759259</v>
      </c>
      <c r="C2735" s="1" t="n">
        <v>46103</v>
      </c>
      <c r="D2735" t="inlineStr">
        <is>
          <t>KRONOBERGS LÄN</t>
        </is>
      </c>
      <c r="E2735" t="inlineStr">
        <is>
          <t>TINGSRYD</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48270-2025</t>
        </is>
      </c>
      <c r="B2736" s="1" t="n">
        <v>45933.57260416666</v>
      </c>
      <c r="C2736" s="1" t="n">
        <v>46103</v>
      </c>
      <c r="D2736" t="inlineStr">
        <is>
          <t>KRONOBERGS LÄN</t>
        </is>
      </c>
      <c r="E2736" t="inlineStr">
        <is>
          <t>VÄXJÖ</t>
        </is>
      </c>
      <c r="G2736" t="n">
        <v>4.8</v>
      </c>
      <c r="H2736" t="n">
        <v>0</v>
      </c>
      <c r="I2736" t="n">
        <v>0</v>
      </c>
      <c r="J2736" t="n">
        <v>0</v>
      </c>
      <c r="K2736" t="n">
        <v>0</v>
      </c>
      <c r="L2736" t="n">
        <v>0</v>
      </c>
      <c r="M2736" t="n">
        <v>0</v>
      </c>
      <c r="N2736" t="n">
        <v>0</v>
      </c>
      <c r="O2736" t="n">
        <v>0</v>
      </c>
      <c r="P2736" t="n">
        <v>0</v>
      </c>
      <c r="Q2736" t="n">
        <v>0</v>
      </c>
      <c r="R2736" s="2" t="inlineStr"/>
    </row>
    <row r="2737" ht="15" customHeight="1">
      <c r="A2737" t="inlineStr">
        <is>
          <t>A 18680-2023</t>
        </is>
      </c>
      <c r="B2737" s="1" t="n">
        <v>45043.59314814815</v>
      </c>
      <c r="C2737" s="1" t="n">
        <v>46103</v>
      </c>
      <c r="D2737" t="inlineStr">
        <is>
          <t>KRONOBERGS LÄN</t>
        </is>
      </c>
      <c r="E2737" t="inlineStr">
        <is>
          <t>ALVESTA</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48114-2025</t>
        </is>
      </c>
      <c r="B2738" s="1" t="n">
        <v>45933</v>
      </c>
      <c r="C2738" s="1" t="n">
        <v>46103</v>
      </c>
      <c r="D2738" t="inlineStr">
        <is>
          <t>KRONOBERGS LÄN</t>
        </is>
      </c>
      <c r="E2738" t="inlineStr">
        <is>
          <t>ALVESTA</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455-2026</t>
        </is>
      </c>
      <c r="B2739" s="1" t="n">
        <v>46029.36269675926</v>
      </c>
      <c r="C2739" s="1" t="n">
        <v>46103</v>
      </c>
      <c r="D2739" t="inlineStr">
        <is>
          <t>KRONOBERGS LÄN</t>
        </is>
      </c>
      <c r="E2739" t="inlineStr">
        <is>
          <t>MARKARYD</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456-2026</t>
        </is>
      </c>
      <c r="B2740" s="1" t="n">
        <v>46029.36862268519</v>
      </c>
      <c r="C2740" s="1" t="n">
        <v>46103</v>
      </c>
      <c r="D2740" t="inlineStr">
        <is>
          <t>KRONOBERGS LÄN</t>
        </is>
      </c>
      <c r="E2740" t="inlineStr">
        <is>
          <t>MARKARYD</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48157-2025</t>
        </is>
      </c>
      <c r="B2741" s="1" t="n">
        <v>45933.41994212963</v>
      </c>
      <c r="C2741" s="1" t="n">
        <v>46103</v>
      </c>
      <c r="D2741" t="inlineStr">
        <is>
          <t>KRONOBERGS LÄN</t>
        </is>
      </c>
      <c r="E2741" t="inlineStr">
        <is>
          <t>TINGSRYD</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48159-2025</t>
        </is>
      </c>
      <c r="B2742" s="1" t="n">
        <v>45933.42581018519</v>
      </c>
      <c r="C2742" s="1" t="n">
        <v>46103</v>
      </c>
      <c r="D2742" t="inlineStr">
        <is>
          <t>KRONOBERGS LÄN</t>
        </is>
      </c>
      <c r="E2742" t="inlineStr">
        <is>
          <t>VÄXJÖ</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48338-2025</t>
        </is>
      </c>
      <c r="B2743" s="1" t="n">
        <v>45933.64008101852</v>
      </c>
      <c r="C2743" s="1" t="n">
        <v>46103</v>
      </c>
      <c r="D2743" t="inlineStr">
        <is>
          <t>KRONOBERGS LÄN</t>
        </is>
      </c>
      <c r="E2743" t="inlineStr">
        <is>
          <t>MARKARYD</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29767-2023</t>
        </is>
      </c>
      <c r="B2744" s="1" t="n">
        <v>45107.48325231481</v>
      </c>
      <c r="C2744" s="1" t="n">
        <v>46103</v>
      </c>
      <c r="D2744" t="inlineStr">
        <is>
          <t>KRONOBERGS LÄN</t>
        </is>
      </c>
      <c r="E2744" t="inlineStr">
        <is>
          <t>LESSEBO</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47996-2025</t>
        </is>
      </c>
      <c r="B2745" s="1" t="n">
        <v>45932.62766203703</v>
      </c>
      <c r="C2745" s="1" t="n">
        <v>46103</v>
      </c>
      <c r="D2745" t="inlineStr">
        <is>
          <t>KRONOBERGS LÄN</t>
        </is>
      </c>
      <c r="E2745" t="inlineStr">
        <is>
          <t>VÄXJÖ</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48009-2025</t>
        </is>
      </c>
      <c r="B2746" s="1" t="n">
        <v>45932.64091435185</v>
      </c>
      <c r="C2746" s="1" t="n">
        <v>46103</v>
      </c>
      <c r="D2746" t="inlineStr">
        <is>
          <t>KRONOBERGS LÄN</t>
        </is>
      </c>
      <c r="E2746" t="inlineStr">
        <is>
          <t>ALVESTA</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48010-2025</t>
        </is>
      </c>
      <c r="B2747" s="1" t="n">
        <v>45932.64313657407</v>
      </c>
      <c r="C2747" s="1" t="n">
        <v>46103</v>
      </c>
      <c r="D2747" t="inlineStr">
        <is>
          <t>KRONOBERGS LÄN</t>
        </is>
      </c>
      <c r="E2747" t="inlineStr">
        <is>
          <t>VÄXJÖ</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48158-2025</t>
        </is>
      </c>
      <c r="B2748" s="1" t="n">
        <v>45933</v>
      </c>
      <c r="C2748" s="1" t="n">
        <v>46103</v>
      </c>
      <c r="D2748" t="inlineStr">
        <is>
          <t>KRONOBERGS LÄN</t>
        </is>
      </c>
      <c r="E2748" t="inlineStr">
        <is>
          <t>VÄXJÖ</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27545-2023</t>
        </is>
      </c>
      <c r="B2749" s="1" t="n">
        <v>45097</v>
      </c>
      <c r="C2749" s="1" t="n">
        <v>46103</v>
      </c>
      <c r="D2749" t="inlineStr">
        <is>
          <t>KRONOBERGS LÄN</t>
        </is>
      </c>
      <c r="E2749" t="inlineStr">
        <is>
          <t>TINGSRYD</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27628-2023</t>
        </is>
      </c>
      <c r="B2750" s="1" t="n">
        <v>45097</v>
      </c>
      <c r="C2750" s="1" t="n">
        <v>46103</v>
      </c>
      <c r="D2750" t="inlineStr">
        <is>
          <t>KRONOBERGS LÄN</t>
        </is>
      </c>
      <c r="E2750" t="inlineStr">
        <is>
          <t>LJUNGBY</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48022-2025</t>
        </is>
      </c>
      <c r="B2751" s="1" t="n">
        <v>45932.64996527778</v>
      </c>
      <c r="C2751" s="1" t="n">
        <v>46103</v>
      </c>
      <c r="D2751" t="inlineStr">
        <is>
          <t>KRONOBERGS LÄN</t>
        </is>
      </c>
      <c r="E2751" t="inlineStr">
        <is>
          <t>ALVESTA</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764-2026</t>
        </is>
      </c>
      <c r="B2752" s="1" t="n">
        <v>46029.70104166667</v>
      </c>
      <c r="C2752" s="1" t="n">
        <v>46103</v>
      </c>
      <c r="D2752" t="inlineStr">
        <is>
          <t>KRONOBERGS LÄN</t>
        </is>
      </c>
      <c r="E2752" t="inlineStr">
        <is>
          <t>UPPVIDINGE</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64618-2021</t>
        </is>
      </c>
      <c r="B2753" s="1" t="n">
        <v>44511.80325231481</v>
      </c>
      <c r="C2753" s="1" t="n">
        <v>46103</v>
      </c>
      <c r="D2753" t="inlineStr">
        <is>
          <t>KRONOBERGS LÄN</t>
        </is>
      </c>
      <c r="E2753" t="inlineStr">
        <is>
          <t>ÄLMHULT</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64624-2021</t>
        </is>
      </c>
      <c r="B2754" s="1" t="n">
        <v>44511.87037037037</v>
      </c>
      <c r="C2754" s="1" t="n">
        <v>46103</v>
      </c>
      <c r="D2754" t="inlineStr">
        <is>
          <t>KRONOBERGS LÄN</t>
        </is>
      </c>
      <c r="E2754" t="inlineStr">
        <is>
          <t>ÄLMHULT</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25165-2025</t>
        </is>
      </c>
      <c r="B2755" s="1" t="n">
        <v>45800.43210648148</v>
      </c>
      <c r="C2755" s="1" t="n">
        <v>46103</v>
      </c>
      <c r="D2755" t="inlineStr">
        <is>
          <t>KRONOBERGS LÄN</t>
        </is>
      </c>
      <c r="E2755" t="inlineStr">
        <is>
          <t>TINGSRYD</t>
        </is>
      </c>
      <c r="G2755" t="n">
        <v>5.1</v>
      </c>
      <c r="H2755" t="n">
        <v>0</v>
      </c>
      <c r="I2755" t="n">
        <v>0</v>
      </c>
      <c r="J2755" t="n">
        <v>0</v>
      </c>
      <c r="K2755" t="n">
        <v>0</v>
      </c>
      <c r="L2755" t="n">
        <v>0</v>
      </c>
      <c r="M2755" t="n">
        <v>0</v>
      </c>
      <c r="N2755" t="n">
        <v>0</v>
      </c>
      <c r="O2755" t="n">
        <v>0</v>
      </c>
      <c r="P2755" t="n">
        <v>0</v>
      </c>
      <c r="Q2755" t="n">
        <v>0</v>
      </c>
      <c r="R2755" s="2" t="inlineStr"/>
    </row>
    <row r="2756" ht="15" customHeight="1">
      <c r="A2756" t="inlineStr">
        <is>
          <t>A 9674-2024</t>
        </is>
      </c>
      <c r="B2756" s="1" t="n">
        <v>45362</v>
      </c>
      <c r="C2756" s="1" t="n">
        <v>46103</v>
      </c>
      <c r="D2756" t="inlineStr">
        <is>
          <t>KRONOBERGS LÄN</t>
        </is>
      </c>
      <c r="E2756" t="inlineStr">
        <is>
          <t>ALVESTA</t>
        </is>
      </c>
      <c r="G2756" t="n">
        <v>5.1</v>
      </c>
      <c r="H2756" t="n">
        <v>0</v>
      </c>
      <c r="I2756" t="n">
        <v>0</v>
      </c>
      <c r="J2756" t="n">
        <v>0</v>
      </c>
      <c r="K2756" t="n">
        <v>0</v>
      </c>
      <c r="L2756" t="n">
        <v>0</v>
      </c>
      <c r="M2756" t="n">
        <v>0</v>
      </c>
      <c r="N2756" t="n">
        <v>0</v>
      </c>
      <c r="O2756" t="n">
        <v>0</v>
      </c>
      <c r="P2756" t="n">
        <v>0</v>
      </c>
      <c r="Q2756" t="n">
        <v>0</v>
      </c>
      <c r="R2756" s="2" t="inlineStr"/>
    </row>
    <row r="2757" ht="15" customHeight="1">
      <c r="A2757" t="inlineStr">
        <is>
          <t>A 48151-2025</t>
        </is>
      </c>
      <c r="B2757" s="1" t="n">
        <v>45933.40837962963</v>
      </c>
      <c r="C2757" s="1" t="n">
        <v>46103</v>
      </c>
      <c r="D2757" t="inlineStr">
        <is>
          <t>KRONOBERGS LÄN</t>
        </is>
      </c>
      <c r="E2757" t="inlineStr">
        <is>
          <t>VÄXJÖ</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47839-2025</t>
        </is>
      </c>
      <c r="B2758" s="1" t="n">
        <v>45932.36827546296</v>
      </c>
      <c r="C2758" s="1" t="n">
        <v>46103</v>
      </c>
      <c r="D2758" t="inlineStr">
        <is>
          <t>KRONOBERGS LÄN</t>
        </is>
      </c>
      <c r="E2758" t="inlineStr">
        <is>
          <t>UPPVIDINGE</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48155-2025</t>
        </is>
      </c>
      <c r="B2759" s="1" t="n">
        <v>45933.41378472222</v>
      </c>
      <c r="C2759" s="1" t="n">
        <v>46103</v>
      </c>
      <c r="D2759" t="inlineStr">
        <is>
          <t>KRONOBERGS LÄN</t>
        </is>
      </c>
      <c r="E2759" t="inlineStr">
        <is>
          <t>UPPVIDINGE</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48161-2025</t>
        </is>
      </c>
      <c r="B2760" s="1" t="n">
        <v>45933.4261574074</v>
      </c>
      <c r="C2760" s="1" t="n">
        <v>46103</v>
      </c>
      <c r="D2760" t="inlineStr">
        <is>
          <t>KRONOBERGS LÄN</t>
        </is>
      </c>
      <c r="E2760" t="inlineStr">
        <is>
          <t>VÄXJÖ</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505-2026</t>
        </is>
      </c>
      <c r="B2761" s="1" t="n">
        <v>46029.43957175926</v>
      </c>
      <c r="C2761" s="1" t="n">
        <v>46103</v>
      </c>
      <c r="D2761" t="inlineStr">
        <is>
          <t>KRONOBERGS LÄN</t>
        </is>
      </c>
      <c r="E2761" t="inlineStr">
        <is>
          <t>UPPVIDINGE</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25448-2025</t>
        </is>
      </c>
      <c r="B2762" s="1" t="n">
        <v>45801.73608796296</v>
      </c>
      <c r="C2762" s="1" t="n">
        <v>46103</v>
      </c>
      <c r="D2762" t="inlineStr">
        <is>
          <t>KRONOBERGS LÄN</t>
        </is>
      </c>
      <c r="E2762" t="inlineStr">
        <is>
          <t>UPPVIDINGE</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54728-2022</t>
        </is>
      </c>
      <c r="B2763" s="1" t="n">
        <v>44883.55409722222</v>
      </c>
      <c r="C2763" s="1" t="n">
        <v>46103</v>
      </c>
      <c r="D2763" t="inlineStr">
        <is>
          <t>KRONOBERGS LÄN</t>
        </is>
      </c>
      <c r="E2763" t="inlineStr">
        <is>
          <t>TINGSRYD</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9260-2026</t>
        </is>
      </c>
      <c r="B2764" s="1" t="n">
        <v>46069</v>
      </c>
      <c r="C2764" s="1" t="n">
        <v>46103</v>
      </c>
      <c r="D2764" t="inlineStr">
        <is>
          <t>KRONOBERGS LÄN</t>
        </is>
      </c>
      <c r="E2764" t="inlineStr">
        <is>
          <t>UPPVIDINGE</t>
        </is>
      </c>
      <c r="F2764" t="inlineStr">
        <is>
          <t>Kyrkan</t>
        </is>
      </c>
      <c r="G2764" t="n">
        <v>8.800000000000001</v>
      </c>
      <c r="H2764" t="n">
        <v>0</v>
      </c>
      <c r="I2764" t="n">
        <v>0</v>
      </c>
      <c r="J2764" t="n">
        <v>0</v>
      </c>
      <c r="K2764" t="n">
        <v>0</v>
      </c>
      <c r="L2764" t="n">
        <v>0</v>
      </c>
      <c r="M2764" t="n">
        <v>0</v>
      </c>
      <c r="N2764" t="n">
        <v>0</v>
      </c>
      <c r="O2764" t="n">
        <v>0</v>
      </c>
      <c r="P2764" t="n">
        <v>0</v>
      </c>
      <c r="Q2764" t="n">
        <v>0</v>
      </c>
      <c r="R2764" s="2" t="inlineStr"/>
    </row>
    <row r="2765" ht="15" customHeight="1">
      <c r="A2765" t="inlineStr">
        <is>
          <t>A 8298-2025</t>
        </is>
      </c>
      <c r="B2765" s="1" t="n">
        <v>45708.58217592593</v>
      </c>
      <c r="C2765" s="1" t="n">
        <v>46103</v>
      </c>
      <c r="D2765" t="inlineStr">
        <is>
          <t>KRONOBERGS LÄN</t>
        </is>
      </c>
      <c r="E2765" t="inlineStr">
        <is>
          <t>ALVESTA</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453-2026</t>
        </is>
      </c>
      <c r="B2766" s="1" t="n">
        <v>46029.35577546297</v>
      </c>
      <c r="C2766" s="1" t="n">
        <v>46103</v>
      </c>
      <c r="D2766" t="inlineStr">
        <is>
          <t>KRONOBERGS LÄN</t>
        </is>
      </c>
      <c r="E2766" t="inlineStr">
        <is>
          <t>MARKARYD</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18229-2021</t>
        </is>
      </c>
      <c r="B2767" s="1" t="n">
        <v>44303</v>
      </c>
      <c r="C2767" s="1" t="n">
        <v>46103</v>
      </c>
      <c r="D2767" t="inlineStr">
        <is>
          <t>KRONOBERGS LÄN</t>
        </is>
      </c>
      <c r="E2767" t="inlineStr">
        <is>
          <t>MARKARYD</t>
        </is>
      </c>
      <c r="G2767" t="n">
        <v>0.2</v>
      </c>
      <c r="H2767" t="n">
        <v>0</v>
      </c>
      <c r="I2767" t="n">
        <v>0</v>
      </c>
      <c r="J2767" t="n">
        <v>0</v>
      </c>
      <c r="K2767" t="n">
        <v>0</v>
      </c>
      <c r="L2767" t="n">
        <v>0</v>
      </c>
      <c r="M2767" t="n">
        <v>0</v>
      </c>
      <c r="N2767" t="n">
        <v>0</v>
      </c>
      <c r="O2767" t="n">
        <v>0</v>
      </c>
      <c r="P2767" t="n">
        <v>0</v>
      </c>
      <c r="Q2767" t="n">
        <v>0</v>
      </c>
      <c r="R2767" s="2" t="inlineStr"/>
    </row>
    <row r="2768" ht="15" customHeight="1">
      <c r="A2768" t="inlineStr">
        <is>
          <t>A 766-2026</t>
        </is>
      </c>
      <c r="B2768" s="1" t="n">
        <v>46029.70577546296</v>
      </c>
      <c r="C2768" s="1" t="n">
        <v>46103</v>
      </c>
      <c r="D2768" t="inlineStr">
        <is>
          <t>KRONOBERGS LÄN</t>
        </is>
      </c>
      <c r="E2768" t="inlineStr">
        <is>
          <t>UPPVIDINGE</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36274-2023</t>
        </is>
      </c>
      <c r="B2769" s="1" t="n">
        <v>45152.32761574074</v>
      </c>
      <c r="C2769" s="1" t="n">
        <v>46103</v>
      </c>
      <c r="D2769" t="inlineStr">
        <is>
          <t>KRONOBERGS LÄN</t>
        </is>
      </c>
      <c r="E2769" t="inlineStr">
        <is>
          <t>TINGSRYD</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31983-2021</t>
        </is>
      </c>
      <c r="B2770" s="1" t="n">
        <v>44370.59787037037</v>
      </c>
      <c r="C2770" s="1" t="n">
        <v>46103</v>
      </c>
      <c r="D2770" t="inlineStr">
        <is>
          <t>KRONOBERGS LÄN</t>
        </is>
      </c>
      <c r="E2770" t="inlineStr">
        <is>
          <t>MARKARYD</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48716-2025</t>
        </is>
      </c>
      <c r="B2771" s="1" t="n">
        <v>45936</v>
      </c>
      <c r="C2771" s="1" t="n">
        <v>46103</v>
      </c>
      <c r="D2771" t="inlineStr">
        <is>
          <t>KRONOBERGS LÄN</t>
        </is>
      </c>
      <c r="E2771" t="inlineStr">
        <is>
          <t>ALVESTA</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39435-2021</t>
        </is>
      </c>
      <c r="B2772" s="1" t="n">
        <v>44414</v>
      </c>
      <c r="C2772" s="1" t="n">
        <v>46103</v>
      </c>
      <c r="D2772" t="inlineStr">
        <is>
          <t>KRONOBERGS LÄN</t>
        </is>
      </c>
      <c r="E2772" t="inlineStr">
        <is>
          <t>MARKARYD</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9532-2026</t>
        </is>
      </c>
      <c r="B2773" s="1" t="n">
        <v>46071.61009259259</v>
      </c>
      <c r="C2773" s="1" t="n">
        <v>46103</v>
      </c>
      <c r="D2773" t="inlineStr">
        <is>
          <t>KRONOBERGS LÄN</t>
        </is>
      </c>
      <c r="E2773" t="inlineStr">
        <is>
          <t>UPPVIDINGE</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9714-2023</t>
        </is>
      </c>
      <c r="B2774" s="1" t="n">
        <v>44984</v>
      </c>
      <c r="C2774" s="1" t="n">
        <v>46103</v>
      </c>
      <c r="D2774" t="inlineStr">
        <is>
          <t>KRONOBERGS LÄN</t>
        </is>
      </c>
      <c r="E2774" t="inlineStr">
        <is>
          <t>UPPVIDINGE</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17541-2025</t>
        </is>
      </c>
      <c r="B2775" s="1" t="n">
        <v>45757</v>
      </c>
      <c r="C2775" s="1" t="n">
        <v>46103</v>
      </c>
      <c r="D2775" t="inlineStr">
        <is>
          <t>KRONOBERGS LÄN</t>
        </is>
      </c>
      <c r="E2775" t="inlineStr">
        <is>
          <t>UPPVIDINGE</t>
        </is>
      </c>
      <c r="F2775" t="inlineStr">
        <is>
          <t>Kyrkan</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9535-2026</t>
        </is>
      </c>
      <c r="B2776" s="1" t="n">
        <v>46071.61412037037</v>
      </c>
      <c r="C2776" s="1" t="n">
        <v>46103</v>
      </c>
      <c r="D2776" t="inlineStr">
        <is>
          <t>KRONOBERGS LÄN</t>
        </is>
      </c>
      <c r="E2776" t="inlineStr">
        <is>
          <t>UPPVIDINGE</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3690-2025</t>
        </is>
      </c>
      <c r="B2777" s="1" t="n">
        <v>45681.46109953704</v>
      </c>
      <c r="C2777" s="1" t="n">
        <v>46103</v>
      </c>
      <c r="D2777" t="inlineStr">
        <is>
          <t>KRONOBERGS LÄN</t>
        </is>
      </c>
      <c r="E2777" t="inlineStr">
        <is>
          <t>ÄLMHULT</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616-2026</t>
        </is>
      </c>
      <c r="B2778" s="1" t="n">
        <v>46029</v>
      </c>
      <c r="C2778" s="1" t="n">
        <v>46103</v>
      </c>
      <c r="D2778" t="inlineStr">
        <is>
          <t>KRONOBERGS LÄN</t>
        </is>
      </c>
      <c r="E2778" t="inlineStr">
        <is>
          <t>TINGSRYD</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59968-2025</t>
        </is>
      </c>
      <c r="B2779" s="1" t="n">
        <v>45993</v>
      </c>
      <c r="C2779" s="1" t="n">
        <v>46103</v>
      </c>
      <c r="D2779" t="inlineStr">
        <is>
          <t>KRONOBERGS LÄN</t>
        </is>
      </c>
      <c r="E2779" t="inlineStr">
        <is>
          <t>LJUNGBY</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25092-2025</t>
        </is>
      </c>
      <c r="B2780" s="1" t="n">
        <v>45800.31851851852</v>
      </c>
      <c r="C2780" s="1" t="n">
        <v>46103</v>
      </c>
      <c r="D2780" t="inlineStr">
        <is>
          <t>KRONOBERGS LÄN</t>
        </is>
      </c>
      <c r="E2780" t="inlineStr">
        <is>
          <t>MARKARYD</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48395-2025</t>
        </is>
      </c>
      <c r="B2781" s="1" t="n">
        <v>45934.26534722222</v>
      </c>
      <c r="C2781" s="1" t="n">
        <v>46103</v>
      </c>
      <c r="D2781" t="inlineStr">
        <is>
          <t>KRONOBERGS LÄN</t>
        </is>
      </c>
      <c r="E2781" t="inlineStr">
        <is>
          <t>UPPVIDINGE</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48399-2025</t>
        </is>
      </c>
      <c r="B2782" s="1" t="n">
        <v>45934.28383101852</v>
      </c>
      <c r="C2782" s="1" t="n">
        <v>46103</v>
      </c>
      <c r="D2782" t="inlineStr">
        <is>
          <t>KRONOBERGS LÄN</t>
        </is>
      </c>
      <c r="E2782" t="inlineStr">
        <is>
          <t>UPPVIDINGE</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13951-2023</t>
        </is>
      </c>
      <c r="B2783" s="1" t="n">
        <v>45008.46077546296</v>
      </c>
      <c r="C2783" s="1" t="n">
        <v>46103</v>
      </c>
      <c r="D2783" t="inlineStr">
        <is>
          <t>KRONOBERGS LÄN</t>
        </is>
      </c>
      <c r="E2783" t="inlineStr">
        <is>
          <t>MARKARYD</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10093-2026</t>
        </is>
      </c>
      <c r="B2784" s="1" t="n">
        <v>46073.71484953703</v>
      </c>
      <c r="C2784" s="1" t="n">
        <v>46103</v>
      </c>
      <c r="D2784" t="inlineStr">
        <is>
          <t>KRONOBERGS LÄN</t>
        </is>
      </c>
      <c r="E2784" t="inlineStr">
        <is>
          <t>VÄXJÖ</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1236-2026</t>
        </is>
      </c>
      <c r="B2785" s="1" t="n">
        <v>46031.4178587963</v>
      </c>
      <c r="C2785" s="1" t="n">
        <v>46103</v>
      </c>
      <c r="D2785" t="inlineStr">
        <is>
          <t>KRONOBERGS LÄN</t>
        </is>
      </c>
      <c r="E2785" t="inlineStr">
        <is>
          <t>TINGSRYD</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1361-2026</t>
        </is>
      </c>
      <c r="B2786" s="1" t="n">
        <v>46031.60525462963</v>
      </c>
      <c r="C2786" s="1" t="n">
        <v>46103</v>
      </c>
      <c r="D2786" t="inlineStr">
        <is>
          <t>KRONOBERGS LÄN</t>
        </is>
      </c>
      <c r="E2786" t="inlineStr">
        <is>
          <t>TINGSRYD</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48429-2025</t>
        </is>
      </c>
      <c r="B2787" s="1" t="n">
        <v>45934.87306712963</v>
      </c>
      <c r="C2787" s="1" t="n">
        <v>46103</v>
      </c>
      <c r="D2787" t="inlineStr">
        <is>
          <t>KRONOBERGS LÄN</t>
        </is>
      </c>
      <c r="E2787" t="inlineStr">
        <is>
          <t>LESSEBO</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25393-2025</t>
        </is>
      </c>
      <c r="B2788" s="1" t="n">
        <v>45800.64748842592</v>
      </c>
      <c r="C2788" s="1" t="n">
        <v>46103</v>
      </c>
      <c r="D2788" t="inlineStr">
        <is>
          <t>KRONOBERGS LÄN</t>
        </is>
      </c>
      <c r="E2788" t="inlineStr">
        <is>
          <t>ALVESTA</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48394-2025</t>
        </is>
      </c>
      <c r="B2789" s="1" t="n">
        <v>45933.9649537037</v>
      </c>
      <c r="C2789" s="1" t="n">
        <v>46103</v>
      </c>
      <c r="D2789" t="inlineStr">
        <is>
          <t>KRONOBERGS LÄN</t>
        </is>
      </c>
      <c r="E2789" t="inlineStr">
        <is>
          <t>VÄXJÖ</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48400-2025</t>
        </is>
      </c>
      <c r="B2790" s="1" t="n">
        <v>45934.29163194444</v>
      </c>
      <c r="C2790" s="1" t="n">
        <v>46103</v>
      </c>
      <c r="D2790" t="inlineStr">
        <is>
          <t>KRONOBERGS LÄN</t>
        </is>
      </c>
      <c r="E2790" t="inlineStr">
        <is>
          <t>UPPVIDINGE</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9715-2023</t>
        </is>
      </c>
      <c r="B2791" s="1" t="n">
        <v>44984</v>
      </c>
      <c r="C2791" s="1" t="n">
        <v>46103</v>
      </c>
      <c r="D2791" t="inlineStr">
        <is>
          <t>KRONOBERGS LÄN</t>
        </is>
      </c>
      <c r="E2791" t="inlineStr">
        <is>
          <t>UPPVIDINGE</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9815-2023</t>
        </is>
      </c>
      <c r="B2792" s="1" t="n">
        <v>44984</v>
      </c>
      <c r="C2792" s="1" t="n">
        <v>46103</v>
      </c>
      <c r="D2792" t="inlineStr">
        <is>
          <t>KRONOBERGS LÄN</t>
        </is>
      </c>
      <c r="E2792" t="inlineStr">
        <is>
          <t>TINGSRYD</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1352-2026</t>
        </is>
      </c>
      <c r="B2793" s="1" t="n">
        <v>46031.5949537037</v>
      </c>
      <c r="C2793" s="1" t="n">
        <v>46103</v>
      </c>
      <c r="D2793" t="inlineStr">
        <is>
          <t>KRONOBERGS LÄN</t>
        </is>
      </c>
      <c r="E2793" t="inlineStr">
        <is>
          <t>TINGSRYD</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59969-2025</t>
        </is>
      </c>
      <c r="B2794" s="1" t="n">
        <v>45993</v>
      </c>
      <c r="C2794" s="1" t="n">
        <v>46103</v>
      </c>
      <c r="D2794" t="inlineStr">
        <is>
          <t>KRONOBERGS LÄN</t>
        </is>
      </c>
      <c r="E2794" t="inlineStr">
        <is>
          <t>LJUNGBY</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48396-2025</t>
        </is>
      </c>
      <c r="B2795" s="1" t="n">
        <v>45934.27184027778</v>
      </c>
      <c r="C2795" s="1" t="n">
        <v>46103</v>
      </c>
      <c r="D2795" t="inlineStr">
        <is>
          <t>KRONOBERGS LÄN</t>
        </is>
      </c>
      <c r="E2795" t="inlineStr">
        <is>
          <t>UPPVIDINGE</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48397-2025</t>
        </is>
      </c>
      <c r="B2796" s="1" t="n">
        <v>45934.27815972222</v>
      </c>
      <c r="C2796" s="1" t="n">
        <v>46103</v>
      </c>
      <c r="D2796" t="inlineStr">
        <is>
          <t>KRONOBERGS LÄN</t>
        </is>
      </c>
      <c r="E2796" t="inlineStr">
        <is>
          <t>UPPVIDINGE</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48398-2025</t>
        </is>
      </c>
      <c r="B2797" s="1" t="n">
        <v>45934.28152777778</v>
      </c>
      <c r="C2797" s="1" t="n">
        <v>46103</v>
      </c>
      <c r="D2797" t="inlineStr">
        <is>
          <t>KRONOBERGS LÄN</t>
        </is>
      </c>
      <c r="E2797" t="inlineStr">
        <is>
          <t>UPPVIDINGE</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48433-2025</t>
        </is>
      </c>
      <c r="B2798" s="1" t="n">
        <v>45934.89519675926</v>
      </c>
      <c r="C2798" s="1" t="n">
        <v>46103</v>
      </c>
      <c r="D2798" t="inlineStr">
        <is>
          <t>KRONOBERGS LÄN</t>
        </is>
      </c>
      <c r="E2798" t="inlineStr">
        <is>
          <t>LESSEBO</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24489-2024</t>
        </is>
      </c>
      <c r="B2799" s="1" t="n">
        <v>45459.71376157407</v>
      </c>
      <c r="C2799" s="1" t="n">
        <v>46103</v>
      </c>
      <c r="D2799" t="inlineStr">
        <is>
          <t>KRONOBERGS LÄN</t>
        </is>
      </c>
      <c r="E2799" t="inlineStr">
        <is>
          <t>UPPVIDINGE</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24503-2024</t>
        </is>
      </c>
      <c r="B2800" s="1" t="n">
        <v>45460</v>
      </c>
      <c r="C2800" s="1" t="n">
        <v>46103</v>
      </c>
      <c r="D2800" t="inlineStr">
        <is>
          <t>KRONOBERGS LÄN</t>
        </is>
      </c>
      <c r="E2800" t="inlineStr">
        <is>
          <t>ÄLMHULT</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25593-2025</t>
        </is>
      </c>
      <c r="B2801" s="1" t="n">
        <v>45803.50699074074</v>
      </c>
      <c r="C2801" s="1" t="n">
        <v>46103</v>
      </c>
      <c r="D2801" t="inlineStr">
        <is>
          <t>KRONOBERGS LÄN</t>
        </is>
      </c>
      <c r="E2801" t="inlineStr">
        <is>
          <t>VÄXJÖ</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25285-2025</t>
        </is>
      </c>
      <c r="B2802" s="1" t="n">
        <v>45800.56219907408</v>
      </c>
      <c r="C2802" s="1" t="n">
        <v>46103</v>
      </c>
      <c r="D2802" t="inlineStr">
        <is>
          <t>KRONOBERGS LÄN</t>
        </is>
      </c>
      <c r="E2802" t="inlineStr">
        <is>
          <t>MARKARYD</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25592-2025</t>
        </is>
      </c>
      <c r="B2803" s="1" t="n">
        <v>45803.50553240741</v>
      </c>
      <c r="C2803" s="1" t="n">
        <v>46103</v>
      </c>
      <c r="D2803" t="inlineStr">
        <is>
          <t>KRONOBERGS LÄN</t>
        </is>
      </c>
      <c r="E2803" t="inlineStr">
        <is>
          <t>VÄXJÖ</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9710-2026</t>
        </is>
      </c>
      <c r="B2804" s="1" t="n">
        <v>46072.43777777778</v>
      </c>
      <c r="C2804" s="1" t="n">
        <v>46103</v>
      </c>
      <c r="D2804" t="inlineStr">
        <is>
          <t>KRONOBERGS LÄN</t>
        </is>
      </c>
      <c r="E2804" t="inlineStr">
        <is>
          <t>VÄXJÖ</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33713-2025</t>
        </is>
      </c>
      <c r="B2805" s="1" t="n">
        <v>45841.85952546296</v>
      </c>
      <c r="C2805" s="1" t="n">
        <v>46103</v>
      </c>
      <c r="D2805" t="inlineStr">
        <is>
          <t>KRONOBERGS LÄN</t>
        </is>
      </c>
      <c r="E2805" t="inlineStr">
        <is>
          <t>VÄXJÖ</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32667-2021</t>
        </is>
      </c>
      <c r="B2806" s="1" t="n">
        <v>44375.45909722222</v>
      </c>
      <c r="C2806" s="1" t="n">
        <v>46103</v>
      </c>
      <c r="D2806" t="inlineStr">
        <is>
          <t>KRONOBERGS LÄN</t>
        </is>
      </c>
      <c r="E2806" t="inlineStr">
        <is>
          <t>LESSEBO</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19216-2024</t>
        </is>
      </c>
      <c r="B2807" s="1" t="n">
        <v>45428.5499537037</v>
      </c>
      <c r="C2807" s="1" t="n">
        <v>46103</v>
      </c>
      <c r="D2807" t="inlineStr">
        <is>
          <t>KRONOBERGS LÄN</t>
        </is>
      </c>
      <c r="E2807" t="inlineStr">
        <is>
          <t>UPPVIDINGE</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11322-2025</t>
        </is>
      </c>
      <c r="B2808" s="1" t="n">
        <v>45726.46789351852</v>
      </c>
      <c r="C2808" s="1" t="n">
        <v>46103</v>
      </c>
      <c r="D2808" t="inlineStr">
        <is>
          <t>KRONOBERGS LÄN</t>
        </is>
      </c>
      <c r="E2808" t="inlineStr">
        <is>
          <t>LESSEBO</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7143-2025</t>
        </is>
      </c>
      <c r="B2809" s="1" t="n">
        <v>45702.37107638889</v>
      </c>
      <c r="C2809" s="1" t="n">
        <v>46103</v>
      </c>
      <c r="D2809" t="inlineStr">
        <is>
          <t>KRONOBERGS LÄN</t>
        </is>
      </c>
      <c r="E2809" t="inlineStr">
        <is>
          <t>ÄLMHULT</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8173-2025</t>
        </is>
      </c>
      <c r="B2810" s="1" t="n">
        <v>45708</v>
      </c>
      <c r="C2810" s="1" t="n">
        <v>46103</v>
      </c>
      <c r="D2810" t="inlineStr">
        <is>
          <t>KRONOBERGS LÄN</t>
        </is>
      </c>
      <c r="E2810" t="inlineStr">
        <is>
          <t>LESSEBO</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10700-2024</t>
        </is>
      </c>
      <c r="B2811" s="1" t="n">
        <v>45369.42203703704</v>
      </c>
      <c r="C2811" s="1" t="n">
        <v>46103</v>
      </c>
      <c r="D2811" t="inlineStr">
        <is>
          <t>KRONOBERGS LÄN</t>
        </is>
      </c>
      <c r="E2811" t="inlineStr">
        <is>
          <t>UPPVIDINGE</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49082-2025</t>
        </is>
      </c>
      <c r="B2812" s="1" t="n">
        <v>45937.66390046296</v>
      </c>
      <c r="C2812" s="1" t="n">
        <v>46103</v>
      </c>
      <c r="D2812" t="inlineStr">
        <is>
          <t>KRONOBERGS LÄN</t>
        </is>
      </c>
      <c r="E2812" t="inlineStr">
        <is>
          <t>LJUNGBY</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49083-2025</t>
        </is>
      </c>
      <c r="B2813" s="1" t="n">
        <v>45937.66490740741</v>
      </c>
      <c r="C2813" s="1" t="n">
        <v>46103</v>
      </c>
      <c r="D2813" t="inlineStr">
        <is>
          <t>KRONOBERGS LÄN</t>
        </is>
      </c>
      <c r="E2813" t="inlineStr">
        <is>
          <t>LJUNGBY</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10033-2026</t>
        </is>
      </c>
      <c r="B2814" s="1" t="n">
        <v>46073.59329861111</v>
      </c>
      <c r="C2814" s="1" t="n">
        <v>46103</v>
      </c>
      <c r="D2814" t="inlineStr">
        <is>
          <t>KRONOBERGS LÄN</t>
        </is>
      </c>
      <c r="E2814" t="inlineStr">
        <is>
          <t>VÄXJÖ</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37335-2022</t>
        </is>
      </c>
      <c r="B2815" s="1" t="n">
        <v>44809</v>
      </c>
      <c r="C2815" s="1" t="n">
        <v>46103</v>
      </c>
      <c r="D2815" t="inlineStr">
        <is>
          <t>KRONOBERGS LÄN</t>
        </is>
      </c>
      <c r="E2815" t="inlineStr">
        <is>
          <t>LJUNGBY</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48905-2025</t>
        </is>
      </c>
      <c r="B2816" s="1" t="n">
        <v>45937.48282407408</v>
      </c>
      <c r="C2816" s="1" t="n">
        <v>46103</v>
      </c>
      <c r="D2816" t="inlineStr">
        <is>
          <t>KRONOBERGS LÄN</t>
        </is>
      </c>
      <c r="E2816" t="inlineStr">
        <is>
          <t>VÄXJÖ</t>
        </is>
      </c>
      <c r="G2816" t="n">
        <v>8.1</v>
      </c>
      <c r="H2816" t="n">
        <v>0</v>
      </c>
      <c r="I2816" t="n">
        <v>0</v>
      </c>
      <c r="J2816" t="n">
        <v>0</v>
      </c>
      <c r="K2816" t="n">
        <v>0</v>
      </c>
      <c r="L2816" t="n">
        <v>0</v>
      </c>
      <c r="M2816" t="n">
        <v>0</v>
      </c>
      <c r="N2816" t="n">
        <v>0</v>
      </c>
      <c r="O2816" t="n">
        <v>0</v>
      </c>
      <c r="P2816" t="n">
        <v>0</v>
      </c>
      <c r="Q2816" t="n">
        <v>0</v>
      </c>
      <c r="R2816" s="2" t="inlineStr"/>
    </row>
    <row r="2817" ht="15" customHeight="1">
      <c r="A2817" t="inlineStr">
        <is>
          <t>A 17063-2023</t>
        </is>
      </c>
      <c r="B2817" s="1" t="n">
        <v>45034.46636574074</v>
      </c>
      <c r="C2817" s="1" t="n">
        <v>46103</v>
      </c>
      <c r="D2817" t="inlineStr">
        <is>
          <t>KRONOBERGS LÄN</t>
        </is>
      </c>
      <c r="E2817" t="inlineStr">
        <is>
          <t>TINGSRYD</t>
        </is>
      </c>
      <c r="G2817" t="n">
        <v>6.6</v>
      </c>
      <c r="H2817" t="n">
        <v>0</v>
      </c>
      <c r="I2817" t="n">
        <v>0</v>
      </c>
      <c r="J2817" t="n">
        <v>0</v>
      </c>
      <c r="K2817" t="n">
        <v>0</v>
      </c>
      <c r="L2817" t="n">
        <v>0</v>
      </c>
      <c r="M2817" t="n">
        <v>0</v>
      </c>
      <c r="N2817" t="n">
        <v>0</v>
      </c>
      <c r="O2817" t="n">
        <v>0</v>
      </c>
      <c r="P2817" t="n">
        <v>0</v>
      </c>
      <c r="Q2817" t="n">
        <v>0</v>
      </c>
      <c r="R2817" s="2" t="inlineStr"/>
    </row>
    <row r="2818" ht="15" customHeight="1">
      <c r="A2818" t="inlineStr">
        <is>
          <t>A 1197-2026</t>
        </is>
      </c>
      <c r="B2818" s="1" t="n">
        <v>46031.37173611111</v>
      </c>
      <c r="C2818" s="1" t="n">
        <v>46103</v>
      </c>
      <c r="D2818" t="inlineStr">
        <is>
          <t>KRONOBERGS LÄN</t>
        </is>
      </c>
      <c r="E2818" t="inlineStr">
        <is>
          <t>UPPVIDINGE</t>
        </is>
      </c>
      <c r="F2818" t="inlineStr">
        <is>
          <t>Sveaskog</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1222-2026</t>
        </is>
      </c>
      <c r="B2819" s="1" t="n">
        <v>46031.40212962963</v>
      </c>
      <c r="C2819" s="1" t="n">
        <v>46103</v>
      </c>
      <c r="D2819" t="inlineStr">
        <is>
          <t>KRONOBERGS LÄN</t>
        </is>
      </c>
      <c r="E2819" t="inlineStr">
        <is>
          <t>VÄXJÖ</t>
        </is>
      </c>
      <c r="F2819" t="inlineStr">
        <is>
          <t>Sveaskog</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25421-2025</t>
        </is>
      </c>
      <c r="B2820" s="1" t="n">
        <v>45800.69119212963</v>
      </c>
      <c r="C2820" s="1" t="n">
        <v>46103</v>
      </c>
      <c r="D2820" t="inlineStr">
        <is>
          <t>KRONOBERGS LÄN</t>
        </is>
      </c>
      <c r="E2820" t="inlineStr">
        <is>
          <t>MARKARYD</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25423-2025</t>
        </is>
      </c>
      <c r="B2821" s="1" t="n">
        <v>45800.69806712963</v>
      </c>
      <c r="C2821" s="1" t="n">
        <v>46103</v>
      </c>
      <c r="D2821" t="inlineStr">
        <is>
          <t>KRONOBERGS LÄN</t>
        </is>
      </c>
      <c r="E2821" t="inlineStr">
        <is>
          <t>MARKARYD</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42232-2024</t>
        </is>
      </c>
      <c r="B2822" s="1" t="n">
        <v>45562.55799768519</v>
      </c>
      <c r="C2822" s="1" t="n">
        <v>46103</v>
      </c>
      <c r="D2822" t="inlineStr">
        <is>
          <t>KRONOBERGS LÄN</t>
        </is>
      </c>
      <c r="E2822" t="inlineStr">
        <is>
          <t>LJUNGBY</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21438-2025</t>
        </is>
      </c>
      <c r="B2823" s="1" t="n">
        <v>45782</v>
      </c>
      <c r="C2823" s="1" t="n">
        <v>46103</v>
      </c>
      <c r="D2823" t="inlineStr">
        <is>
          <t>KRONOBERGS LÄN</t>
        </is>
      </c>
      <c r="E2823" t="inlineStr">
        <is>
          <t>ALVESTA</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9489-2026</t>
        </is>
      </c>
      <c r="B2824" s="1" t="n">
        <v>46071.55189814815</v>
      </c>
      <c r="C2824" s="1" t="n">
        <v>46103</v>
      </c>
      <c r="D2824" t="inlineStr">
        <is>
          <t>KRONOBERGS LÄN</t>
        </is>
      </c>
      <c r="E2824" t="inlineStr">
        <is>
          <t>UPPVIDINGE</t>
        </is>
      </c>
      <c r="G2824" t="n">
        <v>4</v>
      </c>
      <c r="H2824" t="n">
        <v>0</v>
      </c>
      <c r="I2824" t="n">
        <v>0</v>
      </c>
      <c r="J2824" t="n">
        <v>0</v>
      </c>
      <c r="K2824" t="n">
        <v>0</v>
      </c>
      <c r="L2824" t="n">
        <v>0</v>
      </c>
      <c r="M2824" t="n">
        <v>0</v>
      </c>
      <c r="N2824" t="n">
        <v>0</v>
      </c>
      <c r="O2824" t="n">
        <v>0</v>
      </c>
      <c r="P2824" t="n">
        <v>0</v>
      </c>
      <c r="Q2824" t="n">
        <v>0</v>
      </c>
      <c r="R2824" s="2" t="inlineStr"/>
    </row>
    <row r="2825" ht="15" customHeight="1">
      <c r="A2825" t="inlineStr">
        <is>
          <t>A 28015-2024</t>
        </is>
      </c>
      <c r="B2825" s="1" t="n">
        <v>45476</v>
      </c>
      <c r="C2825" s="1" t="n">
        <v>46103</v>
      </c>
      <c r="D2825" t="inlineStr">
        <is>
          <t>KRONOBERGS LÄN</t>
        </is>
      </c>
      <c r="E2825" t="inlineStr">
        <is>
          <t>ALVESTA</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25584-2025</t>
        </is>
      </c>
      <c r="B2826" s="1" t="n">
        <v>45803.48552083333</v>
      </c>
      <c r="C2826" s="1" t="n">
        <v>46103</v>
      </c>
      <c r="D2826" t="inlineStr">
        <is>
          <t>KRONOBERGS LÄN</t>
        </is>
      </c>
      <c r="E2826" t="inlineStr">
        <is>
          <t>VÄXJÖ</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25449-2025</t>
        </is>
      </c>
      <c r="B2827" s="1" t="n">
        <v>45801.7406712963</v>
      </c>
      <c r="C2827" s="1" t="n">
        <v>46103</v>
      </c>
      <c r="D2827" t="inlineStr">
        <is>
          <t>KRONOBERGS LÄN</t>
        </is>
      </c>
      <c r="E2827" t="inlineStr">
        <is>
          <t>UPPVIDINGE</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19111-2023</t>
        </is>
      </c>
      <c r="B2828" s="1" t="n">
        <v>45048</v>
      </c>
      <c r="C2828" s="1" t="n">
        <v>46103</v>
      </c>
      <c r="D2828" t="inlineStr">
        <is>
          <t>KRONOBERGS LÄN</t>
        </is>
      </c>
      <c r="E2828" t="inlineStr">
        <is>
          <t>VÄXJÖ</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9873-2025</t>
        </is>
      </c>
      <c r="B2829" s="1" t="n">
        <v>45716.64879629629</v>
      </c>
      <c r="C2829" s="1" t="n">
        <v>46103</v>
      </c>
      <c r="D2829" t="inlineStr">
        <is>
          <t>KRONOBERGS LÄN</t>
        </is>
      </c>
      <c r="E2829" t="inlineStr">
        <is>
          <t>ÄLMHULT</t>
        </is>
      </c>
      <c r="F2829" t="inlineStr">
        <is>
          <t>Sveaskog</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24455-2023</t>
        </is>
      </c>
      <c r="B2830" s="1" t="n">
        <v>45082.56950231481</v>
      </c>
      <c r="C2830" s="1" t="n">
        <v>46103</v>
      </c>
      <c r="D2830" t="inlineStr">
        <is>
          <t>KRONOBERGS LÄN</t>
        </is>
      </c>
      <c r="E2830" t="inlineStr">
        <is>
          <t>UPPVIDINGE</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25528-2025</t>
        </is>
      </c>
      <c r="B2831" s="1" t="n">
        <v>45803.39416666667</v>
      </c>
      <c r="C2831" s="1" t="n">
        <v>46103</v>
      </c>
      <c r="D2831" t="inlineStr">
        <is>
          <t>KRONOBERGS LÄN</t>
        </is>
      </c>
      <c r="E2831" t="inlineStr">
        <is>
          <t>VÄXJÖ</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25529-2025</t>
        </is>
      </c>
      <c r="B2832" s="1" t="n">
        <v>45803.39586805556</v>
      </c>
      <c r="C2832" s="1" t="n">
        <v>46103</v>
      </c>
      <c r="D2832" t="inlineStr">
        <is>
          <t>KRONOBERGS LÄN</t>
        </is>
      </c>
      <c r="E2832" t="inlineStr">
        <is>
          <t>VÄXJÖ</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35900-2023</t>
        </is>
      </c>
      <c r="B2833" s="1" t="n">
        <v>45148.62439814815</v>
      </c>
      <c r="C2833" s="1" t="n">
        <v>46103</v>
      </c>
      <c r="D2833" t="inlineStr">
        <is>
          <t>KRONOBERGS LÄN</t>
        </is>
      </c>
      <c r="E2833" t="inlineStr">
        <is>
          <t>LJUNGBY</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37318-2023</t>
        </is>
      </c>
      <c r="B2834" s="1" t="n">
        <v>45156</v>
      </c>
      <c r="C2834" s="1" t="n">
        <v>46103</v>
      </c>
      <c r="D2834" t="inlineStr">
        <is>
          <t>KRONOBERGS LÄN</t>
        </is>
      </c>
      <c r="E2834" t="inlineStr">
        <is>
          <t>LJUNGBY</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5522-2023</t>
        </is>
      </c>
      <c r="B2835" s="1" t="n">
        <v>44957</v>
      </c>
      <c r="C2835" s="1" t="n">
        <v>46103</v>
      </c>
      <c r="D2835" t="inlineStr">
        <is>
          <t>KRONOBERGS LÄN</t>
        </is>
      </c>
      <c r="E2835" t="inlineStr">
        <is>
          <t>ALVESTA</t>
        </is>
      </c>
      <c r="G2835" t="n">
        <v>4</v>
      </c>
      <c r="H2835" t="n">
        <v>0</v>
      </c>
      <c r="I2835" t="n">
        <v>0</v>
      </c>
      <c r="J2835" t="n">
        <v>0</v>
      </c>
      <c r="K2835" t="n">
        <v>0</v>
      </c>
      <c r="L2835" t="n">
        <v>0</v>
      </c>
      <c r="M2835" t="n">
        <v>0</v>
      </c>
      <c r="N2835" t="n">
        <v>0</v>
      </c>
      <c r="O2835" t="n">
        <v>0</v>
      </c>
      <c r="P2835" t="n">
        <v>0</v>
      </c>
      <c r="Q2835" t="n">
        <v>0</v>
      </c>
      <c r="R2835" s="2" t="inlineStr"/>
    </row>
    <row r="2836" ht="15" customHeight="1">
      <c r="A2836" t="inlineStr">
        <is>
          <t>A 48884-2025</t>
        </is>
      </c>
      <c r="B2836" s="1" t="n">
        <v>45937.46489583333</v>
      </c>
      <c r="C2836" s="1" t="n">
        <v>46103</v>
      </c>
      <c r="D2836" t="inlineStr">
        <is>
          <t>KRONOBERGS LÄN</t>
        </is>
      </c>
      <c r="E2836" t="inlineStr">
        <is>
          <t>VÄXJÖ</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13369-2023</t>
        </is>
      </c>
      <c r="B2837" s="1" t="n">
        <v>45005.47989583333</v>
      </c>
      <c r="C2837" s="1" t="n">
        <v>46103</v>
      </c>
      <c r="D2837" t="inlineStr">
        <is>
          <t>KRONOBERGS LÄN</t>
        </is>
      </c>
      <c r="E2837" t="inlineStr">
        <is>
          <t>ALVESTA</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41905-2022</t>
        </is>
      </c>
      <c r="B2838" s="1" t="n">
        <v>44830.35543981481</v>
      </c>
      <c r="C2838" s="1" t="n">
        <v>46103</v>
      </c>
      <c r="D2838" t="inlineStr">
        <is>
          <t>KRONOBERGS LÄN</t>
        </is>
      </c>
      <c r="E2838" t="inlineStr">
        <is>
          <t>LESSEBO</t>
        </is>
      </c>
      <c r="F2838" t="inlineStr">
        <is>
          <t>Sveaskog</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25711-2023</t>
        </is>
      </c>
      <c r="B2839" s="1" t="n">
        <v>45090.3316550926</v>
      </c>
      <c r="C2839" s="1" t="n">
        <v>46103</v>
      </c>
      <c r="D2839" t="inlineStr">
        <is>
          <t>KRONOBERGS LÄN</t>
        </is>
      </c>
      <c r="E2839" t="inlineStr">
        <is>
          <t>ÄLMHULT</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49087-2025</t>
        </is>
      </c>
      <c r="B2840" s="1" t="n">
        <v>45937.66888888889</v>
      </c>
      <c r="C2840" s="1" t="n">
        <v>46103</v>
      </c>
      <c r="D2840" t="inlineStr">
        <is>
          <t>KRONOBERGS LÄN</t>
        </is>
      </c>
      <c r="E2840" t="inlineStr">
        <is>
          <t>LJUNGBY</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11781-2023</t>
        </is>
      </c>
      <c r="B2841" s="1" t="n">
        <v>44994</v>
      </c>
      <c r="C2841" s="1" t="n">
        <v>46103</v>
      </c>
      <c r="D2841" t="inlineStr">
        <is>
          <t>KRONOBERGS LÄN</t>
        </is>
      </c>
      <c r="E2841" t="inlineStr">
        <is>
          <t>MARKARYD</t>
        </is>
      </c>
      <c r="G2841" t="n">
        <v>4.7</v>
      </c>
      <c r="H2841" t="n">
        <v>0</v>
      </c>
      <c r="I2841" t="n">
        <v>0</v>
      </c>
      <c r="J2841" t="n">
        <v>0</v>
      </c>
      <c r="K2841" t="n">
        <v>0</v>
      </c>
      <c r="L2841" t="n">
        <v>0</v>
      </c>
      <c r="M2841" t="n">
        <v>0</v>
      </c>
      <c r="N2841" t="n">
        <v>0</v>
      </c>
      <c r="O2841" t="n">
        <v>0</v>
      </c>
      <c r="P2841" t="n">
        <v>0</v>
      </c>
      <c r="Q2841" t="n">
        <v>0</v>
      </c>
      <c r="R2841" s="2" t="inlineStr"/>
    </row>
    <row r="2842" ht="15" customHeight="1">
      <c r="A2842" t="inlineStr">
        <is>
          <t>A 11787-2023</t>
        </is>
      </c>
      <c r="B2842" s="1" t="n">
        <v>44994</v>
      </c>
      <c r="C2842" s="1" t="n">
        <v>46103</v>
      </c>
      <c r="D2842" t="inlineStr">
        <is>
          <t>KRONOBERGS LÄN</t>
        </is>
      </c>
      <c r="E2842" t="inlineStr">
        <is>
          <t>ÄLMHULT</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49127-2025</t>
        </is>
      </c>
      <c r="B2843" s="1" t="n">
        <v>45937.87738425926</v>
      </c>
      <c r="C2843" s="1" t="n">
        <v>46103</v>
      </c>
      <c r="D2843" t="inlineStr">
        <is>
          <t>KRONOBERGS LÄN</t>
        </is>
      </c>
      <c r="E2843" t="inlineStr">
        <is>
          <t>LJUNGBY</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49471-2025</t>
        </is>
      </c>
      <c r="B2844" s="1" t="n">
        <v>45939.34381944445</v>
      </c>
      <c r="C2844" s="1" t="n">
        <v>46103</v>
      </c>
      <c r="D2844" t="inlineStr">
        <is>
          <t>KRONOBERGS LÄN</t>
        </is>
      </c>
      <c r="E2844" t="inlineStr">
        <is>
          <t>ALVESTA</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49578-2025</t>
        </is>
      </c>
      <c r="B2845" s="1" t="n">
        <v>45939.49226851852</v>
      </c>
      <c r="C2845" s="1" t="n">
        <v>46103</v>
      </c>
      <c r="D2845" t="inlineStr">
        <is>
          <t>KRONOBERGS LÄN</t>
        </is>
      </c>
      <c r="E2845" t="inlineStr">
        <is>
          <t>VÄXJÖ</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870-2026</t>
        </is>
      </c>
      <c r="B2846" s="1" t="n">
        <v>46030.43436342593</v>
      </c>
      <c r="C2846" s="1" t="n">
        <v>46103</v>
      </c>
      <c r="D2846" t="inlineStr">
        <is>
          <t>KRONOBERGS LÄN</t>
        </is>
      </c>
      <c r="E2846" t="inlineStr">
        <is>
          <t>UPPVIDINGE</t>
        </is>
      </c>
      <c r="G2846" t="n">
        <v>5.8</v>
      </c>
      <c r="H2846" t="n">
        <v>0</v>
      </c>
      <c r="I2846" t="n">
        <v>0</v>
      </c>
      <c r="J2846" t="n">
        <v>0</v>
      </c>
      <c r="K2846" t="n">
        <v>0</v>
      </c>
      <c r="L2846" t="n">
        <v>0</v>
      </c>
      <c r="M2846" t="n">
        <v>0</v>
      </c>
      <c r="N2846" t="n">
        <v>0</v>
      </c>
      <c r="O2846" t="n">
        <v>0</v>
      </c>
      <c r="P2846" t="n">
        <v>0</v>
      </c>
      <c r="Q2846" t="n">
        <v>0</v>
      </c>
      <c r="R2846" s="2" t="inlineStr"/>
    </row>
    <row r="2847" ht="15" customHeight="1">
      <c r="A2847" t="inlineStr">
        <is>
          <t>A 1994-2023</t>
        </is>
      </c>
      <c r="B2847" s="1" t="n">
        <v>44938</v>
      </c>
      <c r="C2847" s="1" t="n">
        <v>46103</v>
      </c>
      <c r="D2847" t="inlineStr">
        <is>
          <t>KRONOBERGS LÄN</t>
        </is>
      </c>
      <c r="E2847" t="inlineStr">
        <is>
          <t>TINGSRYD</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11798-2023</t>
        </is>
      </c>
      <c r="B2848" s="1" t="n">
        <v>44994.69185185185</v>
      </c>
      <c r="C2848" s="1" t="n">
        <v>46103</v>
      </c>
      <c r="D2848" t="inlineStr">
        <is>
          <t>KRONOBERGS LÄN</t>
        </is>
      </c>
      <c r="E2848" t="inlineStr">
        <is>
          <t>ÄLMHULT</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39634-2025</t>
        </is>
      </c>
      <c r="B2849" s="1" t="n">
        <v>45890</v>
      </c>
      <c r="C2849" s="1" t="n">
        <v>46103</v>
      </c>
      <c r="D2849" t="inlineStr">
        <is>
          <t>KRONOBERGS LÄN</t>
        </is>
      </c>
      <c r="E2849" t="inlineStr">
        <is>
          <t>ALVESTA</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18385-2023</t>
        </is>
      </c>
      <c r="B2850" s="1" t="n">
        <v>45042.29704861111</v>
      </c>
      <c r="C2850" s="1" t="n">
        <v>46103</v>
      </c>
      <c r="D2850" t="inlineStr">
        <is>
          <t>KRONOBERGS LÄN</t>
        </is>
      </c>
      <c r="E2850" t="inlineStr">
        <is>
          <t>ÄLMHULT</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49522-2025</t>
        </is>
      </c>
      <c r="B2851" s="1" t="n">
        <v>45939</v>
      </c>
      <c r="C2851" s="1" t="n">
        <v>46103</v>
      </c>
      <c r="D2851" t="inlineStr">
        <is>
          <t>KRONOBERGS LÄN</t>
        </is>
      </c>
      <c r="E2851" t="inlineStr">
        <is>
          <t>VÄXJÖ</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17729-2025</t>
        </is>
      </c>
      <c r="B2852" s="1" t="n">
        <v>45758</v>
      </c>
      <c r="C2852" s="1" t="n">
        <v>46103</v>
      </c>
      <c r="D2852" t="inlineStr">
        <is>
          <t>KRONOBERGS LÄN</t>
        </is>
      </c>
      <c r="E2852" t="inlineStr">
        <is>
          <t>LESSEBO</t>
        </is>
      </c>
      <c r="F2852" t="inlineStr">
        <is>
          <t>Sveaskog</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38639-2025</t>
        </is>
      </c>
      <c r="B2853" s="1" t="n">
        <v>45884.57052083333</v>
      </c>
      <c r="C2853" s="1" t="n">
        <v>46103</v>
      </c>
      <c r="D2853" t="inlineStr">
        <is>
          <t>KRONOBERGS LÄN</t>
        </is>
      </c>
      <c r="E2853" t="inlineStr">
        <is>
          <t>ALVESTA</t>
        </is>
      </c>
      <c r="G2853" t="n">
        <v>4.5</v>
      </c>
      <c r="H2853" t="n">
        <v>0</v>
      </c>
      <c r="I2853" t="n">
        <v>0</v>
      </c>
      <c r="J2853" t="n">
        <v>0</v>
      </c>
      <c r="K2853" t="n">
        <v>0</v>
      </c>
      <c r="L2853" t="n">
        <v>0</v>
      </c>
      <c r="M2853" t="n">
        <v>0</v>
      </c>
      <c r="N2853" t="n">
        <v>0</v>
      </c>
      <c r="O2853" t="n">
        <v>0</v>
      </c>
      <c r="P2853" t="n">
        <v>0</v>
      </c>
      <c r="Q2853" t="n">
        <v>0</v>
      </c>
      <c r="R2853" s="2" t="inlineStr"/>
    </row>
    <row r="2854" ht="15" customHeight="1">
      <c r="A2854" t="inlineStr">
        <is>
          <t>A 13039-2025</t>
        </is>
      </c>
      <c r="B2854" s="1" t="n">
        <v>45734</v>
      </c>
      <c r="C2854" s="1" t="n">
        <v>46103</v>
      </c>
      <c r="D2854" t="inlineStr">
        <is>
          <t>KRONOBERGS LÄN</t>
        </is>
      </c>
      <c r="E2854" t="inlineStr">
        <is>
          <t>LJUNGBY</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14568-2023</t>
        </is>
      </c>
      <c r="B2855" s="1" t="n">
        <v>45013.46271990741</v>
      </c>
      <c r="C2855" s="1" t="n">
        <v>46103</v>
      </c>
      <c r="D2855" t="inlineStr">
        <is>
          <t>KRONOBERGS LÄN</t>
        </is>
      </c>
      <c r="E2855" t="inlineStr">
        <is>
          <t>MARKARYD</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24935-2023</t>
        </is>
      </c>
      <c r="B2856" s="1" t="n">
        <v>45085.53467592593</v>
      </c>
      <c r="C2856" s="1" t="n">
        <v>46103</v>
      </c>
      <c r="D2856" t="inlineStr">
        <is>
          <t>KRONOBERGS LÄN</t>
        </is>
      </c>
      <c r="E2856" t="inlineStr">
        <is>
          <t>UPPVIDINGE</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54136-2022</t>
        </is>
      </c>
      <c r="B2857" s="1" t="n">
        <v>44881.59844907407</v>
      </c>
      <c r="C2857" s="1" t="n">
        <v>46103</v>
      </c>
      <c r="D2857" t="inlineStr">
        <is>
          <t>KRONOBERGS LÄN</t>
        </is>
      </c>
      <c r="E2857" t="inlineStr">
        <is>
          <t>TINGSRYD</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1022-2026</t>
        </is>
      </c>
      <c r="B2858" s="1" t="n">
        <v>46030.60766203704</v>
      </c>
      <c r="C2858" s="1" t="n">
        <v>46103</v>
      </c>
      <c r="D2858" t="inlineStr">
        <is>
          <t>KRONOBERGS LÄN</t>
        </is>
      </c>
      <c r="E2858" t="inlineStr">
        <is>
          <t>LESSEBO</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25294-2025</t>
        </is>
      </c>
      <c r="B2859" s="1" t="n">
        <v>45800.56804398148</v>
      </c>
      <c r="C2859" s="1" t="n">
        <v>46103</v>
      </c>
      <c r="D2859" t="inlineStr">
        <is>
          <t>KRONOBERGS LÄN</t>
        </is>
      </c>
      <c r="E2859" t="inlineStr">
        <is>
          <t>MARKARYD</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25626-2024</t>
        </is>
      </c>
      <c r="B2860" s="1" t="n">
        <v>45463.64552083334</v>
      </c>
      <c r="C2860" s="1" t="n">
        <v>46103</v>
      </c>
      <c r="D2860" t="inlineStr">
        <is>
          <t>KRONOBERGS LÄN</t>
        </is>
      </c>
      <c r="E2860" t="inlineStr">
        <is>
          <t>VÄXJÖ</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2845-2023</t>
        </is>
      </c>
      <c r="B2861" s="1" t="n">
        <v>44945.35765046296</v>
      </c>
      <c r="C2861" s="1" t="n">
        <v>46103</v>
      </c>
      <c r="D2861" t="inlineStr">
        <is>
          <t>KRONOBERGS LÄN</t>
        </is>
      </c>
      <c r="E2861" t="inlineStr">
        <is>
          <t>LJUNGBY</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2853-2023</t>
        </is>
      </c>
      <c r="B2862" s="1" t="n">
        <v>44945.39559027777</v>
      </c>
      <c r="C2862" s="1" t="n">
        <v>46103</v>
      </c>
      <c r="D2862" t="inlineStr">
        <is>
          <t>KRONOBERGS LÄN</t>
        </is>
      </c>
      <c r="E2862" t="inlineStr">
        <is>
          <t>UPPVIDINGE</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48026-2024</t>
        </is>
      </c>
      <c r="B2863" s="1" t="n">
        <v>45589.48217592593</v>
      </c>
      <c r="C2863" s="1" t="n">
        <v>46103</v>
      </c>
      <c r="D2863" t="inlineStr">
        <is>
          <t>KRONOBERGS LÄN</t>
        </is>
      </c>
      <c r="E2863" t="inlineStr">
        <is>
          <t>ÄLMHULT</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1218-2026</t>
        </is>
      </c>
      <c r="B2864" s="1" t="n">
        <v>46031.40054398148</v>
      </c>
      <c r="C2864" s="1" t="n">
        <v>46103</v>
      </c>
      <c r="D2864" t="inlineStr">
        <is>
          <t>KRONOBERGS LÄN</t>
        </is>
      </c>
      <c r="E2864" t="inlineStr">
        <is>
          <t>VÄXJÖ</t>
        </is>
      </c>
      <c r="F2864" t="inlineStr">
        <is>
          <t>Sveaskog</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40548-2025</t>
        </is>
      </c>
      <c r="B2865" s="1" t="n">
        <v>45896</v>
      </c>
      <c r="C2865" s="1" t="n">
        <v>46103</v>
      </c>
      <c r="D2865" t="inlineStr">
        <is>
          <t>KRONOBERGS LÄN</t>
        </is>
      </c>
      <c r="E2865" t="inlineStr">
        <is>
          <t>VÄXJÖ</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3573-2025</t>
        </is>
      </c>
      <c r="B2866" s="1" t="n">
        <v>45680.71556712963</v>
      </c>
      <c r="C2866" s="1" t="n">
        <v>46103</v>
      </c>
      <c r="D2866" t="inlineStr">
        <is>
          <t>KRONOBERGS LÄN</t>
        </is>
      </c>
      <c r="E2866" t="inlineStr">
        <is>
          <t>ÄLMHULT</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48874-2025</t>
        </is>
      </c>
      <c r="B2867" s="1" t="n">
        <v>45937.45518518519</v>
      </c>
      <c r="C2867" s="1" t="n">
        <v>46103</v>
      </c>
      <c r="D2867" t="inlineStr">
        <is>
          <t>KRONOBERGS LÄN</t>
        </is>
      </c>
      <c r="E2867" t="inlineStr">
        <is>
          <t>TINGSRYD</t>
        </is>
      </c>
      <c r="G2867" t="n">
        <v>8.300000000000001</v>
      </c>
      <c r="H2867" t="n">
        <v>0</v>
      </c>
      <c r="I2867" t="n">
        <v>0</v>
      </c>
      <c r="J2867" t="n">
        <v>0</v>
      </c>
      <c r="K2867" t="n">
        <v>0</v>
      </c>
      <c r="L2867" t="n">
        <v>0</v>
      </c>
      <c r="M2867" t="n">
        <v>0</v>
      </c>
      <c r="N2867" t="n">
        <v>0</v>
      </c>
      <c r="O2867" t="n">
        <v>0</v>
      </c>
      <c r="P2867" t="n">
        <v>0</v>
      </c>
      <c r="Q2867" t="n">
        <v>0</v>
      </c>
      <c r="R2867" s="2" t="inlineStr"/>
    </row>
    <row r="2868" ht="15" customHeight="1">
      <c r="A2868" t="inlineStr">
        <is>
          <t>A 48898-2025</t>
        </is>
      </c>
      <c r="B2868" s="1" t="n">
        <v>45937.47538194444</v>
      </c>
      <c r="C2868" s="1" t="n">
        <v>46103</v>
      </c>
      <c r="D2868" t="inlineStr">
        <is>
          <t>KRONOBERGS LÄN</t>
        </is>
      </c>
      <c r="E2868" t="inlineStr">
        <is>
          <t>VÄXJÖ</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9848-2026</t>
        </is>
      </c>
      <c r="B2869" s="1" t="n">
        <v>46072.79490740741</v>
      </c>
      <c r="C2869" s="1" t="n">
        <v>46103</v>
      </c>
      <c r="D2869" t="inlineStr">
        <is>
          <t>KRONOBERGS LÄN</t>
        </is>
      </c>
      <c r="E2869" t="inlineStr">
        <is>
          <t>VÄXJÖ</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51519-2024</t>
        </is>
      </c>
      <c r="B2870" s="1" t="n">
        <v>45604.56769675926</v>
      </c>
      <c r="C2870" s="1" t="n">
        <v>46103</v>
      </c>
      <c r="D2870" t="inlineStr">
        <is>
          <t>KRONOBERGS LÄN</t>
        </is>
      </c>
      <c r="E2870" t="inlineStr">
        <is>
          <t>UPPVIDINGE</t>
        </is>
      </c>
      <c r="F2870" t="inlineStr">
        <is>
          <t>Sveaskog</t>
        </is>
      </c>
      <c r="G2870" t="n">
        <v>12.6</v>
      </c>
      <c r="H2870" t="n">
        <v>0</v>
      </c>
      <c r="I2870" t="n">
        <v>0</v>
      </c>
      <c r="J2870" t="n">
        <v>0</v>
      </c>
      <c r="K2870" t="n">
        <v>0</v>
      </c>
      <c r="L2870" t="n">
        <v>0</v>
      </c>
      <c r="M2870" t="n">
        <v>0</v>
      </c>
      <c r="N2870" t="n">
        <v>0</v>
      </c>
      <c r="O2870" t="n">
        <v>0</v>
      </c>
      <c r="P2870" t="n">
        <v>0</v>
      </c>
      <c r="Q2870" t="n">
        <v>0</v>
      </c>
      <c r="R2870" s="2" t="inlineStr"/>
    </row>
    <row r="2871" ht="15" customHeight="1">
      <c r="A2871" t="inlineStr">
        <is>
          <t>A 49234-2025</t>
        </is>
      </c>
      <c r="B2871" s="1" t="n">
        <v>45938.4771875</v>
      </c>
      <c r="C2871" s="1" t="n">
        <v>46103</v>
      </c>
      <c r="D2871" t="inlineStr">
        <is>
          <t>KRONOBERGS LÄN</t>
        </is>
      </c>
      <c r="E2871" t="inlineStr">
        <is>
          <t>VÄXJÖ</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1331-2026</t>
        </is>
      </c>
      <c r="B2872" s="1" t="n">
        <v>46031.57244212963</v>
      </c>
      <c r="C2872" s="1" t="n">
        <v>46103</v>
      </c>
      <c r="D2872" t="inlineStr">
        <is>
          <t>KRONOBERGS LÄN</t>
        </is>
      </c>
      <c r="E2872" t="inlineStr">
        <is>
          <t>TINGSRYD</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49298-2025</t>
        </is>
      </c>
      <c r="B2873" s="1" t="n">
        <v>45938.54045138889</v>
      </c>
      <c r="C2873" s="1" t="n">
        <v>46103</v>
      </c>
      <c r="D2873" t="inlineStr">
        <is>
          <t>KRONOBERGS LÄN</t>
        </is>
      </c>
      <c r="E2873" t="inlineStr">
        <is>
          <t>LESSEBO</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49308-2025</t>
        </is>
      </c>
      <c r="B2874" s="1" t="n">
        <v>45938.56199074074</v>
      </c>
      <c r="C2874" s="1" t="n">
        <v>46103</v>
      </c>
      <c r="D2874" t="inlineStr">
        <is>
          <t>KRONOBERGS LÄN</t>
        </is>
      </c>
      <c r="E2874" t="inlineStr">
        <is>
          <t>TINGSRYD</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49327-2025</t>
        </is>
      </c>
      <c r="B2875" s="1" t="n">
        <v>45938.57505787037</v>
      </c>
      <c r="C2875" s="1" t="n">
        <v>46103</v>
      </c>
      <c r="D2875" t="inlineStr">
        <is>
          <t>KRONOBERGS LÄN</t>
        </is>
      </c>
      <c r="E2875" t="inlineStr">
        <is>
          <t>ÄLMHULT</t>
        </is>
      </c>
      <c r="G2875" t="n">
        <v>3.9</v>
      </c>
      <c r="H2875" t="n">
        <v>0</v>
      </c>
      <c r="I2875" t="n">
        <v>0</v>
      </c>
      <c r="J2875" t="n">
        <v>0</v>
      </c>
      <c r="K2875" t="n">
        <v>0</v>
      </c>
      <c r="L2875" t="n">
        <v>0</v>
      </c>
      <c r="M2875" t="n">
        <v>0</v>
      </c>
      <c r="N2875" t="n">
        <v>0</v>
      </c>
      <c r="O2875" t="n">
        <v>0</v>
      </c>
      <c r="P2875" t="n">
        <v>0</v>
      </c>
      <c r="Q2875" t="n">
        <v>0</v>
      </c>
      <c r="R2875" s="2" t="inlineStr"/>
    </row>
    <row r="2876" ht="15" customHeight="1">
      <c r="A2876" t="inlineStr">
        <is>
          <t>A 3875-2025</t>
        </is>
      </c>
      <c r="B2876" s="1" t="n">
        <v>45684.34170138889</v>
      </c>
      <c r="C2876" s="1" t="n">
        <v>46103</v>
      </c>
      <c r="D2876" t="inlineStr">
        <is>
          <t>KRONOBERGS LÄN</t>
        </is>
      </c>
      <c r="E2876" t="inlineStr">
        <is>
          <t>LJUNGBY</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3876-2025</t>
        </is>
      </c>
      <c r="B2877" s="1" t="n">
        <v>45684.34384259259</v>
      </c>
      <c r="C2877" s="1" t="n">
        <v>46103</v>
      </c>
      <c r="D2877" t="inlineStr">
        <is>
          <t>KRONOBERGS LÄN</t>
        </is>
      </c>
      <c r="E2877" t="inlineStr">
        <is>
          <t>LJUNGBY</t>
        </is>
      </c>
      <c r="G2877" t="n">
        <v>0.2</v>
      </c>
      <c r="H2877" t="n">
        <v>0</v>
      </c>
      <c r="I2877" t="n">
        <v>0</v>
      </c>
      <c r="J2877" t="n">
        <v>0</v>
      </c>
      <c r="K2877" t="n">
        <v>0</v>
      </c>
      <c r="L2877" t="n">
        <v>0</v>
      </c>
      <c r="M2877" t="n">
        <v>0</v>
      </c>
      <c r="N2877" t="n">
        <v>0</v>
      </c>
      <c r="O2877" t="n">
        <v>0</v>
      </c>
      <c r="P2877" t="n">
        <v>0</v>
      </c>
      <c r="Q2877" t="n">
        <v>0</v>
      </c>
      <c r="R2877" s="2" t="inlineStr"/>
    </row>
    <row r="2878" ht="15" customHeight="1">
      <c r="A2878" t="inlineStr">
        <is>
          <t>A 17627-2025</t>
        </is>
      </c>
      <c r="B2878" s="1" t="n">
        <v>45757.94755787037</v>
      </c>
      <c r="C2878" s="1" t="n">
        <v>46103</v>
      </c>
      <c r="D2878" t="inlineStr">
        <is>
          <t>KRONOBERGS LÄN</t>
        </is>
      </c>
      <c r="E2878" t="inlineStr">
        <is>
          <t>LJUNGBY</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1357-2026</t>
        </is>
      </c>
      <c r="B2879" s="1" t="n">
        <v>46031.60041666667</v>
      </c>
      <c r="C2879" s="1" t="n">
        <v>46103</v>
      </c>
      <c r="D2879" t="inlineStr">
        <is>
          <t>KRONOBERGS LÄN</t>
        </is>
      </c>
      <c r="E2879" t="inlineStr">
        <is>
          <t>TINGSRYD</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1415-2026</t>
        </is>
      </c>
      <c r="B2880" s="1" t="n">
        <v>46031.71200231482</v>
      </c>
      <c r="C2880" s="1" t="n">
        <v>46103</v>
      </c>
      <c r="D2880" t="inlineStr">
        <is>
          <t>KRONOBERGS LÄN</t>
        </is>
      </c>
      <c r="E2880" t="inlineStr">
        <is>
          <t>UPPVIDINGE</t>
        </is>
      </c>
      <c r="F2880" t="inlineStr">
        <is>
          <t>Sveaskog</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3818-2023</t>
        </is>
      </c>
      <c r="B2881" s="1" t="n">
        <v>44951</v>
      </c>
      <c r="C2881" s="1" t="n">
        <v>46103</v>
      </c>
      <c r="D2881" t="inlineStr">
        <is>
          <t>KRONOBERGS LÄN</t>
        </is>
      </c>
      <c r="E2881" t="inlineStr">
        <is>
          <t>TINGSRYD</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59366-2023</t>
        </is>
      </c>
      <c r="B2882" s="1" t="n">
        <v>45253</v>
      </c>
      <c r="C2882" s="1" t="n">
        <v>46103</v>
      </c>
      <c r="D2882" t="inlineStr">
        <is>
          <t>KRONOBERGS LÄN</t>
        </is>
      </c>
      <c r="E2882" t="inlineStr">
        <is>
          <t>LJUNGBY</t>
        </is>
      </c>
      <c r="F2882" t="inlineStr">
        <is>
          <t>Kyrkan</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37855-2025</t>
        </is>
      </c>
      <c r="B2883" s="1" t="n">
        <v>45881.4566087963</v>
      </c>
      <c r="C2883" s="1" t="n">
        <v>46103</v>
      </c>
      <c r="D2883" t="inlineStr">
        <is>
          <t>KRONOBERGS LÄN</t>
        </is>
      </c>
      <c r="E2883" t="inlineStr">
        <is>
          <t>UPPVIDINGE</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3955-2022</t>
        </is>
      </c>
      <c r="B2884" s="1" t="n">
        <v>44587</v>
      </c>
      <c r="C2884" s="1" t="n">
        <v>46103</v>
      </c>
      <c r="D2884" t="inlineStr">
        <is>
          <t>KRONOBERGS LÄN</t>
        </is>
      </c>
      <c r="E2884" t="inlineStr">
        <is>
          <t>LESSEBO</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48147-2023</t>
        </is>
      </c>
      <c r="B2885" s="1" t="n">
        <v>45205.39787037037</v>
      </c>
      <c r="C2885" s="1" t="n">
        <v>46103</v>
      </c>
      <c r="D2885" t="inlineStr">
        <is>
          <t>KRONOBERGS LÄN</t>
        </is>
      </c>
      <c r="E2885" t="inlineStr">
        <is>
          <t>LJUNGBY</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48175-2023</t>
        </is>
      </c>
      <c r="B2886" s="1" t="n">
        <v>45205</v>
      </c>
      <c r="C2886" s="1" t="n">
        <v>46103</v>
      </c>
      <c r="D2886" t="inlineStr">
        <is>
          <t>KRONOBERGS LÄN</t>
        </is>
      </c>
      <c r="E2886" t="inlineStr">
        <is>
          <t>LJUNGBY</t>
        </is>
      </c>
      <c r="G2886" t="n">
        <v>1.5</v>
      </c>
      <c r="H2886" t="n">
        <v>0</v>
      </c>
      <c r="I2886" t="n">
        <v>0</v>
      </c>
      <c r="J2886" t="n">
        <v>0</v>
      </c>
      <c r="K2886" t="n">
        <v>0</v>
      </c>
      <c r="L2886" t="n">
        <v>0</v>
      </c>
      <c r="M2886" t="n">
        <v>0</v>
      </c>
      <c r="N2886" t="n">
        <v>0</v>
      </c>
      <c r="O2886" t="n">
        <v>0</v>
      </c>
      <c r="P2886" t="n">
        <v>0</v>
      </c>
      <c r="Q2886" t="n">
        <v>0</v>
      </c>
      <c r="R2886" s="2" t="inlineStr"/>
      <c r="U2886">
        <f>HYPERLINK("https://klasma.github.io/Logging_0781/knärot/A 48175-2023 karta knärot.png", "A 48175-2023")</f>
        <v/>
      </c>
      <c r="V2886">
        <f>HYPERLINK("https://klasma.github.io/Logging_0781/klagomål/A 48175-2023 FSC-klagomål.docx", "A 48175-2023")</f>
        <v/>
      </c>
      <c r="W2886">
        <f>HYPERLINK("https://klasma.github.io/Logging_0781/klagomålsmail/A 48175-2023 FSC-klagomål mail.docx", "A 48175-2023")</f>
        <v/>
      </c>
      <c r="X2886">
        <f>HYPERLINK("https://klasma.github.io/Logging_0781/tillsyn/A 48175-2023 tillsynsbegäran.docx", "A 48175-2023")</f>
        <v/>
      </c>
      <c r="Y2886">
        <f>HYPERLINK("https://klasma.github.io/Logging_0781/tillsynsmail/A 48175-2023 tillsynsbegäran mail.docx", "A 48175-2023")</f>
        <v/>
      </c>
    </row>
    <row r="2887" ht="15" customHeight="1">
      <c r="A2887" t="inlineStr">
        <is>
          <t>A 15278-2025</t>
        </is>
      </c>
      <c r="B2887" s="1" t="n">
        <v>45744.68833333333</v>
      </c>
      <c r="C2887" s="1" t="n">
        <v>46103</v>
      </c>
      <c r="D2887" t="inlineStr">
        <is>
          <t>KRONOBERGS LÄN</t>
        </is>
      </c>
      <c r="E2887" t="inlineStr">
        <is>
          <t>MARKARYD</t>
        </is>
      </c>
      <c r="G2887" t="n">
        <v>7.5</v>
      </c>
      <c r="H2887" t="n">
        <v>0</v>
      </c>
      <c r="I2887" t="n">
        <v>0</v>
      </c>
      <c r="J2887" t="n">
        <v>0</v>
      </c>
      <c r="K2887" t="n">
        <v>0</v>
      </c>
      <c r="L2887" t="n">
        <v>0</v>
      </c>
      <c r="M2887" t="n">
        <v>0</v>
      </c>
      <c r="N2887" t="n">
        <v>0</v>
      </c>
      <c r="O2887" t="n">
        <v>0</v>
      </c>
      <c r="P2887" t="n">
        <v>0</v>
      </c>
      <c r="Q2887" t="n">
        <v>0</v>
      </c>
      <c r="R2887" s="2" t="inlineStr"/>
    </row>
    <row r="2888" ht="15" customHeight="1">
      <c r="A2888" t="inlineStr">
        <is>
          <t>A 15281-2025</t>
        </is>
      </c>
      <c r="B2888" s="1" t="n">
        <v>45744.72803240741</v>
      </c>
      <c r="C2888" s="1" t="n">
        <v>46103</v>
      </c>
      <c r="D2888" t="inlineStr">
        <is>
          <t>KRONOBERGS LÄN</t>
        </is>
      </c>
      <c r="E2888" t="inlineStr">
        <is>
          <t>ALVESTA</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1051-2026</t>
        </is>
      </c>
      <c r="B2889" s="1" t="n">
        <v>46030.63140046296</v>
      </c>
      <c r="C2889" s="1" t="n">
        <v>46103</v>
      </c>
      <c r="D2889" t="inlineStr">
        <is>
          <t>KRONOBERGS LÄN</t>
        </is>
      </c>
      <c r="E2889" t="inlineStr">
        <is>
          <t>ÄLMHULT</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15361-2025</t>
        </is>
      </c>
      <c r="B2890" s="1" t="n">
        <v>45747.39516203704</v>
      </c>
      <c r="C2890" s="1" t="n">
        <v>46103</v>
      </c>
      <c r="D2890" t="inlineStr">
        <is>
          <t>KRONOBERGS LÄN</t>
        </is>
      </c>
      <c r="E2890" t="inlineStr">
        <is>
          <t>LJUNGBY</t>
        </is>
      </c>
      <c r="F2890" t="inlineStr">
        <is>
          <t>Sveaskog</t>
        </is>
      </c>
      <c r="G2890" t="n">
        <v>6.5</v>
      </c>
      <c r="H2890" t="n">
        <v>0</v>
      </c>
      <c r="I2890" t="n">
        <v>0</v>
      </c>
      <c r="J2890" t="n">
        <v>0</v>
      </c>
      <c r="K2890" t="n">
        <v>0</v>
      </c>
      <c r="L2890" t="n">
        <v>0</v>
      </c>
      <c r="M2890" t="n">
        <v>0</v>
      </c>
      <c r="N2890" t="n">
        <v>0</v>
      </c>
      <c r="O2890" t="n">
        <v>0</v>
      </c>
      <c r="P2890" t="n">
        <v>0</v>
      </c>
      <c r="Q2890" t="n">
        <v>0</v>
      </c>
      <c r="R2890" s="2" t="inlineStr"/>
    </row>
    <row r="2891" ht="15" customHeight="1">
      <c r="A2891" t="inlineStr">
        <is>
          <t>A 3101-2025</t>
        </is>
      </c>
      <c r="B2891" s="1" t="n">
        <v>45678</v>
      </c>
      <c r="C2891" s="1" t="n">
        <v>46103</v>
      </c>
      <c r="D2891" t="inlineStr">
        <is>
          <t>KRONOBERGS LÄN</t>
        </is>
      </c>
      <c r="E2891" t="inlineStr">
        <is>
          <t>VÄXJÖ</t>
        </is>
      </c>
      <c r="G2891" t="n">
        <v>11.3</v>
      </c>
      <c r="H2891" t="n">
        <v>0</v>
      </c>
      <c r="I2891" t="n">
        <v>0</v>
      </c>
      <c r="J2891" t="n">
        <v>0</v>
      </c>
      <c r="K2891" t="n">
        <v>0</v>
      </c>
      <c r="L2891" t="n">
        <v>0</v>
      </c>
      <c r="M2891" t="n">
        <v>0</v>
      </c>
      <c r="N2891" t="n">
        <v>0</v>
      </c>
      <c r="O2891" t="n">
        <v>0</v>
      </c>
      <c r="P2891" t="n">
        <v>0</v>
      </c>
      <c r="Q2891" t="n">
        <v>0</v>
      </c>
      <c r="R2891" s="2" t="inlineStr"/>
    </row>
    <row r="2892" ht="15" customHeight="1">
      <c r="A2892" t="inlineStr">
        <is>
          <t>A 12681-2025</t>
        </is>
      </c>
      <c r="B2892" s="1" t="n">
        <v>45733</v>
      </c>
      <c r="C2892" s="1" t="n">
        <v>46103</v>
      </c>
      <c r="D2892" t="inlineStr">
        <is>
          <t>KRONOBERGS LÄN</t>
        </is>
      </c>
      <c r="E2892" t="inlineStr">
        <is>
          <t>LJUNGBY</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17518-2023</t>
        </is>
      </c>
      <c r="B2893" s="1" t="n">
        <v>45036</v>
      </c>
      <c r="C2893" s="1" t="n">
        <v>46103</v>
      </c>
      <c r="D2893" t="inlineStr">
        <is>
          <t>KRONOBERGS LÄN</t>
        </is>
      </c>
      <c r="E2893" t="inlineStr">
        <is>
          <t>TINGSRYD</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20485-2025</t>
        </is>
      </c>
      <c r="B2894" s="1" t="n">
        <v>45775</v>
      </c>
      <c r="C2894" s="1" t="n">
        <v>46103</v>
      </c>
      <c r="D2894" t="inlineStr">
        <is>
          <t>KRONOBERGS LÄN</t>
        </is>
      </c>
      <c r="E2894" t="inlineStr">
        <is>
          <t>LESSEBO</t>
        </is>
      </c>
      <c r="F2894" t="inlineStr">
        <is>
          <t>Sveaskog</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20443-2025</t>
        </is>
      </c>
      <c r="B2895" s="1" t="n">
        <v>45775</v>
      </c>
      <c r="C2895" s="1" t="n">
        <v>46103</v>
      </c>
      <c r="D2895" t="inlineStr">
        <is>
          <t>KRONOBERGS LÄN</t>
        </is>
      </c>
      <c r="E2895" t="inlineStr">
        <is>
          <t>LESSEBO</t>
        </is>
      </c>
      <c r="F2895" t="inlineStr">
        <is>
          <t>Sveaskog</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803-2026</t>
        </is>
      </c>
      <c r="B2896" s="1" t="n">
        <v>46030.27077546297</v>
      </c>
      <c r="C2896" s="1" t="n">
        <v>46103</v>
      </c>
      <c r="D2896" t="inlineStr">
        <is>
          <t>KRONOBERGS LÄN</t>
        </is>
      </c>
      <c r="E2896" t="inlineStr">
        <is>
          <t>TINGSRYD</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59099-2022</t>
        </is>
      </c>
      <c r="B2897" s="1" t="n">
        <v>44897</v>
      </c>
      <c r="C2897" s="1" t="n">
        <v>46103</v>
      </c>
      <c r="D2897" t="inlineStr">
        <is>
          <t>KRONOBERGS LÄN</t>
        </is>
      </c>
      <c r="E2897" t="inlineStr">
        <is>
          <t>ÄLMHULT</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29382-2023</t>
        </is>
      </c>
      <c r="B2898" s="1" t="n">
        <v>45106.39899305555</v>
      </c>
      <c r="C2898" s="1" t="n">
        <v>46103</v>
      </c>
      <c r="D2898" t="inlineStr">
        <is>
          <t>KRONOBERGS LÄN</t>
        </is>
      </c>
      <c r="E2898" t="inlineStr">
        <is>
          <t>ALVESTA</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72450-2021</t>
        </is>
      </c>
      <c r="B2899" s="1" t="n">
        <v>44545.69655092592</v>
      </c>
      <c r="C2899" s="1" t="n">
        <v>46103</v>
      </c>
      <c r="D2899" t="inlineStr">
        <is>
          <t>KRONOBERGS LÄN</t>
        </is>
      </c>
      <c r="E2899" t="inlineStr">
        <is>
          <t>TINGSRYD</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53701-2023</t>
        </is>
      </c>
      <c r="B2900" s="1" t="n">
        <v>45230</v>
      </c>
      <c r="C2900" s="1" t="n">
        <v>46103</v>
      </c>
      <c r="D2900" t="inlineStr">
        <is>
          <t>KRONOBERGS LÄN</t>
        </is>
      </c>
      <c r="E2900" t="inlineStr">
        <is>
          <t>UPPVIDINGE</t>
        </is>
      </c>
      <c r="F2900" t="inlineStr">
        <is>
          <t>Sveaskog</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53713-2023</t>
        </is>
      </c>
      <c r="B2901" s="1" t="n">
        <v>45230.68856481482</v>
      </c>
      <c r="C2901" s="1" t="n">
        <v>46103</v>
      </c>
      <c r="D2901" t="inlineStr">
        <is>
          <t>KRONOBERGS LÄN</t>
        </is>
      </c>
      <c r="E2901" t="inlineStr">
        <is>
          <t>VÄXJÖ</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11587-2024</t>
        </is>
      </c>
      <c r="B2902" s="1" t="n">
        <v>45373.3674537037</v>
      </c>
      <c r="C2902" s="1" t="n">
        <v>46103</v>
      </c>
      <c r="D2902" t="inlineStr">
        <is>
          <t>KRONOBERGS LÄN</t>
        </is>
      </c>
      <c r="E2902" t="inlineStr">
        <is>
          <t>ÄLMHULT</t>
        </is>
      </c>
      <c r="F2902" t="inlineStr">
        <is>
          <t>Sveaskog</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49577-2025</t>
        </is>
      </c>
      <c r="B2903" s="1" t="n">
        <v>45939.49178240741</v>
      </c>
      <c r="C2903" s="1" t="n">
        <v>46103</v>
      </c>
      <c r="D2903" t="inlineStr">
        <is>
          <t>KRONOBERGS LÄN</t>
        </is>
      </c>
      <c r="E2903" t="inlineStr">
        <is>
          <t>UPPVIDINGE</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1016-2026</t>
        </is>
      </c>
      <c r="B2904" s="1" t="n">
        <v>46030.60380787037</v>
      </c>
      <c r="C2904" s="1" t="n">
        <v>46103</v>
      </c>
      <c r="D2904" t="inlineStr">
        <is>
          <t>KRONOBERGS LÄN</t>
        </is>
      </c>
      <c r="E2904" t="inlineStr">
        <is>
          <t>LESSEBO</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1043-2026</t>
        </is>
      </c>
      <c r="B2905" s="1" t="n">
        <v>46030.62481481482</v>
      </c>
      <c r="C2905" s="1" t="n">
        <v>46103</v>
      </c>
      <c r="D2905" t="inlineStr">
        <is>
          <t>KRONOBERGS LÄN</t>
        </is>
      </c>
      <c r="E2905" t="inlineStr">
        <is>
          <t>ÄLMHULT</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48880-2025</t>
        </is>
      </c>
      <c r="B2906" s="1" t="n">
        <v>45937.45954861111</v>
      </c>
      <c r="C2906" s="1" t="n">
        <v>46103</v>
      </c>
      <c r="D2906" t="inlineStr">
        <is>
          <t>KRONOBERGS LÄN</t>
        </is>
      </c>
      <c r="E2906" t="inlineStr">
        <is>
          <t>TINGSRYD</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8174-2025</t>
        </is>
      </c>
      <c r="B2907" s="1" t="n">
        <v>45708</v>
      </c>
      <c r="C2907" s="1" t="n">
        <v>46103</v>
      </c>
      <c r="D2907" t="inlineStr">
        <is>
          <t>KRONOBERGS LÄN</t>
        </is>
      </c>
      <c r="E2907" t="inlineStr">
        <is>
          <t>LESSEBO</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47550-2023</t>
        </is>
      </c>
      <c r="B2908" s="1" t="n">
        <v>45203.38741898148</v>
      </c>
      <c r="C2908" s="1" t="n">
        <v>46103</v>
      </c>
      <c r="D2908" t="inlineStr">
        <is>
          <t>KRONOBERGS LÄN</t>
        </is>
      </c>
      <c r="E2908" t="inlineStr">
        <is>
          <t>TINGSRYD</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8481-2026</t>
        </is>
      </c>
      <c r="B2909" s="1" t="n">
        <v>46065.465625</v>
      </c>
      <c r="C2909" s="1" t="n">
        <v>46103</v>
      </c>
      <c r="D2909" t="inlineStr">
        <is>
          <t>KRONOBERGS LÄN</t>
        </is>
      </c>
      <c r="E2909" t="inlineStr">
        <is>
          <t>UPPVIDINGE</t>
        </is>
      </c>
      <c r="G2909" t="n">
        <v>5.7</v>
      </c>
      <c r="H2909" t="n">
        <v>0</v>
      </c>
      <c r="I2909" t="n">
        <v>0</v>
      </c>
      <c r="J2909" t="n">
        <v>0</v>
      </c>
      <c r="K2909" t="n">
        <v>0</v>
      </c>
      <c r="L2909" t="n">
        <v>0</v>
      </c>
      <c r="M2909" t="n">
        <v>0</v>
      </c>
      <c r="N2909" t="n">
        <v>0</v>
      </c>
      <c r="O2909" t="n">
        <v>0</v>
      </c>
      <c r="P2909" t="n">
        <v>0</v>
      </c>
      <c r="Q2909" t="n">
        <v>0</v>
      </c>
      <c r="R2909" s="2" t="inlineStr"/>
    </row>
    <row r="2910" ht="15" customHeight="1">
      <c r="A2910" t="inlineStr">
        <is>
          <t>A 799-2026</t>
        </is>
      </c>
      <c r="B2910" s="1" t="n">
        <v>46029.92524305556</v>
      </c>
      <c r="C2910" s="1" t="n">
        <v>46103</v>
      </c>
      <c r="D2910" t="inlineStr">
        <is>
          <t>KRONOBERGS LÄN</t>
        </is>
      </c>
      <c r="E2910" t="inlineStr">
        <is>
          <t>TINGSRYD</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857-2026</t>
        </is>
      </c>
      <c r="B2911" s="1" t="n">
        <v>46030.4108449074</v>
      </c>
      <c r="C2911" s="1" t="n">
        <v>46103</v>
      </c>
      <c r="D2911" t="inlineStr">
        <is>
          <t>KRONOBERGS LÄN</t>
        </is>
      </c>
      <c r="E2911" t="inlineStr">
        <is>
          <t>LJUNGBY</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1853-2026</t>
        </is>
      </c>
      <c r="B2912" s="1" t="n">
        <v>46035.41711805556</v>
      </c>
      <c r="C2912" s="1" t="n">
        <v>46103</v>
      </c>
      <c r="D2912" t="inlineStr">
        <is>
          <t>KRONOBERGS LÄN</t>
        </is>
      </c>
      <c r="E2912" t="inlineStr">
        <is>
          <t>TINGSRYD</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56172-2023</t>
        </is>
      </c>
      <c r="B2913" s="1" t="n">
        <v>45240.63111111111</v>
      </c>
      <c r="C2913" s="1" t="n">
        <v>46103</v>
      </c>
      <c r="D2913" t="inlineStr">
        <is>
          <t>KRONOBERGS LÄN</t>
        </is>
      </c>
      <c r="E2913" t="inlineStr">
        <is>
          <t>VÄXJÖ</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1857-2026</t>
        </is>
      </c>
      <c r="B2914" s="1" t="n">
        <v>46035.433125</v>
      </c>
      <c r="C2914" s="1" t="n">
        <v>46103</v>
      </c>
      <c r="D2914" t="inlineStr">
        <is>
          <t>KRONOBERGS LÄN</t>
        </is>
      </c>
      <c r="E2914" t="inlineStr">
        <is>
          <t>TINGSRYD</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49339-2025</t>
        </is>
      </c>
      <c r="B2915" s="1" t="n">
        <v>45938.5928587963</v>
      </c>
      <c r="C2915" s="1" t="n">
        <v>46103</v>
      </c>
      <c r="D2915" t="inlineStr">
        <is>
          <t>KRONOBERGS LÄN</t>
        </is>
      </c>
      <c r="E2915" t="inlineStr">
        <is>
          <t>LJUNGBY</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7107-2022</t>
        </is>
      </c>
      <c r="B2916" s="1" t="n">
        <v>44603.63212962963</v>
      </c>
      <c r="C2916" s="1" t="n">
        <v>46103</v>
      </c>
      <c r="D2916" t="inlineStr">
        <is>
          <t>KRONOBERGS LÄN</t>
        </is>
      </c>
      <c r="E2916" t="inlineStr">
        <is>
          <t>LJUNGBY</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7113-2022</t>
        </is>
      </c>
      <c r="B2917" s="1" t="n">
        <v>44603</v>
      </c>
      <c r="C2917" s="1" t="n">
        <v>46103</v>
      </c>
      <c r="D2917" t="inlineStr">
        <is>
          <t>KRONOBERGS LÄN</t>
        </is>
      </c>
      <c r="E2917" t="inlineStr">
        <is>
          <t>LJUNGBY</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7114-2022</t>
        </is>
      </c>
      <c r="B2918" s="1" t="n">
        <v>44603.6434375</v>
      </c>
      <c r="C2918" s="1" t="n">
        <v>46103</v>
      </c>
      <c r="D2918" t="inlineStr">
        <is>
          <t>KRONOBERGS LÄN</t>
        </is>
      </c>
      <c r="E2918" t="inlineStr">
        <is>
          <t>LJUNGBY</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12924-2024</t>
        </is>
      </c>
      <c r="B2919" s="1" t="n">
        <v>45385.44706018519</v>
      </c>
      <c r="C2919" s="1" t="n">
        <v>46103</v>
      </c>
      <c r="D2919" t="inlineStr">
        <is>
          <t>KRONOBERGS LÄN</t>
        </is>
      </c>
      <c r="E2919" t="inlineStr">
        <is>
          <t>UPPVIDINGE</t>
        </is>
      </c>
      <c r="F2919" t="inlineStr">
        <is>
          <t>Sveaskog</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49852-2025</t>
        </is>
      </c>
      <c r="B2920" s="1" t="n">
        <v>45940.49800925926</v>
      </c>
      <c r="C2920" s="1" t="n">
        <v>46103</v>
      </c>
      <c r="D2920" t="inlineStr">
        <is>
          <t>KRONOBERGS LÄN</t>
        </is>
      </c>
      <c r="E2920" t="inlineStr">
        <is>
          <t>UPPVIDINGE</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27710-2022</t>
        </is>
      </c>
      <c r="B2921" s="1" t="n">
        <v>44743</v>
      </c>
      <c r="C2921" s="1" t="n">
        <v>46103</v>
      </c>
      <c r="D2921" t="inlineStr">
        <is>
          <t>KRONOBERGS LÄN</t>
        </is>
      </c>
      <c r="E2921" t="inlineStr">
        <is>
          <t>ALVESTA</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27731-2022</t>
        </is>
      </c>
      <c r="B2922" s="1" t="n">
        <v>44743</v>
      </c>
      <c r="C2922" s="1" t="n">
        <v>46103</v>
      </c>
      <c r="D2922" t="inlineStr">
        <is>
          <t>KRONOBERGS LÄN</t>
        </is>
      </c>
      <c r="E2922" t="inlineStr">
        <is>
          <t>ALVESTA</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36939-2023</t>
        </is>
      </c>
      <c r="B2923" s="1" t="n">
        <v>45154</v>
      </c>
      <c r="C2923" s="1" t="n">
        <v>46103</v>
      </c>
      <c r="D2923" t="inlineStr">
        <is>
          <t>KRONOBERGS LÄN</t>
        </is>
      </c>
      <c r="E2923" t="inlineStr">
        <is>
          <t>VÄXJÖ</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49832-2025</t>
        </is>
      </c>
      <c r="B2924" s="1" t="n">
        <v>45940.45752314815</v>
      </c>
      <c r="C2924" s="1" t="n">
        <v>46103</v>
      </c>
      <c r="D2924" t="inlineStr">
        <is>
          <t>KRONOBERGS LÄN</t>
        </is>
      </c>
      <c r="E2924" t="inlineStr">
        <is>
          <t>LJUNGBY</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28818-2022</t>
        </is>
      </c>
      <c r="B2925" s="1" t="n">
        <v>44749</v>
      </c>
      <c r="C2925" s="1" t="n">
        <v>46103</v>
      </c>
      <c r="D2925" t="inlineStr">
        <is>
          <t>KRONOBERGS LÄN</t>
        </is>
      </c>
      <c r="E2925" t="inlineStr">
        <is>
          <t>ALVESTA</t>
        </is>
      </c>
      <c r="G2925" t="n">
        <v>6</v>
      </c>
      <c r="H2925" t="n">
        <v>0</v>
      </c>
      <c r="I2925" t="n">
        <v>0</v>
      </c>
      <c r="J2925" t="n">
        <v>0</v>
      </c>
      <c r="K2925" t="n">
        <v>0</v>
      </c>
      <c r="L2925" t="n">
        <v>0</v>
      </c>
      <c r="M2925" t="n">
        <v>0</v>
      </c>
      <c r="N2925" t="n">
        <v>0</v>
      </c>
      <c r="O2925" t="n">
        <v>0</v>
      </c>
      <c r="P2925" t="n">
        <v>0</v>
      </c>
      <c r="Q2925" t="n">
        <v>0</v>
      </c>
      <c r="R2925" s="2" t="inlineStr"/>
    </row>
    <row r="2926" ht="15" customHeight="1">
      <c r="A2926" t="inlineStr">
        <is>
          <t>A 1682-2026</t>
        </is>
      </c>
      <c r="B2926" s="1" t="n">
        <v>46034</v>
      </c>
      <c r="C2926" s="1" t="n">
        <v>46103</v>
      </c>
      <c r="D2926" t="inlineStr">
        <is>
          <t>KRONOBERGS LÄN</t>
        </is>
      </c>
      <c r="E2926" t="inlineStr">
        <is>
          <t>MARKARYD</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10573-2026</t>
        </is>
      </c>
      <c r="B2927" s="1" t="n">
        <v>46077.65967592593</v>
      </c>
      <c r="C2927" s="1" t="n">
        <v>46103</v>
      </c>
      <c r="D2927" t="inlineStr">
        <is>
          <t>KRONOBERGS LÄN</t>
        </is>
      </c>
      <c r="E2927" t="inlineStr">
        <is>
          <t>LJUNGBY</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50207-2025</t>
        </is>
      </c>
      <c r="B2928" s="1" t="n">
        <v>45943.66315972222</v>
      </c>
      <c r="C2928" s="1" t="n">
        <v>46103</v>
      </c>
      <c r="D2928" t="inlineStr">
        <is>
          <t>KRONOBERGS LÄN</t>
        </is>
      </c>
      <c r="E2928" t="inlineStr">
        <is>
          <t>VÄXJÖ</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10264-2026</t>
        </is>
      </c>
      <c r="B2929" s="1" t="n">
        <v>46076.57461805556</v>
      </c>
      <c r="C2929" s="1" t="n">
        <v>46103</v>
      </c>
      <c r="D2929" t="inlineStr">
        <is>
          <t>KRONOBERGS LÄN</t>
        </is>
      </c>
      <c r="E2929" t="inlineStr">
        <is>
          <t>LJUNGBY</t>
        </is>
      </c>
      <c r="G2929" t="n">
        <v>4.8</v>
      </c>
      <c r="H2929" t="n">
        <v>0</v>
      </c>
      <c r="I2929" t="n">
        <v>0</v>
      </c>
      <c r="J2929" t="n">
        <v>0</v>
      </c>
      <c r="K2929" t="n">
        <v>0</v>
      </c>
      <c r="L2929" t="n">
        <v>0</v>
      </c>
      <c r="M2929" t="n">
        <v>0</v>
      </c>
      <c r="N2929" t="n">
        <v>0</v>
      </c>
      <c r="O2929" t="n">
        <v>0</v>
      </c>
      <c r="P2929" t="n">
        <v>0</v>
      </c>
      <c r="Q2929" t="n">
        <v>0</v>
      </c>
      <c r="R2929" s="2" t="inlineStr"/>
    </row>
    <row r="2930" ht="15" customHeight="1">
      <c r="A2930" t="inlineStr">
        <is>
          <t>A 40049-2022</t>
        </is>
      </c>
      <c r="B2930" s="1" t="n">
        <v>44820</v>
      </c>
      <c r="C2930" s="1" t="n">
        <v>46103</v>
      </c>
      <c r="D2930" t="inlineStr">
        <is>
          <t>KRONOBERGS LÄN</t>
        </is>
      </c>
      <c r="E2930" t="inlineStr">
        <is>
          <t>ALVESTA</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25530-2025</t>
        </is>
      </c>
      <c r="B2931" s="1" t="n">
        <v>45803.39724537037</v>
      </c>
      <c r="C2931" s="1" t="n">
        <v>46103</v>
      </c>
      <c r="D2931" t="inlineStr">
        <is>
          <t>KRONOBERGS LÄN</t>
        </is>
      </c>
      <c r="E2931" t="inlineStr">
        <is>
          <t>VÄXJÖ</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24028-2023</t>
        </is>
      </c>
      <c r="B2932" s="1" t="n">
        <v>45078</v>
      </c>
      <c r="C2932" s="1" t="n">
        <v>46103</v>
      </c>
      <c r="D2932" t="inlineStr">
        <is>
          <t>KRONOBERGS LÄN</t>
        </is>
      </c>
      <c r="E2932" t="inlineStr">
        <is>
          <t>ÄLMHULT</t>
        </is>
      </c>
      <c r="G2932" t="n">
        <v>4.6</v>
      </c>
      <c r="H2932" t="n">
        <v>0</v>
      </c>
      <c r="I2932" t="n">
        <v>0</v>
      </c>
      <c r="J2932" t="n">
        <v>0</v>
      </c>
      <c r="K2932" t="n">
        <v>0</v>
      </c>
      <c r="L2932" t="n">
        <v>0</v>
      </c>
      <c r="M2932" t="n">
        <v>0</v>
      </c>
      <c r="N2932" t="n">
        <v>0</v>
      </c>
      <c r="O2932" t="n">
        <v>0</v>
      </c>
      <c r="P2932" t="n">
        <v>0</v>
      </c>
      <c r="Q2932" t="n">
        <v>0</v>
      </c>
      <c r="R2932" s="2" t="inlineStr"/>
    </row>
    <row r="2933" ht="15" customHeight="1">
      <c r="A2933" t="inlineStr">
        <is>
          <t>A 1798-2026</t>
        </is>
      </c>
      <c r="B2933" s="1" t="n">
        <v>46035.30069444444</v>
      </c>
      <c r="C2933" s="1" t="n">
        <v>46103</v>
      </c>
      <c r="D2933" t="inlineStr">
        <is>
          <t>KRONOBERGS LÄN</t>
        </is>
      </c>
      <c r="E2933" t="inlineStr">
        <is>
          <t>VÄXJÖ</t>
        </is>
      </c>
      <c r="F2933" t="inlineStr">
        <is>
          <t>Sveaskog</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49992-2025</t>
        </is>
      </c>
      <c r="B2934" s="1" t="n">
        <v>45942.93530092593</v>
      </c>
      <c r="C2934" s="1" t="n">
        <v>46103</v>
      </c>
      <c r="D2934" t="inlineStr">
        <is>
          <t>KRONOBERGS LÄN</t>
        </is>
      </c>
      <c r="E2934" t="inlineStr">
        <is>
          <t>MARKARYD</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35434-2025</t>
        </is>
      </c>
      <c r="B2935" s="1" t="n">
        <v>45854</v>
      </c>
      <c r="C2935" s="1" t="n">
        <v>46103</v>
      </c>
      <c r="D2935" t="inlineStr">
        <is>
          <t>KRONOBERGS LÄN</t>
        </is>
      </c>
      <c r="E2935" t="inlineStr">
        <is>
          <t>ALVESTA</t>
        </is>
      </c>
      <c r="G2935" t="n">
        <v>4.7</v>
      </c>
      <c r="H2935" t="n">
        <v>0</v>
      </c>
      <c r="I2935" t="n">
        <v>0</v>
      </c>
      <c r="J2935" t="n">
        <v>0</v>
      </c>
      <c r="K2935" t="n">
        <v>0</v>
      </c>
      <c r="L2935" t="n">
        <v>0</v>
      </c>
      <c r="M2935" t="n">
        <v>0</v>
      </c>
      <c r="N2935" t="n">
        <v>0</v>
      </c>
      <c r="O2935" t="n">
        <v>0</v>
      </c>
      <c r="P2935" t="n">
        <v>0</v>
      </c>
      <c r="Q2935" t="n">
        <v>0</v>
      </c>
      <c r="R2935" s="2" t="inlineStr"/>
    </row>
    <row r="2936" ht="15" customHeight="1">
      <c r="A2936" t="inlineStr">
        <is>
          <t>A 3686-2025</t>
        </is>
      </c>
      <c r="B2936" s="1" t="n">
        <v>45681.45844907407</v>
      </c>
      <c r="C2936" s="1" t="n">
        <v>46103</v>
      </c>
      <c r="D2936" t="inlineStr">
        <is>
          <t>KRONOBERGS LÄN</t>
        </is>
      </c>
      <c r="E2936" t="inlineStr">
        <is>
          <t>ÄLMHULT</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1604-2026</t>
        </is>
      </c>
      <c r="B2937" s="1" t="n">
        <v>46034.46232638889</v>
      </c>
      <c r="C2937" s="1" t="n">
        <v>46103</v>
      </c>
      <c r="D2937" t="inlineStr">
        <is>
          <t>KRONOBERGS LÄN</t>
        </is>
      </c>
      <c r="E2937" t="inlineStr">
        <is>
          <t>UPPVIDINGE</t>
        </is>
      </c>
      <c r="G2937" t="n">
        <v>3.9</v>
      </c>
      <c r="H2937" t="n">
        <v>0</v>
      </c>
      <c r="I2937" t="n">
        <v>0</v>
      </c>
      <c r="J2937" t="n">
        <v>0</v>
      </c>
      <c r="K2937" t="n">
        <v>0</v>
      </c>
      <c r="L2937" t="n">
        <v>0</v>
      </c>
      <c r="M2937" t="n">
        <v>0</v>
      </c>
      <c r="N2937" t="n">
        <v>0</v>
      </c>
      <c r="O2937" t="n">
        <v>0</v>
      </c>
      <c r="P2937" t="n">
        <v>0</v>
      </c>
      <c r="Q2937" t="n">
        <v>0</v>
      </c>
      <c r="R2937" s="2" t="inlineStr"/>
    </row>
    <row r="2938" ht="15" customHeight="1">
      <c r="A2938" t="inlineStr">
        <is>
          <t>A 21990-2023</t>
        </is>
      </c>
      <c r="B2938" s="1" t="n">
        <v>45068.71310185185</v>
      </c>
      <c r="C2938" s="1" t="n">
        <v>46103</v>
      </c>
      <c r="D2938" t="inlineStr">
        <is>
          <t>KRONOBERGS LÄN</t>
        </is>
      </c>
      <c r="E2938" t="inlineStr">
        <is>
          <t>ÄLMHULT</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45288-2023</t>
        </is>
      </c>
      <c r="B2939" s="1" t="n">
        <v>45191.65244212963</v>
      </c>
      <c r="C2939" s="1" t="n">
        <v>46103</v>
      </c>
      <c r="D2939" t="inlineStr">
        <is>
          <t>KRONOBERGS LÄN</t>
        </is>
      </c>
      <c r="E2939" t="inlineStr">
        <is>
          <t>MARKARYD</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49734-2025</t>
        </is>
      </c>
      <c r="B2940" s="1" t="n">
        <v>45940.00979166666</v>
      </c>
      <c r="C2940" s="1" t="n">
        <v>46103</v>
      </c>
      <c r="D2940" t="inlineStr">
        <is>
          <t>KRONOBERGS LÄN</t>
        </is>
      </c>
      <c r="E2940" t="inlineStr">
        <is>
          <t>TINGSRYD</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60358-2022</t>
        </is>
      </c>
      <c r="B2941" s="1" t="n">
        <v>44910.63780092593</v>
      </c>
      <c r="C2941" s="1" t="n">
        <v>46103</v>
      </c>
      <c r="D2941" t="inlineStr">
        <is>
          <t>KRONOBERGS LÄN</t>
        </is>
      </c>
      <c r="E2941" t="inlineStr">
        <is>
          <t>LESSEBO</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49833-2025</t>
        </is>
      </c>
      <c r="B2942" s="1" t="n">
        <v>45940.45927083334</v>
      </c>
      <c r="C2942" s="1" t="n">
        <v>46103</v>
      </c>
      <c r="D2942" t="inlineStr">
        <is>
          <t>KRONOBERGS LÄN</t>
        </is>
      </c>
      <c r="E2942" t="inlineStr">
        <is>
          <t>LJUNGBY</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10185-2026</t>
        </is>
      </c>
      <c r="B2943" s="1" t="n">
        <v>46076.4424074074</v>
      </c>
      <c r="C2943" s="1" t="n">
        <v>46103</v>
      </c>
      <c r="D2943" t="inlineStr">
        <is>
          <t>KRONOBERGS LÄN</t>
        </is>
      </c>
      <c r="E2943" t="inlineStr">
        <is>
          <t>LESSEBO</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27757-2025</t>
        </is>
      </c>
      <c r="B2944" s="1" t="n">
        <v>45816.46207175926</v>
      </c>
      <c r="C2944" s="1" t="n">
        <v>46103</v>
      </c>
      <c r="D2944" t="inlineStr">
        <is>
          <t>KRONOBERGS LÄN</t>
        </is>
      </c>
      <c r="E2944" t="inlineStr">
        <is>
          <t>VÄXJÖ</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1916-2026</t>
        </is>
      </c>
      <c r="B2945" s="1" t="n">
        <v>46035.55988425926</v>
      </c>
      <c r="C2945" s="1" t="n">
        <v>46103</v>
      </c>
      <c r="D2945" t="inlineStr">
        <is>
          <t>KRONOBERGS LÄN</t>
        </is>
      </c>
      <c r="E2945" t="inlineStr">
        <is>
          <t>ÄLMHULT</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19124-2022</t>
        </is>
      </c>
      <c r="B2946" s="1" t="n">
        <v>44691.57900462963</v>
      </c>
      <c r="C2946" s="1" t="n">
        <v>46103</v>
      </c>
      <c r="D2946" t="inlineStr">
        <is>
          <t>KRONOBERGS LÄN</t>
        </is>
      </c>
      <c r="E2946" t="inlineStr">
        <is>
          <t>TINGSRYD</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1902-2026</t>
        </is>
      </c>
      <c r="B2947" s="1" t="n">
        <v>46035.54008101852</v>
      </c>
      <c r="C2947" s="1" t="n">
        <v>46103</v>
      </c>
      <c r="D2947" t="inlineStr">
        <is>
          <t>KRONOBERGS LÄN</t>
        </is>
      </c>
      <c r="E2947" t="inlineStr">
        <is>
          <t>ÄLMHULT</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1913-2026</t>
        </is>
      </c>
      <c r="B2948" s="1" t="n">
        <v>46035.55722222223</v>
      </c>
      <c r="C2948" s="1" t="n">
        <v>46103</v>
      </c>
      <c r="D2948" t="inlineStr">
        <is>
          <t>KRONOBERGS LÄN</t>
        </is>
      </c>
      <c r="E2948" t="inlineStr">
        <is>
          <t>ÄLMHULT</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10189-2026</t>
        </is>
      </c>
      <c r="B2949" s="1" t="n">
        <v>46076.44975694444</v>
      </c>
      <c r="C2949" s="1" t="n">
        <v>46103</v>
      </c>
      <c r="D2949" t="inlineStr">
        <is>
          <t>KRONOBERGS LÄN</t>
        </is>
      </c>
      <c r="E2949" t="inlineStr">
        <is>
          <t>LESSEBO</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52849-2024</t>
        </is>
      </c>
      <c r="B2950" s="1" t="n">
        <v>45610.60369212963</v>
      </c>
      <c r="C2950" s="1" t="n">
        <v>46103</v>
      </c>
      <c r="D2950" t="inlineStr">
        <is>
          <t>KRONOBERGS LÄN</t>
        </is>
      </c>
      <c r="E2950" t="inlineStr">
        <is>
          <t>LJUNGBY</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9372-2025</t>
        </is>
      </c>
      <c r="B2951" s="1" t="n">
        <v>45715.32840277778</v>
      </c>
      <c r="C2951" s="1" t="n">
        <v>46103</v>
      </c>
      <c r="D2951" t="inlineStr">
        <is>
          <t>KRONOBERGS LÄN</t>
        </is>
      </c>
      <c r="E2951" t="inlineStr">
        <is>
          <t>ÄLMHULT</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9389-2025</t>
        </is>
      </c>
      <c r="B2952" s="1" t="n">
        <v>45715.3468287037</v>
      </c>
      <c r="C2952" s="1" t="n">
        <v>46103</v>
      </c>
      <c r="D2952" t="inlineStr">
        <is>
          <t>KRONOBERGS LÄN</t>
        </is>
      </c>
      <c r="E2952" t="inlineStr">
        <is>
          <t>VÄXJÖ</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50413-2025</t>
        </is>
      </c>
      <c r="B2953" s="1" t="n">
        <v>45943</v>
      </c>
      <c r="C2953" s="1" t="n">
        <v>46103</v>
      </c>
      <c r="D2953" t="inlineStr">
        <is>
          <t>KRONOBERGS LÄN</t>
        </is>
      </c>
      <c r="E2953" t="inlineStr">
        <is>
          <t>MARKARYD</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36890-2023</t>
        </is>
      </c>
      <c r="B2954" s="1" t="n">
        <v>45154.61569444444</v>
      </c>
      <c r="C2954" s="1" t="n">
        <v>46103</v>
      </c>
      <c r="D2954" t="inlineStr">
        <is>
          <t>KRONOBERGS LÄN</t>
        </is>
      </c>
      <c r="E2954" t="inlineStr">
        <is>
          <t>TINGSRYD</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61634-2024</t>
        </is>
      </c>
      <c r="B2955" s="1" t="n">
        <v>45646.67438657407</v>
      </c>
      <c r="C2955" s="1" t="n">
        <v>46103</v>
      </c>
      <c r="D2955" t="inlineStr">
        <is>
          <t>KRONOBERGS LÄN</t>
        </is>
      </c>
      <c r="E2955" t="inlineStr">
        <is>
          <t>LJUNGBY</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59072-2024</t>
        </is>
      </c>
      <c r="B2956" s="1" t="n">
        <v>45636.96761574074</v>
      </c>
      <c r="C2956" s="1" t="n">
        <v>46103</v>
      </c>
      <c r="D2956" t="inlineStr">
        <is>
          <t>KRONOBERGS LÄN</t>
        </is>
      </c>
      <c r="E2956" t="inlineStr">
        <is>
          <t>UPPVIDINGE</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45205-2023</t>
        </is>
      </c>
      <c r="B2957" s="1" t="n">
        <v>45191.55503472222</v>
      </c>
      <c r="C2957" s="1" t="n">
        <v>46103</v>
      </c>
      <c r="D2957" t="inlineStr">
        <is>
          <t>KRONOBERGS LÄN</t>
        </is>
      </c>
      <c r="E2957" t="inlineStr">
        <is>
          <t>LJUNGBY</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10122-2026</t>
        </is>
      </c>
      <c r="B2958" s="1" t="n">
        <v>46075.80827546296</v>
      </c>
      <c r="C2958" s="1" t="n">
        <v>46103</v>
      </c>
      <c r="D2958" t="inlineStr">
        <is>
          <t>KRONOBERGS LÄN</t>
        </is>
      </c>
      <c r="E2958" t="inlineStr">
        <is>
          <t>VÄXJÖ</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25929-2022</t>
        </is>
      </c>
      <c r="B2959" s="1" t="n">
        <v>44734.3744212963</v>
      </c>
      <c r="C2959" s="1" t="n">
        <v>46103</v>
      </c>
      <c r="D2959" t="inlineStr">
        <is>
          <t>KRONOBERGS LÄN</t>
        </is>
      </c>
      <c r="E2959" t="inlineStr">
        <is>
          <t>UPPVIDINGE</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25931-2022</t>
        </is>
      </c>
      <c r="B2960" s="1" t="n">
        <v>44734.37710648148</v>
      </c>
      <c r="C2960" s="1" t="n">
        <v>46103</v>
      </c>
      <c r="D2960" t="inlineStr">
        <is>
          <t>KRONOBERGS LÄN</t>
        </is>
      </c>
      <c r="E2960" t="inlineStr">
        <is>
          <t>UPPVIDINGE</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70327-2021</t>
        </is>
      </c>
      <c r="B2961" s="1" t="n">
        <v>44536.46300925926</v>
      </c>
      <c r="C2961" s="1" t="n">
        <v>46103</v>
      </c>
      <c r="D2961" t="inlineStr">
        <is>
          <t>KRONOBERGS LÄN</t>
        </is>
      </c>
      <c r="E2961" t="inlineStr">
        <is>
          <t>MARKARYD</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4646-2024</t>
        </is>
      </c>
      <c r="B2962" s="1" t="n">
        <v>45328</v>
      </c>
      <c r="C2962" s="1" t="n">
        <v>46103</v>
      </c>
      <c r="D2962" t="inlineStr">
        <is>
          <t>KRONOBERGS LÄN</t>
        </is>
      </c>
      <c r="E2962" t="inlineStr">
        <is>
          <t>VÄXJÖ</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4653-2024</t>
        </is>
      </c>
      <c r="B2963" s="1" t="n">
        <v>45328</v>
      </c>
      <c r="C2963" s="1" t="n">
        <v>46103</v>
      </c>
      <c r="D2963" t="inlineStr">
        <is>
          <t>KRONOBERGS LÄN</t>
        </is>
      </c>
      <c r="E2963" t="inlineStr">
        <is>
          <t>VÄXJÖ</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49921-2025</t>
        </is>
      </c>
      <c r="B2964" s="1" t="n">
        <v>45940.63652777778</v>
      </c>
      <c r="C2964" s="1" t="n">
        <v>46103</v>
      </c>
      <c r="D2964" t="inlineStr">
        <is>
          <t>KRONOBERGS LÄN</t>
        </is>
      </c>
      <c r="E2964" t="inlineStr">
        <is>
          <t>ALVESTA</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46693-2024</t>
        </is>
      </c>
      <c r="B2965" s="1" t="n">
        <v>45583.40994212963</v>
      </c>
      <c r="C2965" s="1" t="n">
        <v>46103</v>
      </c>
      <c r="D2965" t="inlineStr">
        <is>
          <t>KRONOBERGS LÄN</t>
        </is>
      </c>
      <c r="E2965" t="inlineStr">
        <is>
          <t>UPPVIDINGE</t>
        </is>
      </c>
      <c r="G2965" t="n">
        <v>6</v>
      </c>
      <c r="H2965" t="n">
        <v>0</v>
      </c>
      <c r="I2965" t="n">
        <v>0</v>
      </c>
      <c r="J2965" t="n">
        <v>0</v>
      </c>
      <c r="K2965" t="n">
        <v>0</v>
      </c>
      <c r="L2965" t="n">
        <v>0</v>
      </c>
      <c r="M2965" t="n">
        <v>0</v>
      </c>
      <c r="N2965" t="n">
        <v>0</v>
      </c>
      <c r="O2965" t="n">
        <v>0</v>
      </c>
      <c r="P2965" t="n">
        <v>0</v>
      </c>
      <c r="Q2965" t="n">
        <v>0</v>
      </c>
      <c r="R2965" s="2" t="inlineStr"/>
    </row>
    <row r="2966" ht="15" customHeight="1">
      <c r="A2966" t="inlineStr">
        <is>
          <t>A 38765-2022</t>
        </is>
      </c>
      <c r="B2966" s="1" t="n">
        <v>44816.37743055556</v>
      </c>
      <c r="C2966" s="1" t="n">
        <v>46103</v>
      </c>
      <c r="D2966" t="inlineStr">
        <is>
          <t>KRONOBERGS LÄN</t>
        </is>
      </c>
      <c r="E2966" t="inlineStr">
        <is>
          <t>ALVESTA</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10241-2026</t>
        </is>
      </c>
      <c r="B2967" s="1" t="n">
        <v>46076.54953703703</v>
      </c>
      <c r="C2967" s="1" t="n">
        <v>46103</v>
      </c>
      <c r="D2967" t="inlineStr">
        <is>
          <t>KRONOBERGS LÄN</t>
        </is>
      </c>
      <c r="E2967" t="inlineStr">
        <is>
          <t>LJUNGBY</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11207-2024</t>
        </is>
      </c>
      <c r="B2968" s="1" t="n">
        <v>45371.56891203704</v>
      </c>
      <c r="C2968" s="1" t="n">
        <v>46103</v>
      </c>
      <c r="D2968" t="inlineStr">
        <is>
          <t>KRONOBERGS LÄN</t>
        </is>
      </c>
      <c r="E2968" t="inlineStr">
        <is>
          <t>ÄLMHULT</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887-2025</t>
        </is>
      </c>
      <c r="B2969" s="1" t="n">
        <v>45665.64802083333</v>
      </c>
      <c r="C2969" s="1" t="n">
        <v>46103</v>
      </c>
      <c r="D2969" t="inlineStr">
        <is>
          <t>KRONOBERGS LÄN</t>
        </is>
      </c>
      <c r="E2969" t="inlineStr">
        <is>
          <t>VÄXJÖ</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24638-2024</t>
        </is>
      </c>
      <c r="B2970" s="1" t="n">
        <v>45460.54523148148</v>
      </c>
      <c r="C2970" s="1" t="n">
        <v>46103</v>
      </c>
      <c r="D2970" t="inlineStr">
        <is>
          <t>KRONOBERGS LÄN</t>
        </is>
      </c>
      <c r="E2970" t="inlineStr">
        <is>
          <t>ÄLMHULT</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11541-2025</t>
        </is>
      </c>
      <c r="B2971" s="1" t="n">
        <v>45727</v>
      </c>
      <c r="C2971" s="1" t="n">
        <v>46103</v>
      </c>
      <c r="D2971" t="inlineStr">
        <is>
          <t>KRONOBERGS LÄN</t>
        </is>
      </c>
      <c r="E2971" t="inlineStr">
        <is>
          <t>TINGSRYD</t>
        </is>
      </c>
      <c r="G2971" t="n">
        <v>10</v>
      </c>
      <c r="H2971" t="n">
        <v>0</v>
      </c>
      <c r="I2971" t="n">
        <v>0</v>
      </c>
      <c r="J2971" t="n">
        <v>0</v>
      </c>
      <c r="K2971" t="n">
        <v>0</v>
      </c>
      <c r="L2971" t="n">
        <v>0</v>
      </c>
      <c r="M2971" t="n">
        <v>0</v>
      </c>
      <c r="N2971" t="n">
        <v>0</v>
      </c>
      <c r="O2971" t="n">
        <v>0</v>
      </c>
      <c r="P2971" t="n">
        <v>0</v>
      </c>
      <c r="Q2971" t="n">
        <v>0</v>
      </c>
      <c r="R2971" s="2" t="inlineStr"/>
    </row>
    <row r="2972" ht="15" customHeight="1">
      <c r="A2972" t="inlineStr">
        <is>
          <t>A 6070-2024</t>
        </is>
      </c>
      <c r="B2972" s="1" t="n">
        <v>45336.92125</v>
      </c>
      <c r="C2972" s="1" t="n">
        <v>46103</v>
      </c>
      <c r="D2972" t="inlineStr">
        <is>
          <t>KRONOBERGS LÄN</t>
        </is>
      </c>
      <c r="E2972" t="inlineStr">
        <is>
          <t>UPPVIDINGE</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6094-2024</t>
        </is>
      </c>
      <c r="B2973" s="1" t="n">
        <v>45337</v>
      </c>
      <c r="C2973" s="1" t="n">
        <v>46103</v>
      </c>
      <c r="D2973" t="inlineStr">
        <is>
          <t>KRONOBERGS LÄN</t>
        </is>
      </c>
      <c r="E2973" t="inlineStr">
        <is>
          <t>ALVESTA</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50445-2025</t>
        </is>
      </c>
      <c r="B2974" s="1" t="n">
        <v>45944.9649537037</v>
      </c>
      <c r="C2974" s="1" t="n">
        <v>46103</v>
      </c>
      <c r="D2974" t="inlineStr">
        <is>
          <t>KRONOBERGS LÄN</t>
        </is>
      </c>
      <c r="E2974" t="inlineStr">
        <is>
          <t>VÄXJÖ</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25280-2025</t>
        </is>
      </c>
      <c r="B2975" s="1" t="n">
        <v>45800.55723379629</v>
      </c>
      <c r="C2975" s="1" t="n">
        <v>46103</v>
      </c>
      <c r="D2975" t="inlineStr">
        <is>
          <t>KRONOBERGS LÄN</t>
        </is>
      </c>
      <c r="E2975" t="inlineStr">
        <is>
          <t>MARKARYD</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2265-2023</t>
        </is>
      </c>
      <c r="B2976" s="1" t="n">
        <v>44942</v>
      </c>
      <c r="C2976" s="1" t="n">
        <v>46103</v>
      </c>
      <c r="D2976" t="inlineStr">
        <is>
          <t>KRONOBERGS LÄN</t>
        </is>
      </c>
      <c r="E2976" t="inlineStr">
        <is>
          <t>UPPVIDINGE</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2324-2023</t>
        </is>
      </c>
      <c r="B2977" s="1" t="n">
        <v>44942</v>
      </c>
      <c r="C2977" s="1" t="n">
        <v>46103</v>
      </c>
      <c r="D2977" t="inlineStr">
        <is>
          <t>KRONOBERGS LÄN</t>
        </is>
      </c>
      <c r="E2977" t="inlineStr">
        <is>
          <t>LJUNGBY</t>
        </is>
      </c>
      <c r="G2977" t="n">
        <v>3.8</v>
      </c>
      <c r="H2977" t="n">
        <v>0</v>
      </c>
      <c r="I2977" t="n">
        <v>0</v>
      </c>
      <c r="J2977" t="n">
        <v>0</v>
      </c>
      <c r="K2977" t="n">
        <v>0</v>
      </c>
      <c r="L2977" t="n">
        <v>0</v>
      </c>
      <c r="M2977" t="n">
        <v>0</v>
      </c>
      <c r="N2977" t="n">
        <v>0</v>
      </c>
      <c r="O2977" t="n">
        <v>0</v>
      </c>
      <c r="P2977" t="n">
        <v>0</v>
      </c>
      <c r="Q2977" t="n">
        <v>0</v>
      </c>
      <c r="R2977" s="2" t="inlineStr"/>
    </row>
    <row r="2978" ht="15" customHeight="1">
      <c r="A2978" t="inlineStr">
        <is>
          <t>A 2332-2023</t>
        </is>
      </c>
      <c r="B2978" s="1" t="n">
        <v>44942.60704861111</v>
      </c>
      <c r="C2978" s="1" t="n">
        <v>46103</v>
      </c>
      <c r="D2978" t="inlineStr">
        <is>
          <t>KRONOBERGS LÄN</t>
        </is>
      </c>
      <c r="E2978" t="inlineStr">
        <is>
          <t>UPPVIDINGE</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22154-2023</t>
        </is>
      </c>
      <c r="B2979" s="1" t="n">
        <v>45069.64538194444</v>
      </c>
      <c r="C2979" s="1" t="n">
        <v>46103</v>
      </c>
      <c r="D2979" t="inlineStr">
        <is>
          <t>KRONOBERGS LÄN</t>
        </is>
      </c>
      <c r="E2979" t="inlineStr">
        <is>
          <t>MARKARYD</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50279-2025</t>
        </is>
      </c>
      <c r="B2980" s="1" t="n">
        <v>45944.38280092592</v>
      </c>
      <c r="C2980" s="1" t="n">
        <v>46103</v>
      </c>
      <c r="D2980" t="inlineStr">
        <is>
          <t>KRONOBERGS LÄN</t>
        </is>
      </c>
      <c r="E2980" t="inlineStr">
        <is>
          <t>TINGSRYD</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50344-2025</t>
        </is>
      </c>
      <c r="B2981" s="1" t="n">
        <v>45944.53962962963</v>
      </c>
      <c r="C2981" s="1" t="n">
        <v>46103</v>
      </c>
      <c r="D2981" t="inlineStr">
        <is>
          <t>KRONOBERGS LÄN</t>
        </is>
      </c>
      <c r="E2981" t="inlineStr">
        <is>
          <t>ÄLMHULT</t>
        </is>
      </c>
      <c r="G2981" t="n">
        <v>4.7</v>
      </c>
      <c r="H2981" t="n">
        <v>0</v>
      </c>
      <c r="I2981" t="n">
        <v>0</v>
      </c>
      <c r="J2981" t="n">
        <v>0</v>
      </c>
      <c r="K2981" t="n">
        <v>0</v>
      </c>
      <c r="L2981" t="n">
        <v>0</v>
      </c>
      <c r="M2981" t="n">
        <v>0</v>
      </c>
      <c r="N2981" t="n">
        <v>0</v>
      </c>
      <c r="O2981" t="n">
        <v>0</v>
      </c>
      <c r="P2981" t="n">
        <v>0</v>
      </c>
      <c r="Q2981" t="n">
        <v>0</v>
      </c>
      <c r="R2981" s="2" t="inlineStr"/>
    </row>
    <row r="2982" ht="15" customHeight="1">
      <c r="A2982" t="inlineStr">
        <is>
          <t>A 50520-2025</t>
        </is>
      </c>
      <c r="B2982" s="1" t="n">
        <v>45945.46270833333</v>
      </c>
      <c r="C2982" s="1" t="n">
        <v>46103</v>
      </c>
      <c r="D2982" t="inlineStr">
        <is>
          <t>KRONOBERGS LÄN</t>
        </is>
      </c>
      <c r="E2982" t="inlineStr">
        <is>
          <t>UPPVIDINGE</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15062-2023</t>
        </is>
      </c>
      <c r="B2983" s="1" t="n">
        <v>45015</v>
      </c>
      <c r="C2983" s="1" t="n">
        <v>46103</v>
      </c>
      <c r="D2983" t="inlineStr">
        <is>
          <t>KRONOBERGS LÄN</t>
        </is>
      </c>
      <c r="E2983" t="inlineStr">
        <is>
          <t>ALVESTA</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1483-2026</t>
        </is>
      </c>
      <c r="B2984" s="1" t="n">
        <v>46033.95969907408</v>
      </c>
      <c r="C2984" s="1" t="n">
        <v>46103</v>
      </c>
      <c r="D2984" t="inlineStr">
        <is>
          <t>KRONOBERGS LÄN</t>
        </is>
      </c>
      <c r="E2984" t="inlineStr">
        <is>
          <t>UPPVIDINGE</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62120-2022</t>
        </is>
      </c>
      <c r="B2985" s="1" t="n">
        <v>44921</v>
      </c>
      <c r="C2985" s="1" t="n">
        <v>46103</v>
      </c>
      <c r="D2985" t="inlineStr">
        <is>
          <t>KRONOBERGS LÄN</t>
        </is>
      </c>
      <c r="E2985" t="inlineStr">
        <is>
          <t>ÄLMHULT</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1819-2026</t>
        </is>
      </c>
      <c r="B2986" s="1" t="n">
        <v>46035.35650462963</v>
      </c>
      <c r="C2986" s="1" t="n">
        <v>46103</v>
      </c>
      <c r="D2986" t="inlineStr">
        <is>
          <t>KRONOBERGS LÄN</t>
        </is>
      </c>
      <c r="E2986" t="inlineStr">
        <is>
          <t>VÄXJÖ</t>
        </is>
      </c>
      <c r="F2986" t="inlineStr">
        <is>
          <t>Sveaskog</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50481-2025</t>
        </is>
      </c>
      <c r="B2987" s="1" t="n">
        <v>45945.37453703704</v>
      </c>
      <c r="C2987" s="1" t="n">
        <v>46103</v>
      </c>
      <c r="D2987" t="inlineStr">
        <is>
          <t>KRONOBERGS LÄN</t>
        </is>
      </c>
      <c r="E2987" t="inlineStr">
        <is>
          <t>ÄLMHULT</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10282-2026</t>
        </is>
      </c>
      <c r="B2988" s="1" t="n">
        <v>46076.59452546296</v>
      </c>
      <c r="C2988" s="1" t="n">
        <v>46103</v>
      </c>
      <c r="D2988" t="inlineStr">
        <is>
          <t>KRONOBERGS LÄN</t>
        </is>
      </c>
      <c r="E2988" t="inlineStr">
        <is>
          <t>ÄLMHULT</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10286-2026</t>
        </is>
      </c>
      <c r="B2989" s="1" t="n">
        <v>46076.60180555555</v>
      </c>
      <c r="C2989" s="1" t="n">
        <v>46103</v>
      </c>
      <c r="D2989" t="inlineStr">
        <is>
          <t>KRONOBERGS LÄN</t>
        </is>
      </c>
      <c r="E2989" t="inlineStr">
        <is>
          <t>LESSEBO</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19152-2025</t>
        </is>
      </c>
      <c r="B2990" s="1" t="n">
        <v>45769.35501157407</v>
      </c>
      <c r="C2990" s="1" t="n">
        <v>46103</v>
      </c>
      <c r="D2990" t="inlineStr">
        <is>
          <t>KRONOBERGS LÄN</t>
        </is>
      </c>
      <c r="E2990" t="inlineStr">
        <is>
          <t>VÄXJÖ</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35248-2023</t>
        </is>
      </c>
      <c r="B2991" s="1" t="n">
        <v>45145.90166666666</v>
      </c>
      <c r="C2991" s="1" t="n">
        <v>46103</v>
      </c>
      <c r="D2991" t="inlineStr">
        <is>
          <t>KRONOBERGS LÄN</t>
        </is>
      </c>
      <c r="E2991" t="inlineStr">
        <is>
          <t>ÄLMHULT</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50581-2025</t>
        </is>
      </c>
      <c r="B2992" s="1" t="n">
        <v>45945.5862037037</v>
      </c>
      <c r="C2992" s="1" t="n">
        <v>46103</v>
      </c>
      <c r="D2992" t="inlineStr">
        <is>
          <t>KRONOBERGS LÄN</t>
        </is>
      </c>
      <c r="E2992" t="inlineStr">
        <is>
          <t>LJUNGBY</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50592-2025</t>
        </is>
      </c>
      <c r="B2993" s="1" t="n">
        <v>45945</v>
      </c>
      <c r="C2993" s="1" t="n">
        <v>46103</v>
      </c>
      <c r="D2993" t="inlineStr">
        <is>
          <t>KRONOBERGS LÄN</t>
        </is>
      </c>
      <c r="E2993" t="inlineStr">
        <is>
          <t>LJUNGBY</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8255-2024</t>
        </is>
      </c>
      <c r="B2994" s="1" t="n">
        <v>45352.31292824074</v>
      </c>
      <c r="C2994" s="1" t="n">
        <v>46103</v>
      </c>
      <c r="D2994" t="inlineStr">
        <is>
          <t>KRONOBERGS LÄN</t>
        </is>
      </c>
      <c r="E2994" t="inlineStr">
        <is>
          <t>ÄLMHULT</t>
        </is>
      </c>
      <c r="F2994" t="inlineStr">
        <is>
          <t>Sveaskog</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8277-2024</t>
        </is>
      </c>
      <c r="B2995" s="1" t="n">
        <v>45352.37434027778</v>
      </c>
      <c r="C2995" s="1" t="n">
        <v>46103</v>
      </c>
      <c r="D2995" t="inlineStr">
        <is>
          <t>KRONOBERGS LÄN</t>
        </is>
      </c>
      <c r="E2995" t="inlineStr">
        <is>
          <t>MARKARYD</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10272-2026</t>
        </is>
      </c>
      <c r="B2996" s="1" t="n">
        <v>46076.58013888889</v>
      </c>
      <c r="C2996" s="1" t="n">
        <v>46103</v>
      </c>
      <c r="D2996" t="inlineStr">
        <is>
          <t>KRONOBERGS LÄN</t>
        </is>
      </c>
      <c r="E2996" t="inlineStr">
        <is>
          <t>ÄLMHULT</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50468-2025</t>
        </is>
      </c>
      <c r="B2997" s="1" t="n">
        <v>45945.35819444444</v>
      </c>
      <c r="C2997" s="1" t="n">
        <v>46103</v>
      </c>
      <c r="D2997" t="inlineStr">
        <is>
          <t>KRONOBERGS LÄN</t>
        </is>
      </c>
      <c r="E2997" t="inlineStr">
        <is>
          <t>ÄLMHULT</t>
        </is>
      </c>
      <c r="G2997" t="n">
        <v>3.8</v>
      </c>
      <c r="H2997" t="n">
        <v>0</v>
      </c>
      <c r="I2997" t="n">
        <v>0</v>
      </c>
      <c r="J2997" t="n">
        <v>0</v>
      </c>
      <c r="K2997" t="n">
        <v>0</v>
      </c>
      <c r="L2997" t="n">
        <v>0</v>
      </c>
      <c r="M2997" t="n">
        <v>0</v>
      </c>
      <c r="N2997" t="n">
        <v>0</v>
      </c>
      <c r="O2997" t="n">
        <v>0</v>
      </c>
      <c r="P2997" t="n">
        <v>0</v>
      </c>
      <c r="Q2997" t="n">
        <v>0</v>
      </c>
      <c r="R2997" s="2" t="inlineStr"/>
    </row>
    <row r="2998" ht="15" customHeight="1">
      <c r="A2998" t="inlineStr">
        <is>
          <t>A 10314-2026</t>
        </is>
      </c>
      <c r="B2998" s="1" t="n">
        <v>46076.64814814815</v>
      </c>
      <c r="C2998" s="1" t="n">
        <v>46103</v>
      </c>
      <c r="D2998" t="inlineStr">
        <is>
          <t>KRONOBERGS LÄN</t>
        </is>
      </c>
      <c r="E2998" t="inlineStr">
        <is>
          <t>LJUNGBY</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10149-2026</t>
        </is>
      </c>
      <c r="B2999" s="1" t="n">
        <v>46076.3558449074</v>
      </c>
      <c r="C2999" s="1" t="n">
        <v>46103</v>
      </c>
      <c r="D2999" t="inlineStr">
        <is>
          <t>KRONOBERGS LÄN</t>
        </is>
      </c>
      <c r="E2999" t="inlineStr">
        <is>
          <t>LJUNGBY</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40353-2025</t>
        </is>
      </c>
      <c r="B3000" s="1" t="n">
        <v>45895.48666666666</v>
      </c>
      <c r="C3000" s="1" t="n">
        <v>46103</v>
      </c>
      <c r="D3000" t="inlineStr">
        <is>
          <t>KRONOBERGS LÄN</t>
        </is>
      </c>
      <c r="E3000" t="inlineStr">
        <is>
          <t>TINGSRYD</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11496-2023</t>
        </is>
      </c>
      <c r="B3001" s="1" t="n">
        <v>44993.65773148148</v>
      </c>
      <c r="C3001" s="1" t="n">
        <v>46103</v>
      </c>
      <c r="D3001" t="inlineStr">
        <is>
          <t>KRONOBERGS LÄN</t>
        </is>
      </c>
      <c r="E3001" t="inlineStr">
        <is>
          <t>TINGSRYD</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11524-2023</t>
        </is>
      </c>
      <c r="B3002" s="1" t="n">
        <v>44993</v>
      </c>
      <c r="C3002" s="1" t="n">
        <v>46103</v>
      </c>
      <c r="D3002" t="inlineStr">
        <is>
          <t>KRONOBERGS LÄN</t>
        </is>
      </c>
      <c r="E3002" t="inlineStr">
        <is>
          <t>LJUNGBY</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29706-2023</t>
        </is>
      </c>
      <c r="B3003" s="1" t="n">
        <v>45107.41297453704</v>
      </c>
      <c r="C3003" s="1" t="n">
        <v>46103</v>
      </c>
      <c r="D3003" t="inlineStr">
        <is>
          <t>KRONOBERGS LÄN</t>
        </is>
      </c>
      <c r="E3003" t="inlineStr">
        <is>
          <t>TINGSRYD</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50241-2025</t>
        </is>
      </c>
      <c r="B3004" s="1" t="n">
        <v>45943.86836805556</v>
      </c>
      <c r="C3004" s="1" t="n">
        <v>46103</v>
      </c>
      <c r="D3004" t="inlineStr">
        <is>
          <t>KRONOBERGS LÄN</t>
        </is>
      </c>
      <c r="E3004" t="inlineStr">
        <is>
          <t>LJUNGBY</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1850-2026</t>
        </is>
      </c>
      <c r="B3005" s="1" t="n">
        <v>46035.41473379629</v>
      </c>
      <c r="C3005" s="1" t="n">
        <v>46103</v>
      </c>
      <c r="D3005" t="inlineStr">
        <is>
          <t>KRONOBERGS LÄN</t>
        </is>
      </c>
      <c r="E3005" t="inlineStr">
        <is>
          <t>TINGSRYD</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17517-2023</t>
        </is>
      </c>
      <c r="B3006" s="1" t="n">
        <v>45036.43976851852</v>
      </c>
      <c r="C3006" s="1" t="n">
        <v>46103</v>
      </c>
      <c r="D3006" t="inlineStr">
        <is>
          <t>KRONOBERGS LÄN</t>
        </is>
      </c>
      <c r="E3006" t="inlineStr">
        <is>
          <t>LESSEBO</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25446-2025</t>
        </is>
      </c>
      <c r="B3007" s="1" t="n">
        <v>45801.7155324074</v>
      </c>
      <c r="C3007" s="1" t="n">
        <v>46103</v>
      </c>
      <c r="D3007" t="inlineStr">
        <is>
          <t>KRONOBERGS LÄN</t>
        </is>
      </c>
      <c r="E3007" t="inlineStr">
        <is>
          <t>UPPVIDINGE</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12875-2023</t>
        </is>
      </c>
      <c r="B3008" s="1" t="n">
        <v>45001</v>
      </c>
      <c r="C3008" s="1" t="n">
        <v>46103</v>
      </c>
      <c r="D3008" t="inlineStr">
        <is>
          <t>KRONOBERGS LÄN</t>
        </is>
      </c>
      <c r="E3008" t="inlineStr">
        <is>
          <t>TINGSRYD</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50452-2025</t>
        </is>
      </c>
      <c r="B3009" s="1" t="n">
        <v>45945.32269675926</v>
      </c>
      <c r="C3009" s="1" t="n">
        <v>46103</v>
      </c>
      <c r="D3009" t="inlineStr">
        <is>
          <t>KRONOBERGS LÄN</t>
        </is>
      </c>
      <c r="E3009" t="inlineStr">
        <is>
          <t>ÄLMHULT</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25290-2025</t>
        </is>
      </c>
      <c r="B3010" s="1" t="n">
        <v>45800.56369212963</v>
      </c>
      <c r="C3010" s="1" t="n">
        <v>46103</v>
      </c>
      <c r="D3010" t="inlineStr">
        <is>
          <t>KRONOBERGS LÄN</t>
        </is>
      </c>
      <c r="E3010" t="inlineStr">
        <is>
          <t>TINGSRYD</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1802-2026</t>
        </is>
      </c>
      <c r="B3011" s="1" t="n">
        <v>46035.31605324074</v>
      </c>
      <c r="C3011" s="1" t="n">
        <v>46103</v>
      </c>
      <c r="D3011" t="inlineStr">
        <is>
          <t>KRONOBERGS LÄN</t>
        </is>
      </c>
      <c r="E3011" t="inlineStr">
        <is>
          <t>VÄXJÖ</t>
        </is>
      </c>
      <c r="F3011" t="inlineStr">
        <is>
          <t>Sveaskog</t>
        </is>
      </c>
      <c r="G3011" t="n">
        <v>5</v>
      </c>
      <c r="H3011" t="n">
        <v>0</v>
      </c>
      <c r="I3011" t="n">
        <v>0</v>
      </c>
      <c r="J3011" t="n">
        <v>0</v>
      </c>
      <c r="K3011" t="n">
        <v>0</v>
      </c>
      <c r="L3011" t="n">
        <v>0</v>
      </c>
      <c r="M3011" t="n">
        <v>0</v>
      </c>
      <c r="N3011" t="n">
        <v>0</v>
      </c>
      <c r="O3011" t="n">
        <v>0</v>
      </c>
      <c r="P3011" t="n">
        <v>0</v>
      </c>
      <c r="Q3011" t="n">
        <v>0</v>
      </c>
      <c r="R3011" s="2" t="inlineStr"/>
    </row>
    <row r="3012" ht="15" customHeight="1">
      <c r="A3012" t="inlineStr">
        <is>
          <t>A 32046-2024</t>
        </is>
      </c>
      <c r="B3012" s="1" t="n">
        <v>45510</v>
      </c>
      <c r="C3012" s="1" t="n">
        <v>46103</v>
      </c>
      <c r="D3012" t="inlineStr">
        <is>
          <t>KRONOBERGS LÄN</t>
        </is>
      </c>
      <c r="E3012" t="inlineStr">
        <is>
          <t>LJUNGBY</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28036-2025</t>
        </is>
      </c>
      <c r="B3013" s="1" t="n">
        <v>45817.63504629629</v>
      </c>
      <c r="C3013" s="1" t="n">
        <v>46103</v>
      </c>
      <c r="D3013" t="inlineStr">
        <is>
          <t>KRONOBERGS LÄN</t>
        </is>
      </c>
      <c r="E3013" t="inlineStr">
        <is>
          <t>VÄXJÖ</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25304-2025</t>
        </is>
      </c>
      <c r="B3014" s="1" t="n">
        <v>45800.57278935185</v>
      </c>
      <c r="C3014" s="1" t="n">
        <v>46103</v>
      </c>
      <c r="D3014" t="inlineStr">
        <is>
          <t>KRONOBERGS LÄN</t>
        </is>
      </c>
      <c r="E3014" t="inlineStr">
        <is>
          <t>TINGSRYD</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50316-2025</t>
        </is>
      </c>
      <c r="B3015" s="1" t="n">
        <v>45944.44701388889</v>
      </c>
      <c r="C3015" s="1" t="n">
        <v>46103</v>
      </c>
      <c r="D3015" t="inlineStr">
        <is>
          <t>KRONOBERGS LÄN</t>
        </is>
      </c>
      <c r="E3015" t="inlineStr">
        <is>
          <t>VÄXJÖ</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418-2025</t>
        </is>
      </c>
      <c r="B3016" s="1" t="n">
        <v>45663.86024305555</v>
      </c>
      <c r="C3016" s="1" t="n">
        <v>46103</v>
      </c>
      <c r="D3016" t="inlineStr">
        <is>
          <t>KRONOBERGS LÄN</t>
        </is>
      </c>
      <c r="E3016" t="inlineStr">
        <is>
          <t>ÄLMHULT</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42983-2025</t>
        </is>
      </c>
      <c r="B3017" s="1" t="n">
        <v>45909</v>
      </c>
      <c r="C3017" s="1" t="n">
        <v>46103</v>
      </c>
      <c r="D3017" t="inlineStr">
        <is>
          <t>KRONOBERGS LÄN</t>
        </is>
      </c>
      <c r="E3017" t="inlineStr">
        <is>
          <t>VÄXJÖ</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25348-2025</t>
        </is>
      </c>
      <c r="B3018" s="1" t="n">
        <v>45800.6135300926</v>
      </c>
      <c r="C3018" s="1" t="n">
        <v>46103</v>
      </c>
      <c r="D3018" t="inlineStr">
        <is>
          <t>KRONOBERGS LÄN</t>
        </is>
      </c>
      <c r="E3018" t="inlineStr">
        <is>
          <t>UPPVIDINGE</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2819-2026</t>
        </is>
      </c>
      <c r="B3019" s="1" t="n">
        <v>46036</v>
      </c>
      <c r="C3019" s="1" t="n">
        <v>46103</v>
      </c>
      <c r="D3019" t="inlineStr">
        <is>
          <t>KRONOBERGS LÄN</t>
        </is>
      </c>
      <c r="E3019" t="inlineStr">
        <is>
          <t>MARKARYD</t>
        </is>
      </c>
      <c r="F3019" t="inlineStr">
        <is>
          <t>Kyrkan</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2824-2026</t>
        </is>
      </c>
      <c r="B3020" s="1" t="n">
        <v>46036</v>
      </c>
      <c r="C3020" s="1" t="n">
        <v>46103</v>
      </c>
      <c r="D3020" t="inlineStr">
        <is>
          <t>KRONOBERGS LÄN</t>
        </is>
      </c>
      <c r="E3020" t="inlineStr">
        <is>
          <t>TINGSRYD</t>
        </is>
      </c>
      <c r="F3020" t="inlineStr">
        <is>
          <t>Kyrkan</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53113-2023</t>
        </is>
      </c>
      <c r="B3021" s="1" t="n">
        <v>45228.75835648148</v>
      </c>
      <c r="C3021" s="1" t="n">
        <v>46103</v>
      </c>
      <c r="D3021" t="inlineStr">
        <is>
          <t>KRONOBERGS LÄN</t>
        </is>
      </c>
      <c r="E3021" t="inlineStr">
        <is>
          <t>ÄLMHULT</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2884-2025</t>
        </is>
      </c>
      <c r="B3022" s="1" t="n">
        <v>45677.70096064815</v>
      </c>
      <c r="C3022" s="1" t="n">
        <v>46103</v>
      </c>
      <c r="D3022" t="inlineStr">
        <is>
          <t>KRONOBERGS LÄN</t>
        </is>
      </c>
      <c r="E3022" t="inlineStr">
        <is>
          <t>UPPVIDINGE</t>
        </is>
      </c>
      <c r="G3022" t="n">
        <v>5.3</v>
      </c>
      <c r="H3022" t="n">
        <v>0</v>
      </c>
      <c r="I3022" t="n">
        <v>0</v>
      </c>
      <c r="J3022" t="n">
        <v>0</v>
      </c>
      <c r="K3022" t="n">
        <v>0</v>
      </c>
      <c r="L3022" t="n">
        <v>0</v>
      </c>
      <c r="M3022" t="n">
        <v>0</v>
      </c>
      <c r="N3022" t="n">
        <v>0</v>
      </c>
      <c r="O3022" t="n">
        <v>0</v>
      </c>
      <c r="P3022" t="n">
        <v>0</v>
      </c>
      <c r="Q3022" t="n">
        <v>0</v>
      </c>
      <c r="R3022" s="2" t="inlineStr"/>
    </row>
    <row r="3023" ht="15" customHeight="1">
      <c r="A3023" t="inlineStr">
        <is>
          <t>A 11129-2026</t>
        </is>
      </c>
      <c r="B3023" s="1" t="n">
        <v>46079.70247685185</v>
      </c>
      <c r="C3023" s="1" t="n">
        <v>46103</v>
      </c>
      <c r="D3023" t="inlineStr">
        <is>
          <t>KRONOBERGS LÄN</t>
        </is>
      </c>
      <c r="E3023" t="inlineStr">
        <is>
          <t>ALVESTA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61141-2024</t>
        </is>
      </c>
      <c r="B3024" s="1" t="n">
        <v>45645.58603009259</v>
      </c>
      <c r="C3024" s="1" t="n">
        <v>46103</v>
      </c>
      <c r="D3024" t="inlineStr">
        <is>
          <t>KRONOBERGS LÄN</t>
        </is>
      </c>
      <c r="E3024" t="inlineStr">
        <is>
          <t>LJUNGBY</t>
        </is>
      </c>
      <c r="G3024" t="n">
        <v>5.3</v>
      </c>
      <c r="H3024" t="n">
        <v>0</v>
      </c>
      <c r="I3024" t="n">
        <v>0</v>
      </c>
      <c r="J3024" t="n">
        <v>0</v>
      </c>
      <c r="K3024" t="n">
        <v>0</v>
      </c>
      <c r="L3024" t="n">
        <v>0</v>
      </c>
      <c r="M3024" t="n">
        <v>0</v>
      </c>
      <c r="N3024" t="n">
        <v>0</v>
      </c>
      <c r="O3024" t="n">
        <v>0</v>
      </c>
      <c r="P3024" t="n">
        <v>0</v>
      </c>
      <c r="Q3024" t="n">
        <v>0</v>
      </c>
      <c r="R3024" s="2" t="inlineStr"/>
    </row>
    <row r="3025" ht="15" customHeight="1">
      <c r="A3025" t="inlineStr">
        <is>
          <t>A 25303-2025</t>
        </is>
      </c>
      <c r="B3025" s="1" t="n">
        <v>45800.57162037037</v>
      </c>
      <c r="C3025" s="1" t="n">
        <v>46103</v>
      </c>
      <c r="D3025" t="inlineStr">
        <is>
          <t>KRONOBERGS LÄN</t>
        </is>
      </c>
      <c r="E3025" t="inlineStr">
        <is>
          <t>MARKARYD</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49138-2025</t>
        </is>
      </c>
      <c r="B3026" s="1" t="n">
        <v>45938.27462962963</v>
      </c>
      <c r="C3026" s="1" t="n">
        <v>46103</v>
      </c>
      <c r="D3026" t="inlineStr">
        <is>
          <t>KRONOBERGS LÄN</t>
        </is>
      </c>
      <c r="E3026" t="inlineStr">
        <is>
          <t>VÄXJÖ</t>
        </is>
      </c>
      <c r="G3026" t="n">
        <v>5</v>
      </c>
      <c r="H3026" t="n">
        <v>0</v>
      </c>
      <c r="I3026" t="n">
        <v>0</v>
      </c>
      <c r="J3026" t="n">
        <v>0</v>
      </c>
      <c r="K3026" t="n">
        <v>0</v>
      </c>
      <c r="L3026" t="n">
        <v>0</v>
      </c>
      <c r="M3026" t="n">
        <v>0</v>
      </c>
      <c r="N3026" t="n">
        <v>0</v>
      </c>
      <c r="O3026" t="n">
        <v>0</v>
      </c>
      <c r="P3026" t="n">
        <v>0</v>
      </c>
      <c r="Q3026" t="n">
        <v>0</v>
      </c>
      <c r="R3026" s="2" t="inlineStr"/>
    </row>
    <row r="3027" ht="15" customHeight="1">
      <c r="A3027" t="inlineStr">
        <is>
          <t>A 52175-2024</t>
        </is>
      </c>
      <c r="B3027" s="1" t="n">
        <v>45608.5525</v>
      </c>
      <c r="C3027" s="1" t="n">
        <v>46103</v>
      </c>
      <c r="D3027" t="inlineStr">
        <is>
          <t>KRONOBERGS LÄN</t>
        </is>
      </c>
      <c r="E3027" t="inlineStr">
        <is>
          <t>ÄLMHULT</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39095-2023</t>
        </is>
      </c>
      <c r="B3028" s="1" t="n">
        <v>45164</v>
      </c>
      <c r="C3028" s="1" t="n">
        <v>46103</v>
      </c>
      <c r="D3028" t="inlineStr">
        <is>
          <t>KRONOBERGS LÄN</t>
        </is>
      </c>
      <c r="E3028" t="inlineStr">
        <is>
          <t>UPPVIDINGE</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31791-2021</t>
        </is>
      </c>
      <c r="B3029" s="1" t="n">
        <v>44370</v>
      </c>
      <c r="C3029" s="1" t="n">
        <v>46103</v>
      </c>
      <c r="D3029" t="inlineStr">
        <is>
          <t>KRONOBERGS LÄN</t>
        </is>
      </c>
      <c r="E3029" t="inlineStr">
        <is>
          <t>TINGSRYD</t>
        </is>
      </c>
      <c r="G3029" t="n">
        <v>9.1</v>
      </c>
      <c r="H3029" t="n">
        <v>0</v>
      </c>
      <c r="I3029" t="n">
        <v>0</v>
      </c>
      <c r="J3029" t="n">
        <v>0</v>
      </c>
      <c r="K3029" t="n">
        <v>0</v>
      </c>
      <c r="L3029" t="n">
        <v>0</v>
      </c>
      <c r="M3029" t="n">
        <v>0</v>
      </c>
      <c r="N3029" t="n">
        <v>0</v>
      </c>
      <c r="O3029" t="n">
        <v>0</v>
      </c>
      <c r="P3029" t="n">
        <v>0</v>
      </c>
      <c r="Q3029" t="n">
        <v>0</v>
      </c>
      <c r="R3029" s="2" t="inlineStr"/>
    </row>
    <row r="3030" ht="15" customHeight="1">
      <c r="A3030" t="inlineStr">
        <is>
          <t>A 10668-2026</t>
        </is>
      </c>
      <c r="B3030" s="1" t="n">
        <v>46078.3915162037</v>
      </c>
      <c r="C3030" s="1" t="n">
        <v>46103</v>
      </c>
      <c r="D3030" t="inlineStr">
        <is>
          <t>KRONOBERGS LÄN</t>
        </is>
      </c>
      <c r="E3030" t="inlineStr">
        <is>
          <t>TINGSRYD</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50805-2025</t>
        </is>
      </c>
      <c r="B3031" s="1" t="n">
        <v>45946.5049074074</v>
      </c>
      <c r="C3031" s="1" t="n">
        <v>46103</v>
      </c>
      <c r="D3031" t="inlineStr">
        <is>
          <t>KRONOBERGS LÄN</t>
        </is>
      </c>
      <c r="E3031" t="inlineStr">
        <is>
          <t>ÄLMHULT</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59052-2021</t>
        </is>
      </c>
      <c r="B3032" s="1" t="n">
        <v>44490.3678125</v>
      </c>
      <c r="C3032" s="1" t="n">
        <v>46103</v>
      </c>
      <c r="D3032" t="inlineStr">
        <is>
          <t>KRONOBERGS LÄN</t>
        </is>
      </c>
      <c r="E3032" t="inlineStr">
        <is>
          <t>ALVESTA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25583-2025</t>
        </is>
      </c>
      <c r="B3033" s="1" t="n">
        <v>45803.48383101852</v>
      </c>
      <c r="C3033" s="1" t="n">
        <v>46103</v>
      </c>
      <c r="D3033" t="inlineStr">
        <is>
          <t>KRONOBERGS LÄN</t>
        </is>
      </c>
      <c r="E3033" t="inlineStr">
        <is>
          <t>VÄXJÖ</t>
        </is>
      </c>
      <c r="G3033" t="n">
        <v>3.6</v>
      </c>
      <c r="H3033" t="n">
        <v>0</v>
      </c>
      <c r="I3033" t="n">
        <v>0</v>
      </c>
      <c r="J3033" t="n">
        <v>0</v>
      </c>
      <c r="K3033" t="n">
        <v>0</v>
      </c>
      <c r="L3033" t="n">
        <v>0</v>
      </c>
      <c r="M3033" t="n">
        <v>0</v>
      </c>
      <c r="N3033" t="n">
        <v>0</v>
      </c>
      <c r="O3033" t="n">
        <v>0</v>
      </c>
      <c r="P3033" t="n">
        <v>0</v>
      </c>
      <c r="Q3033" t="n">
        <v>0</v>
      </c>
      <c r="R3033" s="2" t="inlineStr"/>
    </row>
    <row r="3034" ht="15" customHeight="1">
      <c r="A3034" t="inlineStr">
        <is>
          <t>A 2069-2026</t>
        </is>
      </c>
      <c r="B3034" s="1" t="n">
        <v>46036.31258101852</v>
      </c>
      <c r="C3034" s="1" t="n">
        <v>46103</v>
      </c>
      <c r="D3034" t="inlineStr">
        <is>
          <t>KRONOBERGS LÄN</t>
        </is>
      </c>
      <c r="E3034" t="inlineStr">
        <is>
          <t>VÄXJÖ</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50853-2025</t>
        </is>
      </c>
      <c r="B3035" s="1" t="n">
        <v>45946</v>
      </c>
      <c r="C3035" s="1" t="n">
        <v>46103</v>
      </c>
      <c r="D3035" t="inlineStr">
        <is>
          <t>KRONOBERGS LÄN</t>
        </is>
      </c>
      <c r="E3035" t="inlineStr">
        <is>
          <t>ALVESTA</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50858-2025</t>
        </is>
      </c>
      <c r="B3036" s="1" t="n">
        <v>45946.59305555555</v>
      </c>
      <c r="C3036" s="1" t="n">
        <v>46103</v>
      </c>
      <c r="D3036" t="inlineStr">
        <is>
          <t>KRONOBERGS LÄN</t>
        </is>
      </c>
      <c r="E3036" t="inlineStr">
        <is>
          <t>ALVESTA</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10711-2026</t>
        </is>
      </c>
      <c r="B3037" s="1" t="n">
        <v>46078.45126157408</v>
      </c>
      <c r="C3037" s="1" t="n">
        <v>46103</v>
      </c>
      <c r="D3037" t="inlineStr">
        <is>
          <t>KRONOBERGS LÄN</t>
        </is>
      </c>
      <c r="E3037" t="inlineStr">
        <is>
          <t>LJUNGBY</t>
        </is>
      </c>
      <c r="G3037" t="n">
        <v>5.6</v>
      </c>
      <c r="H3037" t="n">
        <v>0</v>
      </c>
      <c r="I3037" t="n">
        <v>0</v>
      </c>
      <c r="J3037" t="n">
        <v>0</v>
      </c>
      <c r="K3037" t="n">
        <v>0</v>
      </c>
      <c r="L3037" t="n">
        <v>0</v>
      </c>
      <c r="M3037" t="n">
        <v>0</v>
      </c>
      <c r="N3037" t="n">
        <v>0</v>
      </c>
      <c r="O3037" t="n">
        <v>0</v>
      </c>
      <c r="P3037" t="n">
        <v>0</v>
      </c>
      <c r="Q3037" t="n">
        <v>0</v>
      </c>
      <c r="R3037" s="2" t="inlineStr"/>
    </row>
    <row r="3038" ht="15" customHeight="1">
      <c r="A3038" t="inlineStr">
        <is>
          <t>A 25761-2025</t>
        </is>
      </c>
      <c r="B3038" s="1" t="n">
        <v>45804.33686342592</v>
      </c>
      <c r="C3038" s="1" t="n">
        <v>46103</v>
      </c>
      <c r="D3038" t="inlineStr">
        <is>
          <t>KRONOBERGS LÄN</t>
        </is>
      </c>
      <c r="E3038" t="inlineStr">
        <is>
          <t>LESSEBO</t>
        </is>
      </c>
      <c r="F3038" t="inlineStr">
        <is>
          <t>Sveaskog</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38544-2023</t>
        </is>
      </c>
      <c r="B3039" s="1" t="n">
        <v>45162.588125</v>
      </c>
      <c r="C3039" s="1" t="n">
        <v>46103</v>
      </c>
      <c r="D3039" t="inlineStr">
        <is>
          <t>KRONOBERGS LÄN</t>
        </is>
      </c>
      <c r="E3039" t="inlineStr">
        <is>
          <t>LJUNGBY</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53497-2023</t>
        </is>
      </c>
      <c r="B3040" s="1" t="n">
        <v>45230.37582175926</v>
      </c>
      <c r="C3040" s="1" t="n">
        <v>46103</v>
      </c>
      <c r="D3040" t="inlineStr">
        <is>
          <t>KRONOBERGS LÄN</t>
        </is>
      </c>
      <c r="E3040" t="inlineStr">
        <is>
          <t>UPPVIDINGE</t>
        </is>
      </c>
      <c r="F3040" t="inlineStr">
        <is>
          <t>Sveaskog</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9404-2024</t>
        </is>
      </c>
      <c r="B3041" s="1" t="n">
        <v>45359.42555555556</v>
      </c>
      <c r="C3041" s="1" t="n">
        <v>46103</v>
      </c>
      <c r="D3041" t="inlineStr">
        <is>
          <t>KRONOBERGS LÄN</t>
        </is>
      </c>
      <c r="E3041" t="inlineStr">
        <is>
          <t>ALVESTA</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2150-2026</t>
        </is>
      </c>
      <c r="B3042" s="1" t="n">
        <v>46036.41478009259</v>
      </c>
      <c r="C3042" s="1" t="n">
        <v>46103</v>
      </c>
      <c r="D3042" t="inlineStr">
        <is>
          <t>KRONOBERGS LÄN</t>
        </is>
      </c>
      <c r="E3042" t="inlineStr">
        <is>
          <t>VÄXJÖ</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2447-2026</t>
        </is>
      </c>
      <c r="B3043" s="1" t="n">
        <v>46037.32871527778</v>
      </c>
      <c r="C3043" s="1" t="n">
        <v>46103</v>
      </c>
      <c r="D3043" t="inlineStr">
        <is>
          <t>KRONOBERGS LÄN</t>
        </is>
      </c>
      <c r="E3043" t="inlineStr">
        <is>
          <t>ALVESTA</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9467-2024</t>
        </is>
      </c>
      <c r="B3044" s="1" t="n">
        <v>45358</v>
      </c>
      <c r="C3044" s="1" t="n">
        <v>46103</v>
      </c>
      <c r="D3044" t="inlineStr">
        <is>
          <t>KRONOBERGS LÄN</t>
        </is>
      </c>
      <c r="E3044" t="inlineStr">
        <is>
          <t>LJUNGBY</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20541-2024</t>
        </is>
      </c>
      <c r="B3045" s="1" t="n">
        <v>45436.32832175926</v>
      </c>
      <c r="C3045" s="1" t="n">
        <v>46103</v>
      </c>
      <c r="D3045" t="inlineStr">
        <is>
          <t>KRONOBERGS LÄN</t>
        </is>
      </c>
      <c r="E3045" t="inlineStr">
        <is>
          <t>LESSEBO</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51189-2025</t>
        </is>
      </c>
      <c r="B3046" s="1" t="n">
        <v>45947.62445601852</v>
      </c>
      <c r="C3046" s="1" t="n">
        <v>46103</v>
      </c>
      <c r="D3046" t="inlineStr">
        <is>
          <t>KRONOBERGS LÄN</t>
        </is>
      </c>
      <c r="E3046" t="inlineStr">
        <is>
          <t>TINGSRYD</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40998-2023</t>
        </is>
      </c>
      <c r="B3047" s="1" t="n">
        <v>45173.53648148148</v>
      </c>
      <c r="C3047" s="1" t="n">
        <v>46103</v>
      </c>
      <c r="D3047" t="inlineStr">
        <is>
          <t>KRONOBERGS LÄN</t>
        </is>
      </c>
      <c r="E3047" t="inlineStr">
        <is>
          <t>ALVESTA</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37791-2025</t>
        </is>
      </c>
      <c r="B3048" s="1" t="n">
        <v>45881</v>
      </c>
      <c r="C3048" s="1" t="n">
        <v>46103</v>
      </c>
      <c r="D3048" t="inlineStr">
        <is>
          <t>KRONOBERGS LÄN</t>
        </is>
      </c>
      <c r="E3048" t="inlineStr">
        <is>
          <t>VÄXJÖ</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57962-2023</t>
        </is>
      </c>
      <c r="B3049" s="1" t="n">
        <v>45247.57582175926</v>
      </c>
      <c r="C3049" s="1" t="n">
        <v>46103</v>
      </c>
      <c r="D3049" t="inlineStr">
        <is>
          <t>KRONOBERGS LÄN</t>
        </is>
      </c>
      <c r="E3049" t="inlineStr">
        <is>
          <t>TINGSRYD</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11137-2026</t>
        </is>
      </c>
      <c r="B3050" s="1" t="n">
        <v>46079.7984375</v>
      </c>
      <c r="C3050" s="1" t="n">
        <v>46103</v>
      </c>
      <c r="D3050" t="inlineStr">
        <is>
          <t>KRONOBERGS LÄN</t>
        </is>
      </c>
      <c r="E3050" t="inlineStr">
        <is>
          <t>LJUNGBY</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51187-2025</t>
        </is>
      </c>
      <c r="B3051" s="1" t="n">
        <v>45947.62369212963</v>
      </c>
      <c r="C3051" s="1" t="n">
        <v>46103</v>
      </c>
      <c r="D3051" t="inlineStr">
        <is>
          <t>KRONOBERGS LÄN</t>
        </is>
      </c>
      <c r="E3051" t="inlineStr">
        <is>
          <t>MARKARYD</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51188-2025</t>
        </is>
      </c>
      <c r="B3052" s="1" t="n">
        <v>45947.62429398148</v>
      </c>
      <c r="C3052" s="1" t="n">
        <v>46103</v>
      </c>
      <c r="D3052" t="inlineStr">
        <is>
          <t>KRONOBERGS LÄN</t>
        </is>
      </c>
      <c r="E3052" t="inlineStr">
        <is>
          <t>VÄXJÖ</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50968-2025</t>
        </is>
      </c>
      <c r="B3053" s="1" t="n">
        <v>45947.28266203704</v>
      </c>
      <c r="C3053" s="1" t="n">
        <v>46103</v>
      </c>
      <c r="D3053" t="inlineStr">
        <is>
          <t>KRONOBERGS LÄN</t>
        </is>
      </c>
      <c r="E3053" t="inlineStr">
        <is>
          <t>ÄLMHULT</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10932-2026</t>
        </is>
      </c>
      <c r="B3054" s="1" t="n">
        <v>46079.35677083334</v>
      </c>
      <c r="C3054" s="1" t="n">
        <v>46103</v>
      </c>
      <c r="D3054" t="inlineStr">
        <is>
          <t>KRONOBERGS LÄN</t>
        </is>
      </c>
      <c r="E3054" t="inlineStr">
        <is>
          <t>VÄXJÖ</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2157-2026</t>
        </is>
      </c>
      <c r="B3055" s="1" t="n">
        <v>46036.43053240741</v>
      </c>
      <c r="C3055" s="1" t="n">
        <v>46103</v>
      </c>
      <c r="D3055" t="inlineStr">
        <is>
          <t>KRONOBERGS LÄN</t>
        </is>
      </c>
      <c r="E3055" t="inlineStr">
        <is>
          <t>VÄXJÖ</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60559-2022</t>
        </is>
      </c>
      <c r="B3056" s="1" t="n">
        <v>44911</v>
      </c>
      <c r="C3056" s="1" t="n">
        <v>46103</v>
      </c>
      <c r="D3056" t="inlineStr">
        <is>
          <t>KRONOBERGS LÄN</t>
        </is>
      </c>
      <c r="E3056" t="inlineStr">
        <is>
          <t>ALVESTA</t>
        </is>
      </c>
      <c r="G3056" t="n">
        <v>5.2</v>
      </c>
      <c r="H3056" t="n">
        <v>0</v>
      </c>
      <c r="I3056" t="n">
        <v>0</v>
      </c>
      <c r="J3056" t="n">
        <v>0</v>
      </c>
      <c r="K3056" t="n">
        <v>0</v>
      </c>
      <c r="L3056" t="n">
        <v>0</v>
      </c>
      <c r="M3056" t="n">
        <v>0</v>
      </c>
      <c r="N3056" t="n">
        <v>0</v>
      </c>
      <c r="O3056" t="n">
        <v>0</v>
      </c>
      <c r="P3056" t="n">
        <v>0</v>
      </c>
      <c r="Q3056" t="n">
        <v>0</v>
      </c>
      <c r="R3056" s="2" t="inlineStr"/>
    </row>
    <row r="3057" ht="15" customHeight="1">
      <c r="A3057" t="inlineStr">
        <is>
          <t>A 60266-2023</t>
        </is>
      </c>
      <c r="B3057" s="1" t="n">
        <v>45258</v>
      </c>
      <c r="C3057" s="1" t="n">
        <v>46103</v>
      </c>
      <c r="D3057" t="inlineStr">
        <is>
          <t>KRONOBERGS LÄN</t>
        </is>
      </c>
      <c r="E3057" t="inlineStr">
        <is>
          <t>ÄLMHULT</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10773-2026</t>
        </is>
      </c>
      <c r="B3058" s="1" t="n">
        <v>46078.57184027778</v>
      </c>
      <c r="C3058" s="1" t="n">
        <v>46103</v>
      </c>
      <c r="D3058" t="inlineStr">
        <is>
          <t>KRONOBERGS LÄN</t>
        </is>
      </c>
      <c r="E3058" t="inlineStr">
        <is>
          <t>LJUNGBY</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50862-2025</t>
        </is>
      </c>
      <c r="B3059" s="1" t="n">
        <v>45946.59506944445</v>
      </c>
      <c r="C3059" s="1" t="n">
        <v>46103</v>
      </c>
      <c r="D3059" t="inlineStr">
        <is>
          <t>KRONOBERGS LÄN</t>
        </is>
      </c>
      <c r="E3059" t="inlineStr">
        <is>
          <t>LJUNGBY</t>
        </is>
      </c>
      <c r="G3059" t="n">
        <v>0.2</v>
      </c>
      <c r="H3059" t="n">
        <v>0</v>
      </c>
      <c r="I3059" t="n">
        <v>0</v>
      </c>
      <c r="J3059" t="n">
        <v>0</v>
      </c>
      <c r="K3059" t="n">
        <v>0</v>
      </c>
      <c r="L3059" t="n">
        <v>0</v>
      </c>
      <c r="M3059" t="n">
        <v>0</v>
      </c>
      <c r="N3059" t="n">
        <v>0</v>
      </c>
      <c r="O3059" t="n">
        <v>0</v>
      </c>
      <c r="P3059" t="n">
        <v>0</v>
      </c>
      <c r="Q3059" t="n">
        <v>0</v>
      </c>
      <c r="R3059" s="2" t="inlineStr"/>
    </row>
    <row r="3060" ht="15" customHeight="1">
      <c r="A3060" t="inlineStr">
        <is>
          <t>A 12221-2024</t>
        </is>
      </c>
      <c r="B3060" s="1" t="n">
        <v>45378</v>
      </c>
      <c r="C3060" s="1" t="n">
        <v>46103</v>
      </c>
      <c r="D3060" t="inlineStr">
        <is>
          <t>KRONOBERGS LÄN</t>
        </is>
      </c>
      <c r="E3060" t="inlineStr">
        <is>
          <t>ALVESTA</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64635-2023</t>
        </is>
      </c>
      <c r="B3061" s="1" t="n">
        <v>45281.5508449074</v>
      </c>
      <c r="C3061" s="1" t="n">
        <v>46103</v>
      </c>
      <c r="D3061" t="inlineStr">
        <is>
          <t>KRONOBERGS LÄN</t>
        </is>
      </c>
      <c r="E3061" t="inlineStr">
        <is>
          <t>LESSEBO</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47680-2023</t>
        </is>
      </c>
      <c r="B3062" s="1" t="n">
        <v>45203.60788194444</v>
      </c>
      <c r="C3062" s="1" t="n">
        <v>46103</v>
      </c>
      <c r="D3062" t="inlineStr">
        <is>
          <t>KRONOBERGS LÄN</t>
        </is>
      </c>
      <c r="E3062" t="inlineStr">
        <is>
          <t>MARKARYD</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11107-2026</t>
        </is>
      </c>
      <c r="B3063" s="1" t="n">
        <v>46079.6565625</v>
      </c>
      <c r="C3063" s="1" t="n">
        <v>46103</v>
      </c>
      <c r="D3063" t="inlineStr">
        <is>
          <t>KRONOBERGS LÄN</t>
        </is>
      </c>
      <c r="E3063" t="inlineStr">
        <is>
          <t>LJUNGBY</t>
        </is>
      </c>
      <c r="G3063" t="n">
        <v>4.3</v>
      </c>
      <c r="H3063" t="n">
        <v>0</v>
      </c>
      <c r="I3063" t="n">
        <v>0</v>
      </c>
      <c r="J3063" t="n">
        <v>0</v>
      </c>
      <c r="K3063" t="n">
        <v>0</v>
      </c>
      <c r="L3063" t="n">
        <v>0</v>
      </c>
      <c r="M3063" t="n">
        <v>0</v>
      </c>
      <c r="N3063" t="n">
        <v>0</v>
      </c>
      <c r="O3063" t="n">
        <v>0</v>
      </c>
      <c r="P3063" t="n">
        <v>0</v>
      </c>
      <c r="Q3063" t="n">
        <v>0</v>
      </c>
      <c r="R3063" s="2" t="inlineStr"/>
    </row>
    <row r="3064" ht="15" customHeight="1">
      <c r="A3064" t="inlineStr">
        <is>
          <t>A 14584-2023</t>
        </is>
      </c>
      <c r="B3064" s="1" t="n">
        <v>45013.53026620371</v>
      </c>
      <c r="C3064" s="1" t="n">
        <v>46103</v>
      </c>
      <c r="D3064" t="inlineStr">
        <is>
          <t>KRONOBERGS LÄN</t>
        </is>
      </c>
      <c r="E3064" t="inlineStr">
        <is>
          <t>LESSEBO</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2706-2026</t>
        </is>
      </c>
      <c r="B3065" s="1" t="n">
        <v>46037.69407407408</v>
      </c>
      <c r="C3065" s="1" t="n">
        <v>46103</v>
      </c>
      <c r="D3065" t="inlineStr">
        <is>
          <t>KRONOBERGS LÄN</t>
        </is>
      </c>
      <c r="E3065" t="inlineStr">
        <is>
          <t>ÄLMHULT</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2773-2026</t>
        </is>
      </c>
      <c r="B3066" s="1" t="n">
        <v>46036</v>
      </c>
      <c r="C3066" s="1" t="n">
        <v>46103</v>
      </c>
      <c r="D3066" t="inlineStr">
        <is>
          <t>KRONOBERGS LÄN</t>
        </is>
      </c>
      <c r="E3066" t="inlineStr">
        <is>
          <t>TINGSRYD</t>
        </is>
      </c>
      <c r="F3066" t="inlineStr">
        <is>
          <t>Kyrkan</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19310-2023</t>
        </is>
      </c>
      <c r="B3067" s="1" t="n">
        <v>45049</v>
      </c>
      <c r="C3067" s="1" t="n">
        <v>46103</v>
      </c>
      <c r="D3067" t="inlineStr">
        <is>
          <t>KRONOBERGS LÄN</t>
        </is>
      </c>
      <c r="E3067" t="inlineStr">
        <is>
          <t>TINGSRYD</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51178-2025</t>
        </is>
      </c>
      <c r="B3068" s="1" t="n">
        <v>45947.61274305556</v>
      </c>
      <c r="C3068" s="1" t="n">
        <v>46103</v>
      </c>
      <c r="D3068" t="inlineStr">
        <is>
          <t>KRONOBERGS LÄN</t>
        </is>
      </c>
      <c r="E3068" t="inlineStr">
        <is>
          <t>ÄLMHULT</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50849-2025</t>
        </is>
      </c>
      <c r="B3069" s="1" t="n">
        <v>45946.58215277778</v>
      </c>
      <c r="C3069" s="1" t="n">
        <v>46103</v>
      </c>
      <c r="D3069" t="inlineStr">
        <is>
          <t>KRONOBERGS LÄN</t>
        </is>
      </c>
      <c r="E3069" t="inlineStr">
        <is>
          <t>VÄXJÖ</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50852-2025</t>
        </is>
      </c>
      <c r="B3070" s="1" t="n">
        <v>45946</v>
      </c>
      <c r="C3070" s="1" t="n">
        <v>46103</v>
      </c>
      <c r="D3070" t="inlineStr">
        <is>
          <t>KRONOBERGS LÄN</t>
        </is>
      </c>
      <c r="E3070" t="inlineStr">
        <is>
          <t>ALVESTA</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25621-2023</t>
        </is>
      </c>
      <c r="B3071" s="1" t="n">
        <v>45089</v>
      </c>
      <c r="C3071" s="1" t="n">
        <v>46103</v>
      </c>
      <c r="D3071" t="inlineStr">
        <is>
          <t>KRONOBERGS LÄN</t>
        </is>
      </c>
      <c r="E3071" t="inlineStr">
        <is>
          <t>MARKARYD</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49744-2023</t>
        </is>
      </c>
      <c r="B3072" s="1" t="n">
        <v>45212</v>
      </c>
      <c r="C3072" s="1" t="n">
        <v>46103</v>
      </c>
      <c r="D3072" t="inlineStr">
        <is>
          <t>KRONOBERGS LÄN</t>
        </is>
      </c>
      <c r="E3072" t="inlineStr">
        <is>
          <t>LJUNGBY</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50297-2023</t>
        </is>
      </c>
      <c r="B3073" s="1" t="n">
        <v>45216.48012731481</v>
      </c>
      <c r="C3073" s="1" t="n">
        <v>46103</v>
      </c>
      <c r="D3073" t="inlineStr">
        <is>
          <t>KRONOBERGS LÄN</t>
        </is>
      </c>
      <c r="E3073" t="inlineStr">
        <is>
          <t>MARKARYD</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58155-2024</t>
        </is>
      </c>
      <c r="B3074" s="1" t="n">
        <v>45632.4446875</v>
      </c>
      <c r="C3074" s="1" t="n">
        <v>46103</v>
      </c>
      <c r="D3074" t="inlineStr">
        <is>
          <t>KRONOBERGS LÄN</t>
        </is>
      </c>
      <c r="E3074" t="inlineStr">
        <is>
          <t>VÄXJÖ</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58213-2024</t>
        </is>
      </c>
      <c r="B3075" s="1" t="n">
        <v>45632.49377314815</v>
      </c>
      <c r="C3075" s="1" t="n">
        <v>46103</v>
      </c>
      <c r="D3075" t="inlineStr">
        <is>
          <t>KRONOBERGS LÄN</t>
        </is>
      </c>
      <c r="E3075" t="inlineStr">
        <is>
          <t>ÄLMHULT</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58220-2024</t>
        </is>
      </c>
      <c r="B3076" s="1" t="n">
        <v>45632.50561342593</v>
      </c>
      <c r="C3076" s="1" t="n">
        <v>46103</v>
      </c>
      <c r="D3076" t="inlineStr">
        <is>
          <t>KRONOBERGS LÄN</t>
        </is>
      </c>
      <c r="E3076" t="inlineStr">
        <is>
          <t>ÄLMHULT</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51190-2025</t>
        </is>
      </c>
      <c r="B3077" s="1" t="n">
        <v>45947.62452546296</v>
      </c>
      <c r="C3077" s="1" t="n">
        <v>46103</v>
      </c>
      <c r="D3077" t="inlineStr">
        <is>
          <t>KRONOBERGS LÄN</t>
        </is>
      </c>
      <c r="E3077" t="inlineStr">
        <is>
          <t>ÄLMHULT</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10930-2026</t>
        </is>
      </c>
      <c r="B3078" s="1" t="n">
        <v>46079.3521412037</v>
      </c>
      <c r="C3078" s="1" t="n">
        <v>46103</v>
      </c>
      <c r="D3078" t="inlineStr">
        <is>
          <t>KRONOBERGS LÄN</t>
        </is>
      </c>
      <c r="E3078" t="inlineStr">
        <is>
          <t>VÄXJÖ</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20180-2023</t>
        </is>
      </c>
      <c r="B3079" s="1" t="n">
        <v>45055.56175925926</v>
      </c>
      <c r="C3079" s="1" t="n">
        <v>46103</v>
      </c>
      <c r="D3079" t="inlineStr">
        <is>
          <t>KRONOBERGS LÄN</t>
        </is>
      </c>
      <c r="E3079" t="inlineStr">
        <is>
          <t>ALVESTA</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8520-2025</t>
        </is>
      </c>
      <c r="B3080" s="1" t="n">
        <v>45709.56060185185</v>
      </c>
      <c r="C3080" s="1" t="n">
        <v>46103</v>
      </c>
      <c r="D3080" t="inlineStr">
        <is>
          <t>KRONOBERGS LÄN</t>
        </is>
      </c>
      <c r="E3080" t="inlineStr">
        <is>
          <t>TINGSRYD</t>
        </is>
      </c>
      <c r="F3080" t="inlineStr">
        <is>
          <t>Övriga Aktiebolag</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59867-2022</t>
        </is>
      </c>
      <c r="B3081" s="1" t="n">
        <v>44908</v>
      </c>
      <c r="C3081" s="1" t="n">
        <v>46103</v>
      </c>
      <c r="D3081" t="inlineStr">
        <is>
          <t>KRONOBERGS LÄN</t>
        </is>
      </c>
      <c r="E3081" t="inlineStr">
        <is>
          <t>VÄXJÖ</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60531-2022</t>
        </is>
      </c>
      <c r="B3082" s="1" t="n">
        <v>44911</v>
      </c>
      <c r="C3082" s="1" t="n">
        <v>46103</v>
      </c>
      <c r="D3082" t="inlineStr">
        <is>
          <t>KRONOBERGS LÄN</t>
        </is>
      </c>
      <c r="E3082" t="inlineStr">
        <is>
          <t>MARKARYD</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50908-2025</t>
        </is>
      </c>
      <c r="B3083" s="1" t="n">
        <v>45946.654375</v>
      </c>
      <c r="C3083" s="1" t="n">
        <v>46103</v>
      </c>
      <c r="D3083" t="inlineStr">
        <is>
          <t>KRONOBERGS LÄN</t>
        </is>
      </c>
      <c r="E3083" t="inlineStr">
        <is>
          <t>VÄXJÖ</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7797-2024</t>
        </is>
      </c>
      <c r="B3084" s="1" t="n">
        <v>45349.62076388889</v>
      </c>
      <c r="C3084" s="1" t="n">
        <v>46103</v>
      </c>
      <c r="D3084" t="inlineStr">
        <is>
          <t>KRONOBERGS LÄN</t>
        </is>
      </c>
      <c r="E3084" t="inlineStr">
        <is>
          <t>TINGSRYD</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73140-2021</t>
        </is>
      </c>
      <c r="B3085" s="1" t="n">
        <v>44550.48967592593</v>
      </c>
      <c r="C3085" s="1" t="n">
        <v>46103</v>
      </c>
      <c r="D3085" t="inlineStr">
        <is>
          <t>KRONOBERGS LÄN</t>
        </is>
      </c>
      <c r="E3085" t="inlineStr">
        <is>
          <t>LESSEBO</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50703-2025</t>
        </is>
      </c>
      <c r="B3086" s="1" t="n">
        <v>45946.2662037037</v>
      </c>
      <c r="C3086" s="1" t="n">
        <v>46103</v>
      </c>
      <c r="D3086" t="inlineStr">
        <is>
          <t>KRONOBERGS LÄN</t>
        </is>
      </c>
      <c r="E3086" t="inlineStr">
        <is>
          <t>VÄXJÖ</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40487-2023</t>
        </is>
      </c>
      <c r="B3087" s="1" t="n">
        <v>45170</v>
      </c>
      <c r="C3087" s="1" t="n">
        <v>46103</v>
      </c>
      <c r="D3087" t="inlineStr">
        <is>
          <t>KRONOBERGS LÄN</t>
        </is>
      </c>
      <c r="E3087" t="inlineStr">
        <is>
          <t>TINGSRYD</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32336-2024</t>
        </is>
      </c>
      <c r="B3088" s="1" t="n">
        <v>45512.48825231481</v>
      </c>
      <c r="C3088" s="1" t="n">
        <v>46103</v>
      </c>
      <c r="D3088" t="inlineStr">
        <is>
          <t>KRONOBERGS LÄN</t>
        </is>
      </c>
      <c r="E3088" t="inlineStr">
        <is>
          <t>ALVESTA</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60876-2022</t>
        </is>
      </c>
      <c r="B3089" s="1" t="n">
        <v>44914.55465277778</v>
      </c>
      <c r="C3089" s="1" t="n">
        <v>46103</v>
      </c>
      <c r="D3089" t="inlineStr">
        <is>
          <t>KRONOBERGS LÄN</t>
        </is>
      </c>
      <c r="E3089" t="inlineStr">
        <is>
          <t>ÄLMHULT</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2577-2026</t>
        </is>
      </c>
      <c r="B3090" s="1" t="n">
        <v>46037.51667824074</v>
      </c>
      <c r="C3090" s="1" t="n">
        <v>46103</v>
      </c>
      <c r="D3090" t="inlineStr">
        <is>
          <t>KRONOBERGS LÄN</t>
        </is>
      </c>
      <c r="E3090" t="inlineStr">
        <is>
          <t>ÄLMHULT</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26009-2025</t>
        </is>
      </c>
      <c r="B3091" s="1" t="n">
        <v>45804</v>
      </c>
      <c r="C3091" s="1" t="n">
        <v>46103</v>
      </c>
      <c r="D3091" t="inlineStr">
        <is>
          <t>KRONOBERGS LÄN</t>
        </is>
      </c>
      <c r="E3091" t="inlineStr">
        <is>
          <t>UPPVIDINGE</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51557-2025</t>
        </is>
      </c>
      <c r="B3092" s="1" t="n">
        <v>45950.91234953704</v>
      </c>
      <c r="C3092" s="1" t="n">
        <v>46103</v>
      </c>
      <c r="D3092" t="inlineStr">
        <is>
          <t>KRONOBERGS LÄN</t>
        </is>
      </c>
      <c r="E3092" t="inlineStr">
        <is>
          <t>TINGSRYD</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56861-2021</t>
        </is>
      </c>
      <c r="B3093" s="1" t="n">
        <v>44481.71842592592</v>
      </c>
      <c r="C3093" s="1" t="n">
        <v>46103</v>
      </c>
      <c r="D3093" t="inlineStr">
        <is>
          <t>KRONOBERGS LÄN</t>
        </is>
      </c>
      <c r="E3093" t="inlineStr">
        <is>
          <t>TINGSRYD</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57390-2024</t>
        </is>
      </c>
      <c r="B3094" s="1" t="n">
        <v>45629</v>
      </c>
      <c r="C3094" s="1" t="n">
        <v>46103</v>
      </c>
      <c r="D3094" t="inlineStr">
        <is>
          <t>KRONOBERGS LÄN</t>
        </is>
      </c>
      <c r="E3094" t="inlineStr">
        <is>
          <t>LJUNGBY</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34261-2023</t>
        </is>
      </c>
      <c r="B3095" s="1" t="n">
        <v>45128</v>
      </c>
      <c r="C3095" s="1" t="n">
        <v>46103</v>
      </c>
      <c r="D3095" t="inlineStr">
        <is>
          <t>KRONOBERGS LÄN</t>
        </is>
      </c>
      <c r="E3095" t="inlineStr">
        <is>
          <t>ALVESTA</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45445-2023</t>
        </is>
      </c>
      <c r="B3096" s="1" t="n">
        <v>45194.39922453704</v>
      </c>
      <c r="C3096" s="1" t="n">
        <v>46103</v>
      </c>
      <c r="D3096" t="inlineStr">
        <is>
          <t>KRONOBERGS LÄN</t>
        </is>
      </c>
      <c r="E3096" t="inlineStr">
        <is>
          <t>VÄXJÖ</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11138-2026</t>
        </is>
      </c>
      <c r="B3097" s="1" t="n">
        <v>46079.80902777778</v>
      </c>
      <c r="C3097" s="1" t="n">
        <v>46103</v>
      </c>
      <c r="D3097" t="inlineStr">
        <is>
          <t>KRONOBERGS LÄN</t>
        </is>
      </c>
      <c r="E3097" t="inlineStr">
        <is>
          <t>LJUNGBY</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51410-2025</t>
        </is>
      </c>
      <c r="B3098" s="1" t="n">
        <v>45950.49357638889</v>
      </c>
      <c r="C3098" s="1" t="n">
        <v>46103</v>
      </c>
      <c r="D3098" t="inlineStr">
        <is>
          <t>KRONOBERGS LÄN</t>
        </is>
      </c>
      <c r="E3098" t="inlineStr">
        <is>
          <t>VÄXJÖ</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51481-2025</t>
        </is>
      </c>
      <c r="B3099" s="1" t="n">
        <v>45950.62017361111</v>
      </c>
      <c r="C3099" s="1" t="n">
        <v>46103</v>
      </c>
      <c r="D3099" t="inlineStr">
        <is>
          <t>KRONOBERGS LÄN</t>
        </is>
      </c>
      <c r="E3099" t="inlineStr">
        <is>
          <t>LJUNGBY</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26306-2025</t>
        </is>
      </c>
      <c r="B3100" s="1" t="n">
        <v>45805.6447337963</v>
      </c>
      <c r="C3100" s="1" t="n">
        <v>46103</v>
      </c>
      <c r="D3100" t="inlineStr">
        <is>
          <t>KRONOBERGS LÄN</t>
        </is>
      </c>
      <c r="E3100" t="inlineStr">
        <is>
          <t>ÄLMHULT</t>
        </is>
      </c>
      <c r="F3100" t="inlineStr">
        <is>
          <t>Sveaskog</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26326-2025</t>
        </is>
      </c>
      <c r="B3101" s="1" t="n">
        <v>45805.66611111111</v>
      </c>
      <c r="C3101" s="1" t="n">
        <v>46103</v>
      </c>
      <c r="D3101" t="inlineStr">
        <is>
          <t>KRONOBERGS LÄN</t>
        </is>
      </c>
      <c r="E3101" t="inlineStr">
        <is>
          <t>ÄLMHULT</t>
        </is>
      </c>
      <c r="F3101" t="inlineStr">
        <is>
          <t>Sveaskog</t>
        </is>
      </c>
      <c r="G3101" t="n">
        <v>4.7</v>
      </c>
      <c r="H3101" t="n">
        <v>0</v>
      </c>
      <c r="I3101" t="n">
        <v>0</v>
      </c>
      <c r="J3101" t="n">
        <v>0</v>
      </c>
      <c r="K3101" t="n">
        <v>0</v>
      </c>
      <c r="L3101" t="n">
        <v>0</v>
      </c>
      <c r="M3101" t="n">
        <v>0</v>
      </c>
      <c r="N3101" t="n">
        <v>0</v>
      </c>
      <c r="O3101" t="n">
        <v>0</v>
      </c>
      <c r="P3101" t="n">
        <v>0</v>
      </c>
      <c r="Q3101" t="n">
        <v>0</v>
      </c>
      <c r="R3101" s="2" t="inlineStr"/>
    </row>
    <row r="3102" ht="15" customHeight="1">
      <c r="A3102" t="inlineStr">
        <is>
          <t>A 2820-2026</t>
        </is>
      </c>
      <c r="B3102" s="1" t="n">
        <v>46036</v>
      </c>
      <c r="C3102" s="1" t="n">
        <v>46103</v>
      </c>
      <c r="D3102" t="inlineStr">
        <is>
          <t>KRONOBERGS LÄN</t>
        </is>
      </c>
      <c r="E3102" t="inlineStr">
        <is>
          <t>MARKARYD</t>
        </is>
      </c>
      <c r="F3102" t="inlineStr">
        <is>
          <t>Kyrkan</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51276-2025</t>
        </is>
      </c>
      <c r="B3103" s="1" t="n">
        <v>45949</v>
      </c>
      <c r="C3103" s="1" t="n">
        <v>46103</v>
      </c>
      <c r="D3103" t="inlineStr">
        <is>
          <t>KRONOBERGS LÄN</t>
        </is>
      </c>
      <c r="E3103" t="inlineStr">
        <is>
          <t>LJUNGBY</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62191-2022</t>
        </is>
      </c>
      <c r="B3104" s="1" t="n">
        <v>44922</v>
      </c>
      <c r="C3104" s="1" t="n">
        <v>46103</v>
      </c>
      <c r="D3104" t="inlineStr">
        <is>
          <t>KRONOBERGS LÄN</t>
        </is>
      </c>
      <c r="E3104" t="inlineStr">
        <is>
          <t>VÄXJÖ</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2385-2026</t>
        </is>
      </c>
      <c r="B3105" s="1" t="n">
        <v>46036.66730324074</v>
      </c>
      <c r="C3105" s="1" t="n">
        <v>46103</v>
      </c>
      <c r="D3105" t="inlineStr">
        <is>
          <t>KRONOBERGS LÄN</t>
        </is>
      </c>
      <c r="E3105" t="inlineStr">
        <is>
          <t>VÄXJÖ</t>
        </is>
      </c>
      <c r="G3105" t="n">
        <v>3.8</v>
      </c>
      <c r="H3105" t="n">
        <v>0</v>
      </c>
      <c r="I3105" t="n">
        <v>0</v>
      </c>
      <c r="J3105" t="n">
        <v>0</v>
      </c>
      <c r="K3105" t="n">
        <v>0</v>
      </c>
      <c r="L3105" t="n">
        <v>0</v>
      </c>
      <c r="M3105" t="n">
        <v>0</v>
      </c>
      <c r="N3105" t="n">
        <v>0</v>
      </c>
      <c r="O3105" t="n">
        <v>0</v>
      </c>
      <c r="P3105" t="n">
        <v>0</v>
      </c>
      <c r="Q3105" t="n">
        <v>0</v>
      </c>
      <c r="R3105" s="2" t="inlineStr"/>
    </row>
    <row r="3106" ht="15" customHeight="1">
      <c r="A3106" t="inlineStr">
        <is>
          <t>A 11099-2026</t>
        </is>
      </c>
      <c r="B3106" s="1" t="n">
        <v>46079.64879629629</v>
      </c>
      <c r="C3106" s="1" t="n">
        <v>46103</v>
      </c>
      <c r="D3106" t="inlineStr">
        <is>
          <t>KRONOBERGS LÄN</t>
        </is>
      </c>
      <c r="E3106" t="inlineStr">
        <is>
          <t>LJUNGBY</t>
        </is>
      </c>
      <c r="G3106" t="n">
        <v>5.6</v>
      </c>
      <c r="H3106" t="n">
        <v>0</v>
      </c>
      <c r="I3106" t="n">
        <v>0</v>
      </c>
      <c r="J3106" t="n">
        <v>0</v>
      </c>
      <c r="K3106" t="n">
        <v>0</v>
      </c>
      <c r="L3106" t="n">
        <v>0</v>
      </c>
      <c r="M3106" t="n">
        <v>0</v>
      </c>
      <c r="N3106" t="n">
        <v>0</v>
      </c>
      <c r="O3106" t="n">
        <v>0</v>
      </c>
      <c r="P3106" t="n">
        <v>0</v>
      </c>
      <c r="Q3106" t="n">
        <v>0</v>
      </c>
      <c r="R3106" s="2" t="inlineStr"/>
    </row>
    <row r="3107" ht="15" customHeight="1">
      <c r="A3107" t="inlineStr">
        <is>
          <t>A 25785-2025</t>
        </is>
      </c>
      <c r="B3107" s="1" t="n">
        <v>45804.36956018519</v>
      </c>
      <c r="C3107" s="1" t="n">
        <v>46103</v>
      </c>
      <c r="D3107" t="inlineStr">
        <is>
          <t>KRONOBERGS LÄN</t>
        </is>
      </c>
      <c r="E3107" t="inlineStr">
        <is>
          <t>ÄLMHULT</t>
        </is>
      </c>
      <c r="F3107" t="inlineStr">
        <is>
          <t>Sveaskog</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2580-2026</t>
        </is>
      </c>
      <c r="B3108" s="1" t="n">
        <v>46037.51976851852</v>
      </c>
      <c r="C3108" s="1" t="n">
        <v>46103</v>
      </c>
      <c r="D3108" t="inlineStr">
        <is>
          <t>KRONOBERGS LÄN</t>
        </is>
      </c>
      <c r="E3108" t="inlineStr">
        <is>
          <t>ÄLMHULT</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34405-2024</t>
        </is>
      </c>
      <c r="B3109" s="1" t="n">
        <v>45525</v>
      </c>
      <c r="C3109" s="1" t="n">
        <v>46103</v>
      </c>
      <c r="D3109" t="inlineStr">
        <is>
          <t>KRONOBERGS LÄN</t>
        </is>
      </c>
      <c r="E3109" t="inlineStr">
        <is>
          <t>LJUNGBY</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36968-2024</t>
        </is>
      </c>
      <c r="B3110" s="1" t="n">
        <v>45538</v>
      </c>
      <c r="C3110" s="1" t="n">
        <v>46103</v>
      </c>
      <c r="D3110" t="inlineStr">
        <is>
          <t>KRONOBERGS LÄN</t>
        </is>
      </c>
      <c r="E3110" t="inlineStr">
        <is>
          <t>ÄLMHULT</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3268-2023</t>
        </is>
      </c>
      <c r="B3111" s="1" t="n">
        <v>44945</v>
      </c>
      <c r="C3111" s="1" t="n">
        <v>46103</v>
      </c>
      <c r="D3111" t="inlineStr">
        <is>
          <t>KRONOBERGS LÄN</t>
        </is>
      </c>
      <c r="E3111" t="inlineStr">
        <is>
          <t>TINGSRYD</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51361-2025</t>
        </is>
      </c>
      <c r="B3112" s="1" t="n">
        <v>45950.44451388889</v>
      </c>
      <c r="C3112" s="1" t="n">
        <v>46103</v>
      </c>
      <c r="D3112" t="inlineStr">
        <is>
          <t>KRONOBERGS LÄN</t>
        </is>
      </c>
      <c r="E3112" t="inlineStr">
        <is>
          <t>LJUNGBY</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51636-2025</t>
        </is>
      </c>
      <c r="B3113" s="1" t="n">
        <v>45951.43425925926</v>
      </c>
      <c r="C3113" s="1" t="n">
        <v>46103</v>
      </c>
      <c r="D3113" t="inlineStr">
        <is>
          <t>KRONOBERGS LÄN</t>
        </is>
      </c>
      <c r="E3113" t="inlineStr">
        <is>
          <t>TINGSRYD</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3311-2023</t>
        </is>
      </c>
      <c r="B3114" s="1" t="n">
        <v>44949</v>
      </c>
      <c r="C3114" s="1" t="n">
        <v>46103</v>
      </c>
      <c r="D3114" t="inlineStr">
        <is>
          <t>KRONOBERGS LÄN</t>
        </is>
      </c>
      <c r="E3114" t="inlineStr">
        <is>
          <t>TINGSRYD</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51272-2025</t>
        </is>
      </c>
      <c r="B3115" s="1" t="n">
        <v>45949.85663194444</v>
      </c>
      <c r="C3115" s="1" t="n">
        <v>46103</v>
      </c>
      <c r="D3115" t="inlineStr">
        <is>
          <t>KRONOBERGS LÄN</t>
        </is>
      </c>
      <c r="E3115" t="inlineStr">
        <is>
          <t>LJUNGBY</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22534-2024</t>
        </is>
      </c>
      <c r="B3116" s="1" t="n">
        <v>45447.46472222222</v>
      </c>
      <c r="C3116" s="1" t="n">
        <v>46103</v>
      </c>
      <c r="D3116" t="inlineStr">
        <is>
          <t>KRONOBERGS LÄN</t>
        </is>
      </c>
      <c r="E3116" t="inlineStr">
        <is>
          <t>ALVESTA</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29870-2023</t>
        </is>
      </c>
      <c r="B3117" s="1" t="n">
        <v>45107.61413194444</v>
      </c>
      <c r="C3117" s="1" t="n">
        <v>46103</v>
      </c>
      <c r="D3117" t="inlineStr">
        <is>
          <t>KRONOBERGS LÄN</t>
        </is>
      </c>
      <c r="E3117" t="inlineStr">
        <is>
          <t>UPPVIDINGE</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52618-2023</t>
        </is>
      </c>
      <c r="B3118" s="1" t="n">
        <v>45225.63304398148</v>
      </c>
      <c r="C3118" s="1" t="n">
        <v>46103</v>
      </c>
      <c r="D3118" t="inlineStr">
        <is>
          <t>KRONOBERGS LÄN</t>
        </is>
      </c>
      <c r="E3118" t="inlineStr">
        <is>
          <t>LJUNGBY</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52627-2023</t>
        </is>
      </c>
      <c r="B3119" s="1" t="n">
        <v>45225.63777777777</v>
      </c>
      <c r="C3119" s="1" t="n">
        <v>46103</v>
      </c>
      <c r="D3119" t="inlineStr">
        <is>
          <t>KRONOBERGS LÄN</t>
        </is>
      </c>
      <c r="E3119" t="inlineStr">
        <is>
          <t>LJUNGBY</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28225-2025</t>
        </is>
      </c>
      <c r="B3120" s="1" t="n">
        <v>45818</v>
      </c>
      <c r="C3120" s="1" t="n">
        <v>46103</v>
      </c>
      <c r="D3120" t="inlineStr">
        <is>
          <t>KRONOBERGS LÄN</t>
        </is>
      </c>
      <c r="E3120" t="inlineStr">
        <is>
          <t>ALVESTA</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45893-2025</t>
        </is>
      </c>
      <c r="B3121" s="1" t="n">
        <v>45923.67596064815</v>
      </c>
      <c r="C3121" s="1" t="n">
        <v>46103</v>
      </c>
      <c r="D3121" t="inlineStr">
        <is>
          <t>KRONOBERGS LÄN</t>
        </is>
      </c>
      <c r="E3121" t="inlineStr">
        <is>
          <t>VÄXJÖ</t>
        </is>
      </c>
      <c r="G3121" t="n">
        <v>3.6</v>
      </c>
      <c r="H3121" t="n">
        <v>0</v>
      </c>
      <c r="I3121" t="n">
        <v>0</v>
      </c>
      <c r="J3121" t="n">
        <v>0</v>
      </c>
      <c r="K3121" t="n">
        <v>0</v>
      </c>
      <c r="L3121" t="n">
        <v>0</v>
      </c>
      <c r="M3121" t="n">
        <v>0</v>
      </c>
      <c r="N3121" t="n">
        <v>0</v>
      </c>
      <c r="O3121" t="n">
        <v>0</v>
      </c>
      <c r="P3121" t="n">
        <v>0</v>
      </c>
      <c r="Q3121" t="n">
        <v>0</v>
      </c>
      <c r="R3121" s="2" t="inlineStr"/>
    </row>
    <row r="3122" ht="15" customHeight="1">
      <c r="A3122" t="inlineStr">
        <is>
          <t>A 51296-2025</t>
        </is>
      </c>
      <c r="B3122" s="1" t="n">
        <v>45950.35805555555</v>
      </c>
      <c r="C3122" s="1" t="n">
        <v>46103</v>
      </c>
      <c r="D3122" t="inlineStr">
        <is>
          <t>KRONOBERGS LÄN</t>
        </is>
      </c>
      <c r="E3122" t="inlineStr">
        <is>
          <t>LJUNGBY</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51320-2025</t>
        </is>
      </c>
      <c r="B3123" s="1" t="n">
        <v>45950.38597222222</v>
      </c>
      <c r="C3123" s="1" t="n">
        <v>46103</v>
      </c>
      <c r="D3123" t="inlineStr">
        <is>
          <t>KRONOBERGS LÄN</t>
        </is>
      </c>
      <c r="E3123" t="inlineStr">
        <is>
          <t>LJUNGBY</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51459-2025</t>
        </is>
      </c>
      <c r="B3124" s="1" t="n">
        <v>45950.59846064815</v>
      </c>
      <c r="C3124" s="1" t="n">
        <v>46103</v>
      </c>
      <c r="D3124" t="inlineStr">
        <is>
          <t>KRONOBERGS LÄN</t>
        </is>
      </c>
      <c r="E3124" t="inlineStr">
        <is>
          <t>LJUNGBY</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51463-2025</t>
        </is>
      </c>
      <c r="B3125" s="1" t="n">
        <v>45950.60980324074</v>
      </c>
      <c r="C3125" s="1" t="n">
        <v>46103</v>
      </c>
      <c r="D3125" t="inlineStr">
        <is>
          <t>KRONOBERGS LÄN</t>
        </is>
      </c>
      <c r="E3125" t="inlineStr">
        <is>
          <t>LJUNGBY</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51309-2025</t>
        </is>
      </c>
      <c r="B3126" s="1" t="n">
        <v>45950.36810185185</v>
      </c>
      <c r="C3126" s="1" t="n">
        <v>46103</v>
      </c>
      <c r="D3126" t="inlineStr">
        <is>
          <t>KRONOBERGS LÄN</t>
        </is>
      </c>
      <c r="E3126" t="inlineStr">
        <is>
          <t>LJUNGBY</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64511-2023</t>
        </is>
      </c>
      <c r="B3127" s="1" t="n">
        <v>45281.30539351852</v>
      </c>
      <c r="C3127" s="1" t="n">
        <v>46103</v>
      </c>
      <c r="D3127" t="inlineStr">
        <is>
          <t>KRONOBERGS LÄN</t>
        </is>
      </c>
      <c r="E3127" t="inlineStr">
        <is>
          <t>MARKARYD</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22201-2024</t>
        </is>
      </c>
      <c r="B3128" s="1" t="n">
        <v>45446.37311342593</v>
      </c>
      <c r="C3128" s="1" t="n">
        <v>46103</v>
      </c>
      <c r="D3128" t="inlineStr">
        <is>
          <t>KRONOBERGS LÄN</t>
        </is>
      </c>
      <c r="E3128" t="inlineStr">
        <is>
          <t>VÄXJÖ</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6475-2022</t>
        </is>
      </c>
      <c r="B3129" s="1" t="n">
        <v>44601.39091435185</v>
      </c>
      <c r="C3129" s="1" t="n">
        <v>46103</v>
      </c>
      <c r="D3129" t="inlineStr">
        <is>
          <t>KRONOBERGS LÄN</t>
        </is>
      </c>
      <c r="E3129" t="inlineStr">
        <is>
          <t>ALVESTA</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15930-2025</t>
        </is>
      </c>
      <c r="B3130" s="1" t="n">
        <v>45749.4678587963</v>
      </c>
      <c r="C3130" s="1" t="n">
        <v>46103</v>
      </c>
      <c r="D3130" t="inlineStr">
        <is>
          <t>KRONOBERGS LÄN</t>
        </is>
      </c>
      <c r="E3130" t="inlineStr">
        <is>
          <t>VÄXJÖ</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28124-2023</t>
        </is>
      </c>
      <c r="B3131" s="1" t="n">
        <v>45099</v>
      </c>
      <c r="C3131" s="1" t="n">
        <v>46103</v>
      </c>
      <c r="D3131" t="inlineStr">
        <is>
          <t>KRONOBERGS LÄN</t>
        </is>
      </c>
      <c r="E3131" t="inlineStr">
        <is>
          <t>LJUNGBY</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30405-2023</t>
        </is>
      </c>
      <c r="B3132" s="1" t="n">
        <v>45111.48731481482</v>
      </c>
      <c r="C3132" s="1" t="n">
        <v>46103</v>
      </c>
      <c r="D3132" t="inlineStr">
        <is>
          <t>KRONOBERGS LÄN</t>
        </is>
      </c>
      <c r="E3132" t="inlineStr">
        <is>
          <t>LESSEBO</t>
        </is>
      </c>
      <c r="G3132" t="n">
        <v>4.3</v>
      </c>
      <c r="H3132" t="n">
        <v>0</v>
      </c>
      <c r="I3132" t="n">
        <v>0</v>
      </c>
      <c r="J3132" t="n">
        <v>0</v>
      </c>
      <c r="K3132" t="n">
        <v>0</v>
      </c>
      <c r="L3132" t="n">
        <v>0</v>
      </c>
      <c r="M3132" t="n">
        <v>0</v>
      </c>
      <c r="N3132" t="n">
        <v>0</v>
      </c>
      <c r="O3132" t="n">
        <v>0</v>
      </c>
      <c r="P3132" t="n">
        <v>0</v>
      </c>
      <c r="Q3132" t="n">
        <v>0</v>
      </c>
      <c r="R3132" s="2" t="inlineStr"/>
    </row>
    <row r="3133" ht="15" customHeight="1">
      <c r="A3133" t="inlineStr">
        <is>
          <t>A 29097-2023</t>
        </is>
      </c>
      <c r="B3133" s="1" t="n">
        <v>45105.3630787037</v>
      </c>
      <c r="C3133" s="1" t="n">
        <v>46103</v>
      </c>
      <c r="D3133" t="inlineStr">
        <is>
          <t>KRONOBERGS LÄN</t>
        </is>
      </c>
      <c r="E3133" t="inlineStr">
        <is>
          <t>ALVESTA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51589-2025</t>
        </is>
      </c>
      <c r="B3134" s="1" t="n">
        <v>45951.3629050926</v>
      </c>
      <c r="C3134" s="1" t="n">
        <v>46103</v>
      </c>
      <c r="D3134" t="inlineStr">
        <is>
          <t>KRONOBERGS LÄN</t>
        </is>
      </c>
      <c r="E3134" t="inlineStr">
        <is>
          <t>ÄLMHULT</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9858-2025</t>
        </is>
      </c>
      <c r="B3135" s="1" t="n">
        <v>45716.62706018519</v>
      </c>
      <c r="C3135" s="1" t="n">
        <v>46103</v>
      </c>
      <c r="D3135" t="inlineStr">
        <is>
          <t>KRONOBERGS LÄN</t>
        </is>
      </c>
      <c r="E3135" t="inlineStr">
        <is>
          <t>ÄLMHULT</t>
        </is>
      </c>
      <c r="F3135" t="inlineStr">
        <is>
          <t>Sveaskog</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44480-2025</t>
        </is>
      </c>
      <c r="B3136" s="1" t="n">
        <v>45916.64810185185</v>
      </c>
      <c r="C3136" s="1" t="n">
        <v>46103</v>
      </c>
      <c r="D3136" t="inlineStr">
        <is>
          <t>KRONOBERGS LÄN</t>
        </is>
      </c>
      <c r="E3136" t="inlineStr">
        <is>
          <t>ÄLMHULT</t>
        </is>
      </c>
      <c r="F3136" t="inlineStr">
        <is>
          <t>Sveaskog</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51371-2025</t>
        </is>
      </c>
      <c r="B3137" s="1" t="n">
        <v>45950.44819444444</v>
      </c>
      <c r="C3137" s="1" t="n">
        <v>46103</v>
      </c>
      <c r="D3137" t="inlineStr">
        <is>
          <t>KRONOBERGS LÄN</t>
        </is>
      </c>
      <c r="E3137" t="inlineStr">
        <is>
          <t>LJUNGBY</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24169-2023</t>
        </is>
      </c>
      <c r="B3138" s="1" t="n">
        <v>45079</v>
      </c>
      <c r="C3138" s="1" t="n">
        <v>46103</v>
      </c>
      <c r="D3138" t="inlineStr">
        <is>
          <t>KRONOBERGS LÄN</t>
        </is>
      </c>
      <c r="E3138" t="inlineStr">
        <is>
          <t>ALVESTA</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67331-2021</t>
        </is>
      </c>
      <c r="B3139" s="1" t="n">
        <v>44523</v>
      </c>
      <c r="C3139" s="1" t="n">
        <v>46103</v>
      </c>
      <c r="D3139" t="inlineStr">
        <is>
          <t>KRONOBERGS LÄN</t>
        </is>
      </c>
      <c r="E3139" t="inlineStr">
        <is>
          <t>ALVESTA</t>
        </is>
      </c>
      <c r="G3139" t="n">
        <v>6.4</v>
      </c>
      <c r="H3139" t="n">
        <v>0</v>
      </c>
      <c r="I3139" t="n">
        <v>0</v>
      </c>
      <c r="J3139" t="n">
        <v>0</v>
      </c>
      <c r="K3139" t="n">
        <v>0</v>
      </c>
      <c r="L3139" t="n">
        <v>0</v>
      </c>
      <c r="M3139" t="n">
        <v>0</v>
      </c>
      <c r="N3139" t="n">
        <v>0</v>
      </c>
      <c r="O3139" t="n">
        <v>0</v>
      </c>
      <c r="P3139" t="n">
        <v>0</v>
      </c>
      <c r="Q3139" t="n">
        <v>0</v>
      </c>
      <c r="R3139" s="2" t="inlineStr"/>
    </row>
    <row r="3140" ht="15" customHeight="1">
      <c r="A3140" t="inlineStr">
        <is>
          <t>A 51487-2025</t>
        </is>
      </c>
      <c r="B3140" s="1" t="n">
        <v>45950.62329861111</v>
      </c>
      <c r="C3140" s="1" t="n">
        <v>46103</v>
      </c>
      <c r="D3140" t="inlineStr">
        <is>
          <t>KRONOBERGS LÄN</t>
        </is>
      </c>
      <c r="E3140" t="inlineStr">
        <is>
          <t>LESSEBO</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886-2024</t>
        </is>
      </c>
      <c r="B3141" s="1" t="n">
        <v>45301</v>
      </c>
      <c r="C3141" s="1" t="n">
        <v>46103</v>
      </c>
      <c r="D3141" t="inlineStr">
        <is>
          <t>KRONOBERGS LÄN</t>
        </is>
      </c>
      <c r="E3141" t="inlineStr">
        <is>
          <t>LJUNGBY</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34926-2024</t>
        </is>
      </c>
      <c r="B3142" s="1" t="n">
        <v>45527.44498842592</v>
      </c>
      <c r="C3142" s="1" t="n">
        <v>46103</v>
      </c>
      <c r="D3142" t="inlineStr">
        <is>
          <t>KRONOBERGS LÄN</t>
        </is>
      </c>
      <c r="E3142" t="inlineStr">
        <is>
          <t>LJUNGBY</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51556-2025</t>
        </is>
      </c>
      <c r="B3143" s="1" t="n">
        <v>45950.91074074074</v>
      </c>
      <c r="C3143" s="1" t="n">
        <v>46103</v>
      </c>
      <c r="D3143" t="inlineStr">
        <is>
          <t>KRONOBERGS LÄN</t>
        </is>
      </c>
      <c r="E3143" t="inlineStr">
        <is>
          <t>TINGSRYD</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51558-2025</t>
        </is>
      </c>
      <c r="B3144" s="1" t="n">
        <v>45950.91810185185</v>
      </c>
      <c r="C3144" s="1" t="n">
        <v>46103</v>
      </c>
      <c r="D3144" t="inlineStr">
        <is>
          <t>KRONOBERGS LÄN</t>
        </is>
      </c>
      <c r="E3144" t="inlineStr">
        <is>
          <t>TINGSRYD</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51650-2025</t>
        </is>
      </c>
      <c r="B3145" s="1" t="n">
        <v>45951.46040509259</v>
      </c>
      <c r="C3145" s="1" t="n">
        <v>46103</v>
      </c>
      <c r="D3145" t="inlineStr">
        <is>
          <t>KRONOBERGS LÄN</t>
        </is>
      </c>
      <c r="E3145" t="inlineStr">
        <is>
          <t>TINGSRYD</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21231-2023</t>
        </is>
      </c>
      <c r="B3146" s="1" t="n">
        <v>45058</v>
      </c>
      <c r="C3146" s="1" t="n">
        <v>46103</v>
      </c>
      <c r="D3146" t="inlineStr">
        <is>
          <t>KRONOBERGS LÄN</t>
        </is>
      </c>
      <c r="E3146" t="inlineStr">
        <is>
          <t>VÄXJÖ</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51631-2025</t>
        </is>
      </c>
      <c r="B3147" s="1" t="n">
        <v>45951.4234375</v>
      </c>
      <c r="C3147" s="1" t="n">
        <v>46103</v>
      </c>
      <c r="D3147" t="inlineStr">
        <is>
          <t>KRONOBERGS LÄN</t>
        </is>
      </c>
      <c r="E3147" t="inlineStr">
        <is>
          <t>UPPVIDINGE</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51638-2025</t>
        </is>
      </c>
      <c r="B3148" s="1" t="n">
        <v>45951.44193287037</v>
      </c>
      <c r="C3148" s="1" t="n">
        <v>46103</v>
      </c>
      <c r="D3148" t="inlineStr">
        <is>
          <t>KRONOBERGS LÄN</t>
        </is>
      </c>
      <c r="E3148" t="inlineStr">
        <is>
          <t>LJUNGBY</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45307-2025</t>
        </is>
      </c>
      <c r="B3149" s="1" t="n">
        <v>45921.70836805556</v>
      </c>
      <c r="C3149" s="1" t="n">
        <v>46103</v>
      </c>
      <c r="D3149" t="inlineStr">
        <is>
          <t>KRONOBERGS LÄN</t>
        </is>
      </c>
      <c r="E3149" t="inlineStr">
        <is>
          <t>VÄXJÖ</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51488-2025</t>
        </is>
      </c>
      <c r="B3150" s="1" t="n">
        <v>45950.62487268518</v>
      </c>
      <c r="C3150" s="1" t="n">
        <v>46103</v>
      </c>
      <c r="D3150" t="inlineStr">
        <is>
          <t>KRONOBERGS LÄN</t>
        </is>
      </c>
      <c r="E3150" t="inlineStr">
        <is>
          <t>LJUNGBY</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27863-2022</t>
        </is>
      </c>
      <c r="B3151" s="1" t="n">
        <v>44743.63931712963</v>
      </c>
      <c r="C3151" s="1" t="n">
        <v>46103</v>
      </c>
      <c r="D3151" t="inlineStr">
        <is>
          <t>KRONOBERGS LÄN</t>
        </is>
      </c>
      <c r="E3151" t="inlineStr">
        <is>
          <t>ÄLMHULT</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37689-2022</t>
        </is>
      </c>
      <c r="B3152" s="1" t="n">
        <v>44810.49734953704</v>
      </c>
      <c r="C3152" s="1" t="n">
        <v>46103</v>
      </c>
      <c r="D3152" t="inlineStr">
        <is>
          <t>KRONOBERGS LÄN</t>
        </is>
      </c>
      <c r="E3152" t="inlineStr">
        <is>
          <t>LJUNGBY</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3133-2026</t>
        </is>
      </c>
      <c r="B3153" s="1" t="n">
        <v>46041.39274305556</v>
      </c>
      <c r="C3153" s="1" t="n">
        <v>46103</v>
      </c>
      <c r="D3153" t="inlineStr">
        <is>
          <t>KRONOBERGS LÄN</t>
        </is>
      </c>
      <c r="E3153" t="inlineStr">
        <is>
          <t>VÄXJÖ</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3109-2025</t>
        </is>
      </c>
      <c r="B3154" s="1" t="n">
        <v>45678</v>
      </c>
      <c r="C3154" s="1" t="n">
        <v>46103</v>
      </c>
      <c r="D3154" t="inlineStr">
        <is>
          <t>KRONOBERGS LÄN</t>
        </is>
      </c>
      <c r="E3154" t="inlineStr">
        <is>
          <t>VÄXJÖ</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3118-2025</t>
        </is>
      </c>
      <c r="B3155" s="1" t="n">
        <v>45678</v>
      </c>
      <c r="C3155" s="1" t="n">
        <v>46103</v>
      </c>
      <c r="D3155" t="inlineStr">
        <is>
          <t>KRONOBERGS LÄN</t>
        </is>
      </c>
      <c r="E3155" t="inlineStr">
        <is>
          <t>ALVESTA</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62241-2021</t>
        </is>
      </c>
      <c r="B3156" s="1" t="n">
        <v>44503</v>
      </c>
      <c r="C3156" s="1" t="n">
        <v>46103</v>
      </c>
      <c r="D3156" t="inlineStr">
        <is>
          <t>KRONOBERGS LÄN</t>
        </is>
      </c>
      <c r="E3156" t="inlineStr">
        <is>
          <t>ÄLMHULT</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3035-2026</t>
        </is>
      </c>
      <c r="B3157" s="1" t="n">
        <v>46038</v>
      </c>
      <c r="C3157" s="1" t="n">
        <v>46103</v>
      </c>
      <c r="D3157" t="inlineStr">
        <is>
          <t>KRONOBERGS LÄN</t>
        </is>
      </c>
      <c r="E3157" t="inlineStr">
        <is>
          <t>TINGSRYD</t>
        </is>
      </c>
      <c r="F3157" t="inlineStr">
        <is>
          <t>Kyrkan</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64354-2023</t>
        </is>
      </c>
      <c r="B3158" s="1" t="n">
        <v>45280</v>
      </c>
      <c r="C3158" s="1" t="n">
        <v>46103</v>
      </c>
      <c r="D3158" t="inlineStr">
        <is>
          <t>KRONOBERGS LÄN</t>
        </is>
      </c>
      <c r="E3158" t="inlineStr">
        <is>
          <t>LJUNGBY</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9673-2024</t>
        </is>
      </c>
      <c r="B3159" s="1" t="n">
        <v>45362</v>
      </c>
      <c r="C3159" s="1" t="n">
        <v>46103</v>
      </c>
      <c r="D3159" t="inlineStr">
        <is>
          <t>KRONOBERGS LÄN</t>
        </is>
      </c>
      <c r="E3159" t="inlineStr">
        <is>
          <t>ALVESTA</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51347-2025</t>
        </is>
      </c>
      <c r="B3160" s="1" t="n">
        <v>45950.43387731481</v>
      </c>
      <c r="C3160" s="1" t="n">
        <v>46103</v>
      </c>
      <c r="D3160" t="inlineStr">
        <is>
          <t>KRONOBERGS LÄN</t>
        </is>
      </c>
      <c r="E3160" t="inlineStr">
        <is>
          <t>LJUNGBY</t>
        </is>
      </c>
      <c r="G3160" t="n">
        <v>6.1</v>
      </c>
      <c r="H3160" t="n">
        <v>0</v>
      </c>
      <c r="I3160" t="n">
        <v>0</v>
      </c>
      <c r="J3160" t="n">
        <v>0</v>
      </c>
      <c r="K3160" t="n">
        <v>0</v>
      </c>
      <c r="L3160" t="n">
        <v>0</v>
      </c>
      <c r="M3160" t="n">
        <v>0</v>
      </c>
      <c r="N3160" t="n">
        <v>0</v>
      </c>
      <c r="O3160" t="n">
        <v>0</v>
      </c>
      <c r="P3160" t="n">
        <v>0</v>
      </c>
      <c r="Q3160" t="n">
        <v>0</v>
      </c>
      <c r="R3160" s="2" t="inlineStr"/>
    </row>
    <row r="3161" ht="15" customHeight="1">
      <c r="A3161" t="inlineStr">
        <is>
          <t>A 43644-2025</t>
        </is>
      </c>
      <c r="B3161" s="1" t="n">
        <v>45911.91936342593</v>
      </c>
      <c r="C3161" s="1" t="n">
        <v>46103</v>
      </c>
      <c r="D3161" t="inlineStr">
        <is>
          <t>KRONOBERGS LÄN</t>
        </is>
      </c>
      <c r="E3161" t="inlineStr">
        <is>
          <t>LJUNGBY</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59857-2023</t>
        </is>
      </c>
      <c r="B3162" s="1" t="n">
        <v>45257.57825231482</v>
      </c>
      <c r="C3162" s="1" t="n">
        <v>46103</v>
      </c>
      <c r="D3162" t="inlineStr">
        <is>
          <t>KRONOBERGS LÄN</t>
        </is>
      </c>
      <c r="E3162" t="inlineStr">
        <is>
          <t>LJUNGBY</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51390-2025</t>
        </is>
      </c>
      <c r="B3163" s="1" t="n">
        <v>45950.46835648148</v>
      </c>
      <c r="C3163" s="1" t="n">
        <v>46103</v>
      </c>
      <c r="D3163" t="inlineStr">
        <is>
          <t>KRONOBERGS LÄN</t>
        </is>
      </c>
      <c r="E3163" t="inlineStr">
        <is>
          <t>LJUNGBY</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6020-2024</t>
        </is>
      </c>
      <c r="B3164" s="1" t="n">
        <v>45336.61974537037</v>
      </c>
      <c r="C3164" s="1" t="n">
        <v>46103</v>
      </c>
      <c r="D3164" t="inlineStr">
        <is>
          <t>KRONOBERGS LÄN</t>
        </is>
      </c>
      <c r="E3164" t="inlineStr">
        <is>
          <t>ALVESTA</t>
        </is>
      </c>
      <c r="G3164" t="n">
        <v>0.3</v>
      </c>
      <c r="H3164" t="n">
        <v>0</v>
      </c>
      <c r="I3164" t="n">
        <v>0</v>
      </c>
      <c r="J3164" t="n">
        <v>0</v>
      </c>
      <c r="K3164" t="n">
        <v>0</v>
      </c>
      <c r="L3164" t="n">
        <v>0</v>
      </c>
      <c r="M3164" t="n">
        <v>0</v>
      </c>
      <c r="N3164" t="n">
        <v>0</v>
      </c>
      <c r="O3164" t="n">
        <v>0</v>
      </c>
      <c r="P3164" t="n">
        <v>0</v>
      </c>
      <c r="Q3164" t="n">
        <v>0</v>
      </c>
      <c r="R3164" s="2" t="inlineStr"/>
    </row>
    <row r="3165" ht="15" customHeight="1">
      <c r="A3165" t="inlineStr">
        <is>
          <t>A 11445-2026</t>
        </is>
      </c>
      <c r="B3165" s="1" t="n">
        <v>46083.53789351852</v>
      </c>
      <c r="C3165" s="1" t="n">
        <v>46103</v>
      </c>
      <c r="D3165" t="inlineStr">
        <is>
          <t>KRONOBERGS LÄN</t>
        </is>
      </c>
      <c r="E3165" t="inlineStr">
        <is>
          <t>TINGSRYD</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11448-2026</t>
        </is>
      </c>
      <c r="B3166" s="1" t="n">
        <v>46083.54393518518</v>
      </c>
      <c r="C3166" s="1" t="n">
        <v>46103</v>
      </c>
      <c r="D3166" t="inlineStr">
        <is>
          <t>KRONOBERGS LÄN</t>
        </is>
      </c>
      <c r="E3166" t="inlineStr">
        <is>
          <t>TINGSRYD</t>
        </is>
      </c>
      <c r="G3166" t="n">
        <v>5</v>
      </c>
      <c r="H3166" t="n">
        <v>0</v>
      </c>
      <c r="I3166" t="n">
        <v>0</v>
      </c>
      <c r="J3166" t="n">
        <v>0</v>
      </c>
      <c r="K3166" t="n">
        <v>0</v>
      </c>
      <c r="L3166" t="n">
        <v>0</v>
      </c>
      <c r="M3166" t="n">
        <v>0</v>
      </c>
      <c r="N3166" t="n">
        <v>0</v>
      </c>
      <c r="O3166" t="n">
        <v>0</v>
      </c>
      <c r="P3166" t="n">
        <v>0</v>
      </c>
      <c r="Q3166" t="n">
        <v>0</v>
      </c>
      <c r="R3166" s="2" t="inlineStr"/>
    </row>
    <row r="3167" ht="15" customHeight="1">
      <c r="A3167" t="inlineStr">
        <is>
          <t>A 11451-2026</t>
        </is>
      </c>
      <c r="B3167" s="1" t="n">
        <v>46083.55599537037</v>
      </c>
      <c r="C3167" s="1" t="n">
        <v>46103</v>
      </c>
      <c r="D3167" t="inlineStr">
        <is>
          <t>KRONOBERGS LÄN</t>
        </is>
      </c>
      <c r="E3167" t="inlineStr">
        <is>
          <t>TINGSRYD</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52085-2025</t>
        </is>
      </c>
      <c r="B3168" s="1" t="n">
        <v>45952.66959490741</v>
      </c>
      <c r="C3168" s="1" t="n">
        <v>46103</v>
      </c>
      <c r="D3168" t="inlineStr">
        <is>
          <t>KRONOBERGS LÄN</t>
        </is>
      </c>
      <c r="E3168" t="inlineStr">
        <is>
          <t>VÄXJÖ</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51888-2025</t>
        </is>
      </c>
      <c r="B3169" s="1" t="n">
        <v>45952.41342592592</v>
      </c>
      <c r="C3169" s="1" t="n">
        <v>46103</v>
      </c>
      <c r="D3169" t="inlineStr">
        <is>
          <t>KRONOBERGS LÄN</t>
        </is>
      </c>
      <c r="E3169" t="inlineStr">
        <is>
          <t>UPPVIDINGE</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32079-2023</t>
        </is>
      </c>
      <c r="B3170" s="1" t="n">
        <v>45119.58694444445</v>
      </c>
      <c r="C3170" s="1" t="n">
        <v>46103</v>
      </c>
      <c r="D3170" t="inlineStr">
        <is>
          <t>KRONOBERGS LÄN</t>
        </is>
      </c>
      <c r="E3170" t="inlineStr">
        <is>
          <t>LJUNGBY</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46184-2025</t>
        </is>
      </c>
      <c r="B3171" s="1" t="n">
        <v>45924.65884259259</v>
      </c>
      <c r="C3171" s="1" t="n">
        <v>46103</v>
      </c>
      <c r="D3171" t="inlineStr">
        <is>
          <t>KRONOBERGS LÄN</t>
        </is>
      </c>
      <c r="E3171" t="inlineStr">
        <is>
          <t>VÄXJÖ</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64715-2023</t>
        </is>
      </c>
      <c r="B3172" s="1" t="n">
        <v>45281.69575231482</v>
      </c>
      <c r="C3172" s="1" t="n">
        <v>46103</v>
      </c>
      <c r="D3172" t="inlineStr">
        <is>
          <t>KRONOBERGS LÄN</t>
        </is>
      </c>
      <c r="E3172" t="inlineStr">
        <is>
          <t>VÄXJÖ</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52365-2025</t>
        </is>
      </c>
      <c r="B3173" s="1" t="n">
        <v>45952</v>
      </c>
      <c r="C3173" s="1" t="n">
        <v>46103</v>
      </c>
      <c r="D3173" t="inlineStr">
        <is>
          <t>KRONOBERGS LÄN</t>
        </is>
      </c>
      <c r="E3173" t="inlineStr">
        <is>
          <t>ALVESTA</t>
        </is>
      </c>
      <c r="G3173" t="n">
        <v>4.8</v>
      </c>
      <c r="H3173" t="n">
        <v>0</v>
      </c>
      <c r="I3173" t="n">
        <v>0</v>
      </c>
      <c r="J3173" t="n">
        <v>0</v>
      </c>
      <c r="K3173" t="n">
        <v>0</v>
      </c>
      <c r="L3173" t="n">
        <v>0</v>
      </c>
      <c r="M3173" t="n">
        <v>0</v>
      </c>
      <c r="N3173" t="n">
        <v>0</v>
      </c>
      <c r="O3173" t="n">
        <v>0</v>
      </c>
      <c r="P3173" t="n">
        <v>0</v>
      </c>
      <c r="Q3173" t="n">
        <v>0</v>
      </c>
      <c r="R3173" s="2" t="inlineStr"/>
    </row>
    <row r="3174" ht="15" customHeight="1">
      <c r="A3174" t="inlineStr">
        <is>
          <t>A 52031-2025</t>
        </is>
      </c>
      <c r="B3174" s="1" t="n">
        <v>45952.60922453704</v>
      </c>
      <c r="C3174" s="1" t="n">
        <v>46103</v>
      </c>
      <c r="D3174" t="inlineStr">
        <is>
          <t>KRONOBERGS LÄN</t>
        </is>
      </c>
      <c r="E3174" t="inlineStr">
        <is>
          <t>LESSEBO</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11360-2026</t>
        </is>
      </c>
      <c r="B3175" s="1" t="n">
        <v>46083.35065972222</v>
      </c>
      <c r="C3175" s="1" t="n">
        <v>46103</v>
      </c>
      <c r="D3175" t="inlineStr">
        <is>
          <t>KRONOBERGS LÄN</t>
        </is>
      </c>
      <c r="E3175" t="inlineStr">
        <is>
          <t>VÄXJÖ</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63485-2023</t>
        </is>
      </c>
      <c r="B3176" s="1" t="n">
        <v>45274.6619212963</v>
      </c>
      <c r="C3176" s="1" t="n">
        <v>46103</v>
      </c>
      <c r="D3176" t="inlineStr">
        <is>
          <t>KRONOBERGS LÄN</t>
        </is>
      </c>
      <c r="E3176" t="inlineStr">
        <is>
          <t>VÄXJÖ</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50734-2021</t>
        </is>
      </c>
      <c r="B3177" s="1" t="n">
        <v>44460.38868055555</v>
      </c>
      <c r="C3177" s="1" t="n">
        <v>46103</v>
      </c>
      <c r="D3177" t="inlineStr">
        <is>
          <t>KRONOBERGS LÄN</t>
        </is>
      </c>
      <c r="E3177" t="inlineStr">
        <is>
          <t>MARKARYD</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4427-2025</t>
        </is>
      </c>
      <c r="B3178" s="1" t="n">
        <v>45686</v>
      </c>
      <c r="C3178" s="1" t="n">
        <v>46103</v>
      </c>
      <c r="D3178" t="inlineStr">
        <is>
          <t>KRONOBERGS LÄN</t>
        </is>
      </c>
      <c r="E3178" t="inlineStr">
        <is>
          <t>ALVESTA</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4469-2025</t>
        </is>
      </c>
      <c r="B3179" s="1" t="n">
        <v>45686.61557870371</v>
      </c>
      <c r="C3179" s="1" t="n">
        <v>46103</v>
      </c>
      <c r="D3179" t="inlineStr">
        <is>
          <t>KRONOBERGS LÄN</t>
        </is>
      </c>
      <c r="E3179" t="inlineStr">
        <is>
          <t>VÄXJÖ</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11513-2026</t>
        </is>
      </c>
      <c r="B3180" s="1" t="n">
        <v>46083.65954861111</v>
      </c>
      <c r="C3180" s="1" t="n">
        <v>46103</v>
      </c>
      <c r="D3180" t="inlineStr">
        <is>
          <t>KRONOBERGS LÄN</t>
        </is>
      </c>
      <c r="E3180" t="inlineStr">
        <is>
          <t>TINGSRYD</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13148-2022</t>
        </is>
      </c>
      <c r="B3181" s="1" t="n">
        <v>44644.41532407407</v>
      </c>
      <c r="C3181" s="1" t="n">
        <v>46103</v>
      </c>
      <c r="D3181" t="inlineStr">
        <is>
          <t>KRONOBERGS LÄN</t>
        </is>
      </c>
      <c r="E3181" t="inlineStr">
        <is>
          <t>MARKARYD</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14493-2023</t>
        </is>
      </c>
      <c r="B3182" s="1" t="n">
        <v>45012</v>
      </c>
      <c r="C3182" s="1" t="n">
        <v>46103</v>
      </c>
      <c r="D3182" t="inlineStr">
        <is>
          <t>KRONOBERGS LÄN</t>
        </is>
      </c>
      <c r="E3182" t="inlineStr">
        <is>
          <t>LJUNGBY</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51852-2025</t>
        </is>
      </c>
      <c r="B3183" s="1" t="n">
        <v>45952.35865740741</v>
      </c>
      <c r="C3183" s="1" t="n">
        <v>46103</v>
      </c>
      <c r="D3183" t="inlineStr">
        <is>
          <t>KRONOBERGS LÄN</t>
        </is>
      </c>
      <c r="E3183" t="inlineStr">
        <is>
          <t>ÄLMHULT</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51921-2025</t>
        </is>
      </c>
      <c r="B3184" s="1" t="n">
        <v>45952.48637731482</v>
      </c>
      <c r="C3184" s="1" t="n">
        <v>46103</v>
      </c>
      <c r="D3184" t="inlineStr">
        <is>
          <t>KRONOBERGS LÄN</t>
        </is>
      </c>
      <c r="E3184" t="inlineStr">
        <is>
          <t>VÄXJÖ</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39016-2023</t>
        </is>
      </c>
      <c r="B3185" s="1" t="n">
        <v>45163.72633101852</v>
      </c>
      <c r="C3185" s="1" t="n">
        <v>46103</v>
      </c>
      <c r="D3185" t="inlineStr">
        <is>
          <t>KRONOBERGS LÄN</t>
        </is>
      </c>
      <c r="E3185" t="inlineStr">
        <is>
          <t>UPPVIDINGE</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46471-2025</t>
        </is>
      </c>
      <c r="B3186" s="1" t="n">
        <v>45925.68325231481</v>
      </c>
      <c r="C3186" s="1" t="n">
        <v>46103</v>
      </c>
      <c r="D3186" t="inlineStr">
        <is>
          <t>KRONOBERGS LÄN</t>
        </is>
      </c>
      <c r="E3186" t="inlineStr">
        <is>
          <t>VÄXJÖ</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61138-2024</t>
        </is>
      </c>
      <c r="B3187" s="1" t="n">
        <v>45645.58436342593</v>
      </c>
      <c r="C3187" s="1" t="n">
        <v>46103</v>
      </c>
      <c r="D3187" t="inlineStr">
        <is>
          <t>KRONOBERGS LÄN</t>
        </is>
      </c>
      <c r="E3187" t="inlineStr">
        <is>
          <t>LJUNGBY</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3239-2025</t>
        </is>
      </c>
      <c r="B3188" s="1" t="n">
        <v>45679.49787037037</v>
      </c>
      <c r="C3188" s="1" t="n">
        <v>46103</v>
      </c>
      <c r="D3188" t="inlineStr">
        <is>
          <t>KRONOBERGS LÄN</t>
        </is>
      </c>
      <c r="E3188" t="inlineStr">
        <is>
          <t>LESSEBO</t>
        </is>
      </c>
      <c r="F3188" t="inlineStr">
        <is>
          <t>Kommuner</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53196-2024</t>
        </is>
      </c>
      <c r="B3189" s="1" t="n">
        <v>45611.95675925926</v>
      </c>
      <c r="C3189" s="1" t="n">
        <v>46103</v>
      </c>
      <c r="D3189" t="inlineStr">
        <is>
          <t>KRONOBERGS LÄN</t>
        </is>
      </c>
      <c r="E3189" t="inlineStr">
        <is>
          <t>VÄXJÖ</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52130-2025</t>
        </is>
      </c>
      <c r="B3190" s="1" t="n">
        <v>45952.73761574074</v>
      </c>
      <c r="C3190" s="1" t="n">
        <v>46103</v>
      </c>
      <c r="D3190" t="inlineStr">
        <is>
          <t>KRONOBERGS LÄN</t>
        </is>
      </c>
      <c r="E3190" t="inlineStr">
        <is>
          <t>UPPVIDINGE</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3075-2026</t>
        </is>
      </c>
      <c r="B3191" s="1" t="n">
        <v>46040.75733796296</v>
      </c>
      <c r="C3191" s="1" t="n">
        <v>46103</v>
      </c>
      <c r="D3191" t="inlineStr">
        <is>
          <t>KRONOBERGS LÄN</t>
        </is>
      </c>
      <c r="E3191" t="inlineStr">
        <is>
          <t>UPPVIDINGE</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52146-2025</t>
        </is>
      </c>
      <c r="B3192" s="1" t="n">
        <v>45953.34363425926</v>
      </c>
      <c r="C3192" s="1" t="n">
        <v>46103</v>
      </c>
      <c r="D3192" t="inlineStr">
        <is>
          <t>KRONOBERGS LÄN</t>
        </is>
      </c>
      <c r="E3192" t="inlineStr">
        <is>
          <t>ÄLMHULT</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3019-2026</t>
        </is>
      </c>
      <c r="B3193" s="1" t="n">
        <v>46038</v>
      </c>
      <c r="C3193" s="1" t="n">
        <v>46103</v>
      </c>
      <c r="D3193" t="inlineStr">
        <is>
          <t>KRONOBERGS LÄN</t>
        </is>
      </c>
      <c r="E3193" t="inlineStr">
        <is>
          <t>TINGSRYD</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3024-2026</t>
        </is>
      </c>
      <c r="B3194" s="1" t="n">
        <v>46038</v>
      </c>
      <c r="C3194" s="1" t="n">
        <v>46103</v>
      </c>
      <c r="D3194" t="inlineStr">
        <is>
          <t>KRONOBERGS LÄN</t>
        </is>
      </c>
      <c r="E3194" t="inlineStr">
        <is>
          <t>TINGSRYD</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56936-2022</t>
        </is>
      </c>
      <c r="B3195" s="1" t="n">
        <v>44894.63579861111</v>
      </c>
      <c r="C3195" s="1" t="n">
        <v>46103</v>
      </c>
      <c r="D3195" t="inlineStr">
        <is>
          <t>KRONOBERGS LÄN</t>
        </is>
      </c>
      <c r="E3195" t="inlineStr">
        <is>
          <t>LJUNGBY</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683-2025</t>
        </is>
      </c>
      <c r="B3196" s="1" t="n">
        <v>45664.96449074074</v>
      </c>
      <c r="C3196" s="1" t="n">
        <v>46103</v>
      </c>
      <c r="D3196" t="inlineStr">
        <is>
          <t>KRONOBERGS LÄN</t>
        </is>
      </c>
      <c r="E3196" t="inlineStr">
        <is>
          <t>ALVESTA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51885-2025</t>
        </is>
      </c>
      <c r="B3197" s="1" t="n">
        <v>45952.40800925926</v>
      </c>
      <c r="C3197" s="1" t="n">
        <v>46103</v>
      </c>
      <c r="D3197" t="inlineStr">
        <is>
          <t>KRONOBERGS LÄN</t>
        </is>
      </c>
      <c r="E3197" t="inlineStr">
        <is>
          <t>ALVESTA</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4169-2023</t>
        </is>
      </c>
      <c r="B3198" s="1" t="n">
        <v>44951</v>
      </c>
      <c r="C3198" s="1" t="n">
        <v>46103</v>
      </c>
      <c r="D3198" t="inlineStr">
        <is>
          <t>KRONOBERGS LÄN</t>
        </is>
      </c>
      <c r="E3198" t="inlineStr">
        <is>
          <t>UPPVIDINGE</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52525-2023</t>
        </is>
      </c>
      <c r="B3199" s="1" t="n">
        <v>45225.51216435185</v>
      </c>
      <c r="C3199" s="1" t="n">
        <v>46103</v>
      </c>
      <c r="D3199" t="inlineStr">
        <is>
          <t>KRONOBERGS LÄN</t>
        </is>
      </c>
      <c r="E3199" t="inlineStr">
        <is>
          <t>LESSEBO</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26858-2023</t>
        </is>
      </c>
      <c r="B3200" s="1" t="n">
        <v>45093</v>
      </c>
      <c r="C3200" s="1" t="n">
        <v>46103</v>
      </c>
      <c r="D3200" t="inlineStr">
        <is>
          <t>KRONOBERGS LÄN</t>
        </is>
      </c>
      <c r="E3200" t="inlineStr">
        <is>
          <t>LJUNGBY</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55454-2023</t>
        </is>
      </c>
      <c r="B3201" s="1" t="n">
        <v>45238.45707175926</v>
      </c>
      <c r="C3201" s="1" t="n">
        <v>46103</v>
      </c>
      <c r="D3201" t="inlineStr">
        <is>
          <t>KRONOBERGS LÄN</t>
        </is>
      </c>
      <c r="E3201" t="inlineStr">
        <is>
          <t>TINGSRYD</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17527-2023</t>
        </is>
      </c>
      <c r="B3202" s="1" t="n">
        <v>45036</v>
      </c>
      <c r="C3202" s="1" t="n">
        <v>46103</v>
      </c>
      <c r="D3202" t="inlineStr">
        <is>
          <t>KRONOBERGS LÄN</t>
        </is>
      </c>
      <c r="E3202" t="inlineStr">
        <is>
          <t>TINGSRYD</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33059-2024</t>
        </is>
      </c>
      <c r="B3203" s="1" t="n">
        <v>45517</v>
      </c>
      <c r="C3203" s="1" t="n">
        <v>46103</v>
      </c>
      <c r="D3203" t="inlineStr">
        <is>
          <t>KRONOBERGS LÄN</t>
        </is>
      </c>
      <c r="E3203" t="inlineStr">
        <is>
          <t>ALVESTA</t>
        </is>
      </c>
      <c r="F3203" t="inlineStr">
        <is>
          <t>Kyrkan</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52028-2025</t>
        </is>
      </c>
      <c r="B3204" s="1" t="n">
        <v>45952.60530092593</v>
      </c>
      <c r="C3204" s="1" t="n">
        <v>46103</v>
      </c>
      <c r="D3204" t="inlineStr">
        <is>
          <t>KRONOBERGS LÄN</t>
        </is>
      </c>
      <c r="E3204" t="inlineStr">
        <is>
          <t>LESSEBO</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3005-2026</t>
        </is>
      </c>
      <c r="B3205" s="1" t="n">
        <v>46038</v>
      </c>
      <c r="C3205" s="1" t="n">
        <v>46103</v>
      </c>
      <c r="D3205" t="inlineStr">
        <is>
          <t>KRONOBERGS LÄN</t>
        </is>
      </c>
      <c r="E3205" t="inlineStr">
        <is>
          <t>TINGSRYD</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52217-2025</t>
        </is>
      </c>
      <c r="B3206" s="1" t="n">
        <v>45953.42959490741</v>
      </c>
      <c r="C3206" s="1" t="n">
        <v>46103</v>
      </c>
      <c r="D3206" t="inlineStr">
        <is>
          <t>KRONOBERGS LÄN</t>
        </is>
      </c>
      <c r="E3206" t="inlineStr">
        <is>
          <t>TINGSRYD</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19601-2025</t>
        </is>
      </c>
      <c r="B3207" s="1" t="n">
        <v>45770</v>
      </c>
      <c r="C3207" s="1" t="n">
        <v>46103</v>
      </c>
      <c r="D3207" t="inlineStr">
        <is>
          <t>KRONOBERGS LÄN</t>
        </is>
      </c>
      <c r="E3207" t="inlineStr">
        <is>
          <t>UPPVIDINGE</t>
        </is>
      </c>
      <c r="G3207" t="n">
        <v>10.7</v>
      </c>
      <c r="H3207" t="n">
        <v>0</v>
      </c>
      <c r="I3207" t="n">
        <v>0</v>
      </c>
      <c r="J3207" t="n">
        <v>0</v>
      </c>
      <c r="K3207" t="n">
        <v>0</v>
      </c>
      <c r="L3207" t="n">
        <v>0</v>
      </c>
      <c r="M3207" t="n">
        <v>0</v>
      </c>
      <c r="N3207" t="n">
        <v>0</v>
      </c>
      <c r="O3207" t="n">
        <v>0</v>
      </c>
      <c r="P3207" t="n">
        <v>0</v>
      </c>
      <c r="Q3207" t="n">
        <v>0</v>
      </c>
      <c r="R3207" s="2" t="inlineStr"/>
    </row>
    <row r="3208" ht="15" customHeight="1">
      <c r="A3208" t="inlineStr">
        <is>
          <t>A 31272-2023</t>
        </is>
      </c>
      <c r="B3208" s="1" t="n">
        <v>45114.39181712963</v>
      </c>
      <c r="C3208" s="1" t="n">
        <v>46103</v>
      </c>
      <c r="D3208" t="inlineStr">
        <is>
          <t>KRONOBERGS LÄN</t>
        </is>
      </c>
      <c r="E3208" t="inlineStr">
        <is>
          <t>ALVESTA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11331-2026</t>
        </is>
      </c>
      <c r="B3209" s="1" t="n">
        <v>46081.78733796296</v>
      </c>
      <c r="C3209" s="1" t="n">
        <v>46103</v>
      </c>
      <c r="D3209" t="inlineStr">
        <is>
          <t>KRONOBERGS LÄN</t>
        </is>
      </c>
      <c r="E3209" t="inlineStr">
        <is>
          <t>ALVESTA</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3086-2026</t>
        </is>
      </c>
      <c r="B3210" s="1" t="n">
        <v>46040.80876157407</v>
      </c>
      <c r="C3210" s="1" t="n">
        <v>46103</v>
      </c>
      <c r="D3210" t="inlineStr">
        <is>
          <t>KRONOBERGS LÄN</t>
        </is>
      </c>
      <c r="E3210" t="inlineStr">
        <is>
          <t>TINGSRYD</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60478-2023</t>
        </is>
      </c>
      <c r="B3211" s="1" t="n">
        <v>45259</v>
      </c>
      <c r="C3211" s="1" t="n">
        <v>46103</v>
      </c>
      <c r="D3211" t="inlineStr">
        <is>
          <t>KRONOBERGS LÄN</t>
        </is>
      </c>
      <c r="E3211" t="inlineStr">
        <is>
          <t>ALVESTA</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2740-2026</t>
        </is>
      </c>
      <c r="B3212" s="1" t="n">
        <v>46038.29952546296</v>
      </c>
      <c r="C3212" s="1" t="n">
        <v>46103</v>
      </c>
      <c r="D3212" t="inlineStr">
        <is>
          <t>KRONOBERGS LÄN</t>
        </is>
      </c>
      <c r="E3212" t="inlineStr">
        <is>
          <t>ÄLMHULT</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52760-2025</t>
        </is>
      </c>
      <c r="B3213" s="1" t="n">
        <v>45957.39579861111</v>
      </c>
      <c r="C3213" s="1" t="n">
        <v>46103</v>
      </c>
      <c r="D3213" t="inlineStr">
        <is>
          <t>KRONOBERGS LÄN</t>
        </is>
      </c>
      <c r="E3213" t="inlineStr">
        <is>
          <t>LJUNGBY</t>
        </is>
      </c>
      <c r="G3213" t="n">
        <v>7.6</v>
      </c>
      <c r="H3213" t="n">
        <v>0</v>
      </c>
      <c r="I3213" t="n">
        <v>0</v>
      </c>
      <c r="J3213" t="n">
        <v>0</v>
      </c>
      <c r="K3213" t="n">
        <v>0</v>
      </c>
      <c r="L3213" t="n">
        <v>0</v>
      </c>
      <c r="M3213" t="n">
        <v>0</v>
      </c>
      <c r="N3213" t="n">
        <v>0</v>
      </c>
      <c r="O3213" t="n">
        <v>0</v>
      </c>
      <c r="P3213" t="n">
        <v>0</v>
      </c>
      <c r="Q3213" t="n">
        <v>0</v>
      </c>
      <c r="R3213" s="2" t="inlineStr"/>
    </row>
    <row r="3214" ht="15" customHeight="1">
      <c r="A3214" t="inlineStr">
        <is>
          <t>A 43959-2022</t>
        </is>
      </c>
      <c r="B3214" s="1" t="n">
        <v>44838.60506944444</v>
      </c>
      <c r="C3214" s="1" t="n">
        <v>46103</v>
      </c>
      <c r="D3214" t="inlineStr">
        <is>
          <t>KRONOBERGS LÄN</t>
        </is>
      </c>
      <c r="E3214" t="inlineStr">
        <is>
          <t>ALVESTA</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52764-2025</t>
        </is>
      </c>
      <c r="B3215" s="1" t="n">
        <v>45957.39887731482</v>
      </c>
      <c r="C3215" s="1" t="n">
        <v>46103</v>
      </c>
      <c r="D3215" t="inlineStr">
        <is>
          <t>KRONOBERGS LÄN</t>
        </is>
      </c>
      <c r="E3215" t="inlineStr">
        <is>
          <t>LJUNGBY</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49000-2024</t>
        </is>
      </c>
      <c r="B3216" s="1" t="n">
        <v>45594.49349537037</v>
      </c>
      <c r="C3216" s="1" t="n">
        <v>46103</v>
      </c>
      <c r="D3216" t="inlineStr">
        <is>
          <t>KRONOBERGS LÄN</t>
        </is>
      </c>
      <c r="E3216" t="inlineStr">
        <is>
          <t>VÄXJÖ</t>
        </is>
      </c>
      <c r="F3216" t="inlineStr">
        <is>
          <t>Sveaskog</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49003-2024</t>
        </is>
      </c>
      <c r="B3217" s="1" t="n">
        <v>45594.49548611111</v>
      </c>
      <c r="C3217" s="1" t="n">
        <v>46103</v>
      </c>
      <c r="D3217" t="inlineStr">
        <is>
          <t>KRONOBERGS LÄN</t>
        </is>
      </c>
      <c r="E3217" t="inlineStr">
        <is>
          <t>VÄXJÖ</t>
        </is>
      </c>
      <c r="F3217" t="inlineStr">
        <is>
          <t>Sveaskog</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2860-2026</t>
        </is>
      </c>
      <c r="B3218" s="1" t="n">
        <v>46038.49296296296</v>
      </c>
      <c r="C3218" s="1" t="n">
        <v>46103</v>
      </c>
      <c r="D3218" t="inlineStr">
        <is>
          <t>KRONOBERGS LÄN</t>
        </is>
      </c>
      <c r="E3218" t="inlineStr">
        <is>
          <t>LJUNGBY</t>
        </is>
      </c>
      <c r="G3218" t="n">
        <v>5</v>
      </c>
      <c r="H3218" t="n">
        <v>0</v>
      </c>
      <c r="I3218" t="n">
        <v>0</v>
      </c>
      <c r="J3218" t="n">
        <v>0</v>
      </c>
      <c r="K3218" t="n">
        <v>0</v>
      </c>
      <c r="L3218" t="n">
        <v>0</v>
      </c>
      <c r="M3218" t="n">
        <v>0</v>
      </c>
      <c r="N3218" t="n">
        <v>0</v>
      </c>
      <c r="O3218" t="n">
        <v>0</v>
      </c>
      <c r="P3218" t="n">
        <v>0</v>
      </c>
      <c r="Q3218" t="n">
        <v>0</v>
      </c>
      <c r="R3218" s="2" t="inlineStr"/>
    </row>
    <row r="3219" ht="15" customHeight="1">
      <c r="A3219" t="inlineStr">
        <is>
          <t>A 40016-2024</t>
        </is>
      </c>
      <c r="B3219" s="1" t="n">
        <v>45553.66137731481</v>
      </c>
      <c r="C3219" s="1" t="n">
        <v>46103</v>
      </c>
      <c r="D3219" t="inlineStr">
        <is>
          <t>KRONOBERGS LÄN</t>
        </is>
      </c>
      <c r="E3219" t="inlineStr">
        <is>
          <t>TINGSRYD</t>
        </is>
      </c>
      <c r="F3219" t="inlineStr">
        <is>
          <t>Sveaskog</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52768-2025</t>
        </is>
      </c>
      <c r="B3220" s="1" t="n">
        <v>45957.40200231481</v>
      </c>
      <c r="C3220" s="1" t="n">
        <v>46103</v>
      </c>
      <c r="D3220" t="inlineStr">
        <is>
          <t>KRONOBERGS LÄN</t>
        </is>
      </c>
      <c r="E3220" t="inlineStr">
        <is>
          <t>LJUNGBY</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41055-2024</t>
        </is>
      </c>
      <c r="B3221" s="1" t="n">
        <v>45559.37751157407</v>
      </c>
      <c r="C3221" s="1" t="n">
        <v>46103</v>
      </c>
      <c r="D3221" t="inlineStr">
        <is>
          <t>KRONOBERGS LÄN</t>
        </is>
      </c>
      <c r="E3221" t="inlineStr">
        <is>
          <t>ÄLMHULT</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61637-2024</t>
        </is>
      </c>
      <c r="B3222" s="1" t="n">
        <v>45646.67726851852</v>
      </c>
      <c r="C3222" s="1" t="n">
        <v>46103</v>
      </c>
      <c r="D3222" t="inlineStr">
        <is>
          <t>KRONOBERGS LÄN</t>
        </is>
      </c>
      <c r="E3222" t="inlineStr">
        <is>
          <t>LJUNGBY</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58227-2024</t>
        </is>
      </c>
      <c r="B3223" s="1" t="n">
        <v>45632.51193287037</v>
      </c>
      <c r="C3223" s="1" t="n">
        <v>46103</v>
      </c>
      <c r="D3223" t="inlineStr">
        <is>
          <t>KRONOBERGS LÄN</t>
        </is>
      </c>
      <c r="E3223" t="inlineStr">
        <is>
          <t>LJUNGBY</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52557-2025</t>
        </is>
      </c>
      <c r="B3224" s="1" t="n">
        <v>45954.56895833334</v>
      </c>
      <c r="C3224" s="1" t="n">
        <v>46103</v>
      </c>
      <c r="D3224" t="inlineStr">
        <is>
          <t>KRONOBERGS LÄN</t>
        </is>
      </c>
      <c r="E3224" t="inlineStr">
        <is>
          <t>ALVESTA</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52407-2025</t>
        </is>
      </c>
      <c r="B3225" s="1" t="n">
        <v>45954.35844907408</v>
      </c>
      <c r="C3225" s="1" t="n">
        <v>46103</v>
      </c>
      <c r="D3225" t="inlineStr">
        <is>
          <t>KRONOBERGS LÄN</t>
        </is>
      </c>
      <c r="E3225" t="inlineStr">
        <is>
          <t>ÄLMHULT</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38812-2024</t>
        </is>
      </c>
      <c r="B3226" s="1" t="n">
        <v>45547.54277777778</v>
      </c>
      <c r="C3226" s="1" t="n">
        <v>46103</v>
      </c>
      <c r="D3226" t="inlineStr">
        <is>
          <t>KRONOBERGS LÄN</t>
        </is>
      </c>
      <c r="E3226" t="inlineStr">
        <is>
          <t>ÄLMHULT</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38854-2024</t>
        </is>
      </c>
      <c r="B3227" s="1" t="n">
        <v>45547.62391203704</v>
      </c>
      <c r="C3227" s="1" t="n">
        <v>46103</v>
      </c>
      <c r="D3227" t="inlineStr">
        <is>
          <t>KRONOBERGS LÄN</t>
        </is>
      </c>
      <c r="E3227" t="inlineStr">
        <is>
          <t>UPPVIDINGE</t>
        </is>
      </c>
      <c r="G3227" t="n">
        <v>0.2</v>
      </c>
      <c r="H3227" t="n">
        <v>0</v>
      </c>
      <c r="I3227" t="n">
        <v>0</v>
      </c>
      <c r="J3227" t="n">
        <v>0</v>
      </c>
      <c r="K3227" t="n">
        <v>0</v>
      </c>
      <c r="L3227" t="n">
        <v>0</v>
      </c>
      <c r="M3227" t="n">
        <v>0</v>
      </c>
      <c r="N3227" t="n">
        <v>0</v>
      </c>
      <c r="O3227" t="n">
        <v>0</v>
      </c>
      <c r="P3227" t="n">
        <v>0</v>
      </c>
      <c r="Q3227" t="n">
        <v>0</v>
      </c>
      <c r="R3227" s="2" t="inlineStr"/>
    </row>
    <row r="3228" ht="15" customHeight="1">
      <c r="A3228" t="inlineStr">
        <is>
          <t>A 38855-2024</t>
        </is>
      </c>
      <c r="B3228" s="1" t="n">
        <v>45547.62475694445</v>
      </c>
      <c r="C3228" s="1" t="n">
        <v>46103</v>
      </c>
      <c r="D3228" t="inlineStr">
        <is>
          <t>KRONOBERGS LÄN</t>
        </is>
      </c>
      <c r="E3228" t="inlineStr">
        <is>
          <t>UPPVIDINGE</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38899-2024</t>
        </is>
      </c>
      <c r="B3229" s="1" t="n">
        <v>45547.69391203704</v>
      </c>
      <c r="C3229" s="1" t="n">
        <v>46103</v>
      </c>
      <c r="D3229" t="inlineStr">
        <is>
          <t>KRONOBERGS LÄN</t>
        </is>
      </c>
      <c r="E3229" t="inlineStr">
        <is>
          <t>ALVESTA</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52758-2025</t>
        </is>
      </c>
      <c r="B3230" s="1" t="n">
        <v>45957.39263888889</v>
      </c>
      <c r="C3230" s="1" t="n">
        <v>46103</v>
      </c>
      <c r="D3230" t="inlineStr">
        <is>
          <t>KRONOBERGS LÄN</t>
        </is>
      </c>
      <c r="E3230" t="inlineStr">
        <is>
          <t>LJUNGBY</t>
        </is>
      </c>
      <c r="G3230" t="n">
        <v>5.2</v>
      </c>
      <c r="H3230" t="n">
        <v>0</v>
      </c>
      <c r="I3230" t="n">
        <v>0</v>
      </c>
      <c r="J3230" t="n">
        <v>0</v>
      </c>
      <c r="K3230" t="n">
        <v>0</v>
      </c>
      <c r="L3230" t="n">
        <v>0</v>
      </c>
      <c r="M3230" t="n">
        <v>0</v>
      </c>
      <c r="N3230" t="n">
        <v>0</v>
      </c>
      <c r="O3230" t="n">
        <v>0</v>
      </c>
      <c r="P3230" t="n">
        <v>0</v>
      </c>
      <c r="Q3230" t="n">
        <v>0</v>
      </c>
      <c r="R3230" s="2" t="inlineStr"/>
    </row>
    <row r="3231" ht="15" customHeight="1">
      <c r="A3231" t="inlineStr">
        <is>
          <t>A 52727-2025</t>
        </is>
      </c>
      <c r="B3231" s="1" t="n">
        <v>45957.3540162037</v>
      </c>
      <c r="C3231" s="1" t="n">
        <v>46103</v>
      </c>
      <c r="D3231" t="inlineStr">
        <is>
          <t>KRONOBERGS LÄN</t>
        </is>
      </c>
      <c r="E3231" t="inlineStr">
        <is>
          <t>UPPVIDINGE</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48959-2024</t>
        </is>
      </c>
      <c r="B3232" s="1" t="n">
        <v>45594.44408564815</v>
      </c>
      <c r="C3232" s="1" t="n">
        <v>46103</v>
      </c>
      <c r="D3232" t="inlineStr">
        <is>
          <t>KRONOBERGS LÄN</t>
        </is>
      </c>
      <c r="E3232" t="inlineStr">
        <is>
          <t>ÄLMHULT</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11456-2026</t>
        </is>
      </c>
      <c r="B3233" s="1" t="n">
        <v>46083.56542824074</v>
      </c>
      <c r="C3233" s="1" t="n">
        <v>46103</v>
      </c>
      <c r="D3233" t="inlineStr">
        <is>
          <t>KRONOBERGS LÄN</t>
        </is>
      </c>
      <c r="E3233" t="inlineStr">
        <is>
          <t>VÄXJÖ</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11492-2026</t>
        </is>
      </c>
      <c r="B3234" s="1" t="n">
        <v>46083.63700231481</v>
      </c>
      <c r="C3234" s="1" t="n">
        <v>46103</v>
      </c>
      <c r="D3234" t="inlineStr">
        <is>
          <t>KRONOBERGS LÄN</t>
        </is>
      </c>
      <c r="E3234" t="inlineStr">
        <is>
          <t>VÄXJÖ</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52876-2025</t>
        </is>
      </c>
      <c r="B3235" s="1" t="n">
        <v>45954</v>
      </c>
      <c r="C3235" s="1" t="n">
        <v>46103</v>
      </c>
      <c r="D3235" t="inlineStr">
        <is>
          <t>KRONOBERGS LÄN</t>
        </is>
      </c>
      <c r="E3235" t="inlineStr">
        <is>
          <t>VÄXJÖ</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52742-2025</t>
        </is>
      </c>
      <c r="B3236" s="1" t="n">
        <v>45957.37876157407</v>
      </c>
      <c r="C3236" s="1" t="n">
        <v>46103</v>
      </c>
      <c r="D3236" t="inlineStr">
        <is>
          <t>KRONOBERGS LÄN</t>
        </is>
      </c>
      <c r="E3236" t="inlineStr">
        <is>
          <t>UPPVIDINGE</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3137-2026</t>
        </is>
      </c>
      <c r="B3237" s="1" t="n">
        <v>46041.39855324074</v>
      </c>
      <c r="C3237" s="1" t="n">
        <v>46103</v>
      </c>
      <c r="D3237" t="inlineStr">
        <is>
          <t>KRONOBERGS LÄN</t>
        </is>
      </c>
      <c r="E3237" t="inlineStr">
        <is>
          <t>VÄXJÖ</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32427-2024</t>
        </is>
      </c>
      <c r="B3238" s="1" t="n">
        <v>45512</v>
      </c>
      <c r="C3238" s="1" t="n">
        <v>46103</v>
      </c>
      <c r="D3238" t="inlineStr">
        <is>
          <t>KRONOBERGS LÄN</t>
        </is>
      </c>
      <c r="E3238" t="inlineStr">
        <is>
          <t>MARKARYD</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39042-2025</t>
        </is>
      </c>
      <c r="B3239" s="1" t="n">
        <v>45888</v>
      </c>
      <c r="C3239" s="1" t="n">
        <v>46103</v>
      </c>
      <c r="D3239" t="inlineStr">
        <is>
          <t>KRONOBERGS LÄN</t>
        </is>
      </c>
      <c r="E3239" t="inlineStr">
        <is>
          <t>LJUNGBY</t>
        </is>
      </c>
      <c r="G3239" t="n">
        <v>6.4</v>
      </c>
      <c r="H3239" t="n">
        <v>0</v>
      </c>
      <c r="I3239" t="n">
        <v>0</v>
      </c>
      <c r="J3239" t="n">
        <v>0</v>
      </c>
      <c r="K3239" t="n">
        <v>0</v>
      </c>
      <c r="L3239" t="n">
        <v>0</v>
      </c>
      <c r="M3239" t="n">
        <v>0</v>
      </c>
      <c r="N3239" t="n">
        <v>0</v>
      </c>
      <c r="O3239" t="n">
        <v>0</v>
      </c>
      <c r="P3239" t="n">
        <v>0</v>
      </c>
      <c r="Q3239" t="n">
        <v>0</v>
      </c>
      <c r="R3239" s="2" t="inlineStr"/>
    </row>
    <row r="3240" ht="15" customHeight="1">
      <c r="A3240" t="inlineStr">
        <is>
          <t>A 18737-2025</t>
        </is>
      </c>
      <c r="B3240" s="1" t="n">
        <v>45763.68868055556</v>
      </c>
      <c r="C3240" s="1" t="n">
        <v>46103</v>
      </c>
      <c r="D3240" t="inlineStr">
        <is>
          <t>KRONOBERGS LÄN</t>
        </is>
      </c>
      <c r="E3240" t="inlineStr">
        <is>
          <t>UPPVIDINGE</t>
        </is>
      </c>
      <c r="F3240" t="inlineStr">
        <is>
          <t>Sveaskog</t>
        </is>
      </c>
      <c r="G3240" t="n">
        <v>13.4</v>
      </c>
      <c r="H3240" t="n">
        <v>0</v>
      </c>
      <c r="I3240" t="n">
        <v>0</v>
      </c>
      <c r="J3240" t="n">
        <v>0</v>
      </c>
      <c r="K3240" t="n">
        <v>0</v>
      </c>
      <c r="L3240" t="n">
        <v>0</v>
      </c>
      <c r="M3240" t="n">
        <v>0</v>
      </c>
      <c r="N3240" t="n">
        <v>0</v>
      </c>
      <c r="O3240" t="n">
        <v>0</v>
      </c>
      <c r="P3240" t="n">
        <v>0</v>
      </c>
      <c r="Q3240" t="n">
        <v>0</v>
      </c>
      <c r="R3240" s="2" t="inlineStr"/>
    </row>
    <row r="3241" ht="15" customHeight="1">
      <c r="A3241" t="inlineStr">
        <is>
          <t>A 18738-2025</t>
        </is>
      </c>
      <c r="B3241" s="1" t="n">
        <v>45763.69137731481</v>
      </c>
      <c r="C3241" s="1" t="n">
        <v>46103</v>
      </c>
      <c r="D3241" t="inlineStr">
        <is>
          <t>KRONOBERGS LÄN</t>
        </is>
      </c>
      <c r="E3241" t="inlineStr">
        <is>
          <t>UPPVIDINGE</t>
        </is>
      </c>
      <c r="F3241" t="inlineStr">
        <is>
          <t>Sveaskog</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6495-2024</t>
        </is>
      </c>
      <c r="B3242" s="1" t="n">
        <v>45339.66177083334</v>
      </c>
      <c r="C3242" s="1" t="n">
        <v>46103</v>
      </c>
      <c r="D3242" t="inlineStr">
        <is>
          <t>KRONOBERGS LÄN</t>
        </is>
      </c>
      <c r="E3242" t="inlineStr">
        <is>
          <t>LJUNGBY</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2750-2026</t>
        </is>
      </c>
      <c r="B3243" s="1" t="n">
        <v>46038.32458333333</v>
      </c>
      <c r="C3243" s="1" t="n">
        <v>46103</v>
      </c>
      <c r="D3243" t="inlineStr">
        <is>
          <t>KRONOBERGS LÄN</t>
        </is>
      </c>
      <c r="E3243" t="inlineStr">
        <is>
          <t>ÄLMHULT</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2751-2026</t>
        </is>
      </c>
      <c r="B3244" s="1" t="n">
        <v>46038.32899305555</v>
      </c>
      <c r="C3244" s="1" t="n">
        <v>46103</v>
      </c>
      <c r="D3244" t="inlineStr">
        <is>
          <t>KRONOBERGS LÄN</t>
        </is>
      </c>
      <c r="E3244" t="inlineStr">
        <is>
          <t>ÄLMHULT</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52537-2025</t>
        </is>
      </c>
      <c r="B3245" s="1" t="n">
        <v>45954.54431712963</v>
      </c>
      <c r="C3245" s="1" t="n">
        <v>46103</v>
      </c>
      <c r="D3245" t="inlineStr">
        <is>
          <t>KRONOBERGS LÄN</t>
        </is>
      </c>
      <c r="E3245" t="inlineStr">
        <is>
          <t>LESSEBO</t>
        </is>
      </c>
      <c r="F3245" t="inlineStr">
        <is>
          <t>Sveaskog</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3113-2026</t>
        </is>
      </c>
      <c r="B3246" s="1" t="n">
        <v>46041.36222222223</v>
      </c>
      <c r="C3246" s="1" t="n">
        <v>46103</v>
      </c>
      <c r="D3246" t="inlineStr">
        <is>
          <t>KRONOBERGS LÄN</t>
        </is>
      </c>
      <c r="E3246" t="inlineStr">
        <is>
          <t>ÄLMHULT</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3307-2024</t>
        </is>
      </c>
      <c r="B3247" s="1" t="n">
        <v>45317</v>
      </c>
      <c r="C3247" s="1" t="n">
        <v>46103</v>
      </c>
      <c r="D3247" t="inlineStr">
        <is>
          <t>KRONOBERGS LÄN</t>
        </is>
      </c>
      <c r="E3247" t="inlineStr">
        <is>
          <t>ÄLMHULT</t>
        </is>
      </c>
      <c r="G3247" t="n">
        <v>9.1</v>
      </c>
      <c r="H3247" t="n">
        <v>0</v>
      </c>
      <c r="I3247" t="n">
        <v>0</v>
      </c>
      <c r="J3247" t="n">
        <v>0</v>
      </c>
      <c r="K3247" t="n">
        <v>0</v>
      </c>
      <c r="L3247" t="n">
        <v>0</v>
      </c>
      <c r="M3247" t="n">
        <v>0</v>
      </c>
      <c r="N3247" t="n">
        <v>0</v>
      </c>
      <c r="O3247" t="n">
        <v>0</v>
      </c>
      <c r="P3247" t="n">
        <v>0</v>
      </c>
      <c r="Q3247" t="n">
        <v>0</v>
      </c>
      <c r="R3247" s="2" t="inlineStr"/>
    </row>
    <row r="3248" ht="15" customHeight="1">
      <c r="A3248" t="inlineStr">
        <is>
          <t>A 3029-2026</t>
        </is>
      </c>
      <c r="B3248" s="1" t="n">
        <v>46038</v>
      </c>
      <c r="C3248" s="1" t="n">
        <v>46103</v>
      </c>
      <c r="D3248" t="inlineStr">
        <is>
          <t>KRONOBERGS LÄN</t>
        </is>
      </c>
      <c r="E3248" t="inlineStr">
        <is>
          <t>TINGSRYD</t>
        </is>
      </c>
      <c r="F3248" t="inlineStr">
        <is>
          <t>Kyrkan</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52531-2025</t>
        </is>
      </c>
      <c r="B3249" s="1" t="n">
        <v>45954.53825231481</v>
      </c>
      <c r="C3249" s="1" t="n">
        <v>46103</v>
      </c>
      <c r="D3249" t="inlineStr">
        <is>
          <t>KRONOBERGS LÄN</t>
        </is>
      </c>
      <c r="E3249" t="inlineStr">
        <is>
          <t>LESSEBO</t>
        </is>
      </c>
      <c r="F3249" t="inlineStr">
        <is>
          <t>Sveaskog</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52532-2025</t>
        </is>
      </c>
      <c r="B3250" s="1" t="n">
        <v>45954.53956018519</v>
      </c>
      <c r="C3250" s="1" t="n">
        <v>46103</v>
      </c>
      <c r="D3250" t="inlineStr">
        <is>
          <t>KRONOBERGS LÄN</t>
        </is>
      </c>
      <c r="E3250" t="inlineStr">
        <is>
          <t>LESSEBO</t>
        </is>
      </c>
      <c r="F3250" t="inlineStr">
        <is>
          <t>Sveaskog</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3842-2026</t>
        </is>
      </c>
      <c r="B3251" s="1" t="n">
        <v>46043.59914351852</v>
      </c>
      <c r="C3251" s="1" t="n">
        <v>46103</v>
      </c>
      <c r="D3251" t="inlineStr">
        <is>
          <t>KRONOBERGS LÄN</t>
        </is>
      </c>
      <c r="E3251" t="inlineStr">
        <is>
          <t>TINGSRYD</t>
        </is>
      </c>
      <c r="F3251" t="inlineStr">
        <is>
          <t>Kommuner</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64685-2023</t>
        </is>
      </c>
      <c r="B3252" s="1" t="n">
        <v>45281.62967592593</v>
      </c>
      <c r="C3252" s="1" t="n">
        <v>46103</v>
      </c>
      <c r="D3252" t="inlineStr">
        <is>
          <t>KRONOBERGS LÄN</t>
        </is>
      </c>
      <c r="E3252" t="inlineStr">
        <is>
          <t>VÄXJÖ</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52988-2025</t>
        </is>
      </c>
      <c r="B3253" s="1" t="n">
        <v>45957</v>
      </c>
      <c r="C3253" s="1" t="n">
        <v>46103</v>
      </c>
      <c r="D3253" t="inlineStr">
        <is>
          <t>KRONOBERGS LÄN</t>
        </is>
      </c>
      <c r="E3253" t="inlineStr">
        <is>
          <t>VÄXJÖ</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4799-2025</t>
        </is>
      </c>
      <c r="B3254" s="1" t="n">
        <v>45688.58755787037</v>
      </c>
      <c r="C3254" s="1" t="n">
        <v>46103</v>
      </c>
      <c r="D3254" t="inlineStr">
        <is>
          <t>KRONOBERGS LÄN</t>
        </is>
      </c>
      <c r="E3254" t="inlineStr">
        <is>
          <t>UPPVIDINGE</t>
        </is>
      </c>
      <c r="F3254" t="inlineStr">
        <is>
          <t>Sveaskog</t>
        </is>
      </c>
      <c r="G3254" t="n">
        <v>6.8</v>
      </c>
      <c r="H3254" t="n">
        <v>0</v>
      </c>
      <c r="I3254" t="n">
        <v>0</v>
      </c>
      <c r="J3254" t="n">
        <v>0</v>
      </c>
      <c r="K3254" t="n">
        <v>0</v>
      </c>
      <c r="L3254" t="n">
        <v>0</v>
      </c>
      <c r="M3254" t="n">
        <v>0</v>
      </c>
      <c r="N3254" t="n">
        <v>0</v>
      </c>
      <c r="O3254" t="n">
        <v>0</v>
      </c>
      <c r="P3254" t="n">
        <v>0</v>
      </c>
      <c r="Q3254" t="n">
        <v>0</v>
      </c>
      <c r="R3254" s="2" t="inlineStr"/>
    </row>
    <row r="3255" ht="15" customHeight="1">
      <c r="A3255" t="inlineStr">
        <is>
          <t>A 51191-2023</t>
        </is>
      </c>
      <c r="B3255" s="1" t="n">
        <v>45219.41258101852</v>
      </c>
      <c r="C3255" s="1" t="n">
        <v>46103</v>
      </c>
      <c r="D3255" t="inlineStr">
        <is>
          <t>KRONOBERGS LÄN</t>
        </is>
      </c>
      <c r="E3255" t="inlineStr">
        <is>
          <t>LESSEBO</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54602-2024</t>
        </is>
      </c>
      <c r="B3256" s="1" t="n">
        <v>45617.68131944445</v>
      </c>
      <c r="C3256" s="1" t="n">
        <v>46103</v>
      </c>
      <c r="D3256" t="inlineStr">
        <is>
          <t>KRONOBERGS LÄN</t>
        </is>
      </c>
      <c r="E3256" t="inlineStr">
        <is>
          <t>LJUNGBY</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51240-2023</t>
        </is>
      </c>
      <c r="B3257" s="1" t="n">
        <v>45219</v>
      </c>
      <c r="C3257" s="1" t="n">
        <v>46103</v>
      </c>
      <c r="D3257" t="inlineStr">
        <is>
          <t>KRONOBERGS LÄN</t>
        </is>
      </c>
      <c r="E3257" t="inlineStr">
        <is>
          <t>MARKARYD</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52837-2025</t>
        </is>
      </c>
      <c r="B3258" s="1" t="n">
        <v>45957.47314814815</v>
      </c>
      <c r="C3258" s="1" t="n">
        <v>46103</v>
      </c>
      <c r="D3258" t="inlineStr">
        <is>
          <t>KRONOBERGS LÄN</t>
        </is>
      </c>
      <c r="E3258" t="inlineStr">
        <is>
          <t>ALVESTA</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4761-2024</t>
        </is>
      </c>
      <c r="B3259" s="1" t="n">
        <v>45328</v>
      </c>
      <c r="C3259" s="1" t="n">
        <v>46103</v>
      </c>
      <c r="D3259" t="inlineStr">
        <is>
          <t>KRONOBERGS LÄN</t>
        </is>
      </c>
      <c r="E3259" t="inlineStr">
        <is>
          <t>LJUNGBY</t>
        </is>
      </c>
      <c r="G3259" t="n">
        <v>51</v>
      </c>
      <c r="H3259" t="n">
        <v>0</v>
      </c>
      <c r="I3259" t="n">
        <v>0</v>
      </c>
      <c r="J3259" t="n">
        <v>0</v>
      </c>
      <c r="K3259" t="n">
        <v>0</v>
      </c>
      <c r="L3259" t="n">
        <v>0</v>
      </c>
      <c r="M3259" t="n">
        <v>0</v>
      </c>
      <c r="N3259" t="n">
        <v>0</v>
      </c>
      <c r="O3259" t="n">
        <v>0</v>
      </c>
      <c r="P3259" t="n">
        <v>0</v>
      </c>
      <c r="Q3259" t="n">
        <v>0</v>
      </c>
      <c r="R3259" s="2" t="inlineStr"/>
    </row>
    <row r="3260" ht="15" customHeight="1">
      <c r="A3260" t="inlineStr">
        <is>
          <t>A 42948-2025</t>
        </is>
      </c>
      <c r="B3260" s="1" t="n">
        <v>45909</v>
      </c>
      <c r="C3260" s="1" t="n">
        <v>46103</v>
      </c>
      <c r="D3260" t="inlineStr">
        <is>
          <t>KRONOBERGS LÄN</t>
        </is>
      </c>
      <c r="E3260" t="inlineStr">
        <is>
          <t>UPPVIDINGE</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52546-2025</t>
        </is>
      </c>
      <c r="B3261" s="1" t="n">
        <v>45954.55186342593</v>
      </c>
      <c r="C3261" s="1" t="n">
        <v>46103</v>
      </c>
      <c r="D3261" t="inlineStr">
        <is>
          <t>KRONOBERGS LÄN</t>
        </is>
      </c>
      <c r="E3261" t="inlineStr">
        <is>
          <t>LESSEBO</t>
        </is>
      </c>
      <c r="F3261" t="inlineStr">
        <is>
          <t>Sveaskog</t>
        </is>
      </c>
      <c r="G3261" t="n">
        <v>5.4</v>
      </c>
      <c r="H3261" t="n">
        <v>0</v>
      </c>
      <c r="I3261" t="n">
        <v>0</v>
      </c>
      <c r="J3261" t="n">
        <v>0</v>
      </c>
      <c r="K3261" t="n">
        <v>0</v>
      </c>
      <c r="L3261" t="n">
        <v>0</v>
      </c>
      <c r="M3261" t="n">
        <v>0</v>
      </c>
      <c r="N3261" t="n">
        <v>0</v>
      </c>
      <c r="O3261" t="n">
        <v>0</v>
      </c>
      <c r="P3261" t="n">
        <v>0</v>
      </c>
      <c r="Q3261" t="n">
        <v>0</v>
      </c>
      <c r="R3261" s="2" t="inlineStr"/>
    </row>
    <row r="3262" ht="15" customHeight="1">
      <c r="A3262" t="inlineStr">
        <is>
          <t>A 2310-2025</t>
        </is>
      </c>
      <c r="B3262" s="1" t="n">
        <v>45673.60282407407</v>
      </c>
      <c r="C3262" s="1" t="n">
        <v>46103</v>
      </c>
      <c r="D3262" t="inlineStr">
        <is>
          <t>KRONOBERGS LÄN</t>
        </is>
      </c>
      <c r="E3262" t="inlineStr">
        <is>
          <t>ALVESTA</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23832-2023</t>
        </is>
      </c>
      <c r="B3263" s="1" t="n">
        <v>45078.43299768519</v>
      </c>
      <c r="C3263" s="1" t="n">
        <v>46103</v>
      </c>
      <c r="D3263" t="inlineStr">
        <is>
          <t>KRONOBERGS LÄN</t>
        </is>
      </c>
      <c r="E3263" t="inlineStr">
        <is>
          <t>ÄLMHULT</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23833-2023</t>
        </is>
      </c>
      <c r="B3264" s="1" t="n">
        <v>45078.43392361111</v>
      </c>
      <c r="C3264" s="1" t="n">
        <v>46103</v>
      </c>
      <c r="D3264" t="inlineStr">
        <is>
          <t>KRONOBERGS LÄN</t>
        </is>
      </c>
      <c r="E3264" t="inlineStr">
        <is>
          <t>ÄLMHULT</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52560-2025</t>
        </is>
      </c>
      <c r="B3265" s="1" t="n">
        <v>45954.56961805555</v>
      </c>
      <c r="C3265" s="1" t="n">
        <v>46103</v>
      </c>
      <c r="D3265" t="inlineStr">
        <is>
          <t>KRONOBERGS LÄN</t>
        </is>
      </c>
      <c r="E3265" t="inlineStr">
        <is>
          <t>ALVESTA</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52534-2025</t>
        </is>
      </c>
      <c r="B3266" s="1" t="n">
        <v>45954.54306712963</v>
      </c>
      <c r="C3266" s="1" t="n">
        <v>46103</v>
      </c>
      <c r="D3266" t="inlineStr">
        <is>
          <t>KRONOBERGS LÄN</t>
        </is>
      </c>
      <c r="E3266" t="inlineStr">
        <is>
          <t>LESSEBO</t>
        </is>
      </c>
      <c r="F3266" t="inlineStr">
        <is>
          <t>Sveaskog</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26825-2023</t>
        </is>
      </c>
      <c r="B3267" s="1" t="n">
        <v>45093</v>
      </c>
      <c r="C3267" s="1" t="n">
        <v>46103</v>
      </c>
      <c r="D3267" t="inlineStr">
        <is>
          <t>KRONOBERGS LÄN</t>
        </is>
      </c>
      <c r="E3267" t="inlineStr">
        <is>
          <t>UPPVIDINGE</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47427-2023</t>
        </is>
      </c>
      <c r="B3268" s="1" t="n">
        <v>45197</v>
      </c>
      <c r="C3268" s="1" t="n">
        <v>46103</v>
      </c>
      <c r="D3268" t="inlineStr">
        <is>
          <t>KRONOBERGS LÄN</t>
        </is>
      </c>
      <c r="E3268" t="inlineStr">
        <is>
          <t>LJUNGBY</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28640-2023</t>
        </is>
      </c>
      <c r="B3269" s="1" t="n">
        <v>45103</v>
      </c>
      <c r="C3269" s="1" t="n">
        <v>46103</v>
      </c>
      <c r="D3269" t="inlineStr">
        <is>
          <t>KRONOBERGS LÄN</t>
        </is>
      </c>
      <c r="E3269" t="inlineStr">
        <is>
          <t>TINGSRYD</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3597-2026</t>
        </is>
      </c>
      <c r="B3270" s="1" t="n">
        <v>46042.80094907407</v>
      </c>
      <c r="C3270" s="1" t="n">
        <v>46103</v>
      </c>
      <c r="D3270" t="inlineStr">
        <is>
          <t>KRONOBERGS LÄN</t>
        </is>
      </c>
      <c r="E3270" t="inlineStr">
        <is>
          <t>MARKARYD</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59513-2023</t>
        </is>
      </c>
      <c r="B3271" s="1" t="n">
        <v>45254.48444444445</v>
      </c>
      <c r="C3271" s="1" t="n">
        <v>46103</v>
      </c>
      <c r="D3271" t="inlineStr">
        <is>
          <t>KRONOBERGS LÄN</t>
        </is>
      </c>
      <c r="E3271" t="inlineStr">
        <is>
          <t>ÄLMHULT</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53079-2025</t>
        </is>
      </c>
      <c r="B3272" s="1" t="n">
        <v>45958</v>
      </c>
      <c r="C3272" s="1" t="n">
        <v>46103</v>
      </c>
      <c r="D3272" t="inlineStr">
        <is>
          <t>KRONOBERGS LÄN</t>
        </is>
      </c>
      <c r="E3272" t="inlineStr">
        <is>
          <t>ALVESTA</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3838-2026</t>
        </is>
      </c>
      <c r="B3273" s="1" t="n">
        <v>46043.59380787037</v>
      </c>
      <c r="C3273" s="1" t="n">
        <v>46103</v>
      </c>
      <c r="D3273" t="inlineStr">
        <is>
          <t>KRONOBERGS LÄN</t>
        </is>
      </c>
      <c r="E3273" t="inlineStr">
        <is>
          <t>TINGSRYD</t>
        </is>
      </c>
      <c r="F3273" t="inlineStr">
        <is>
          <t>Kommuner</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53047-2025</t>
        </is>
      </c>
      <c r="B3274" s="1" t="n">
        <v>45958</v>
      </c>
      <c r="C3274" s="1" t="n">
        <v>46103</v>
      </c>
      <c r="D3274" t="inlineStr">
        <is>
          <t>KRONOBERGS LÄN</t>
        </is>
      </c>
      <c r="E3274" t="inlineStr">
        <is>
          <t>LJUNGBY</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62361-2022</t>
        </is>
      </c>
      <c r="B3275" s="1" t="n">
        <v>44923</v>
      </c>
      <c r="C3275" s="1" t="n">
        <v>46103</v>
      </c>
      <c r="D3275" t="inlineStr">
        <is>
          <t>KRONOBERGS LÄN</t>
        </is>
      </c>
      <c r="E3275" t="inlineStr">
        <is>
          <t>LJUNGBY</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53120-2025</t>
        </is>
      </c>
      <c r="B3276" s="1" t="n">
        <v>45958.44938657407</v>
      </c>
      <c r="C3276" s="1" t="n">
        <v>46103</v>
      </c>
      <c r="D3276" t="inlineStr">
        <is>
          <t>KRONOBERGS LÄN</t>
        </is>
      </c>
      <c r="E3276" t="inlineStr">
        <is>
          <t>LESSEBO</t>
        </is>
      </c>
      <c r="G3276" t="n">
        <v>4.7</v>
      </c>
      <c r="H3276" t="n">
        <v>0</v>
      </c>
      <c r="I3276" t="n">
        <v>0</v>
      </c>
      <c r="J3276" t="n">
        <v>0</v>
      </c>
      <c r="K3276" t="n">
        <v>0</v>
      </c>
      <c r="L3276" t="n">
        <v>0</v>
      </c>
      <c r="M3276" t="n">
        <v>0</v>
      </c>
      <c r="N3276" t="n">
        <v>0</v>
      </c>
      <c r="O3276" t="n">
        <v>0</v>
      </c>
      <c r="P3276" t="n">
        <v>0</v>
      </c>
      <c r="Q3276" t="n">
        <v>0</v>
      </c>
      <c r="R3276" s="2" t="inlineStr"/>
    </row>
    <row r="3277" ht="15" customHeight="1">
      <c r="A3277" t="inlineStr">
        <is>
          <t>A 53122-2025</t>
        </is>
      </c>
      <c r="B3277" s="1" t="n">
        <v>45958</v>
      </c>
      <c r="C3277" s="1" t="n">
        <v>46103</v>
      </c>
      <c r="D3277" t="inlineStr">
        <is>
          <t>KRONOBERGS LÄN</t>
        </is>
      </c>
      <c r="E3277" t="inlineStr">
        <is>
          <t>LESSEBO</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19495-2021</t>
        </is>
      </c>
      <c r="B3278" s="1" t="n">
        <v>44308</v>
      </c>
      <c r="C3278" s="1" t="n">
        <v>46103</v>
      </c>
      <c r="D3278" t="inlineStr">
        <is>
          <t>KRONOBERGS LÄN</t>
        </is>
      </c>
      <c r="E3278" t="inlineStr">
        <is>
          <t>VÄXJÖ</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56467-2024</t>
        </is>
      </c>
      <c r="B3279" s="1" t="n">
        <v>45625.45383101852</v>
      </c>
      <c r="C3279" s="1" t="n">
        <v>46103</v>
      </c>
      <c r="D3279" t="inlineStr">
        <is>
          <t>KRONOBERGS LÄN</t>
        </is>
      </c>
      <c r="E3279" t="inlineStr">
        <is>
          <t>LESSEBO</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6669-2025</t>
        </is>
      </c>
      <c r="B3280" s="1" t="n">
        <v>45700.4653587963</v>
      </c>
      <c r="C3280" s="1" t="n">
        <v>46103</v>
      </c>
      <c r="D3280" t="inlineStr">
        <is>
          <t>KRONOBERGS LÄN</t>
        </is>
      </c>
      <c r="E3280" t="inlineStr">
        <is>
          <t>TINGSRYD</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61820-2022</t>
        </is>
      </c>
      <c r="B3281" s="1" t="n">
        <v>44917.58131944444</v>
      </c>
      <c r="C3281" s="1" t="n">
        <v>46103</v>
      </c>
      <c r="D3281" t="inlineStr">
        <is>
          <t>KRONOBERGS LÄN</t>
        </is>
      </c>
      <c r="E3281" t="inlineStr">
        <is>
          <t>UPPVIDINGE</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6695-2025</t>
        </is>
      </c>
      <c r="B3282" s="1" t="n">
        <v>45700.51605324074</v>
      </c>
      <c r="C3282" s="1" t="n">
        <v>46103</v>
      </c>
      <c r="D3282" t="inlineStr">
        <is>
          <t>KRONOBERGS LÄN</t>
        </is>
      </c>
      <c r="E3282" t="inlineStr">
        <is>
          <t>LJUNGBY</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11600-2026</t>
        </is>
      </c>
      <c r="B3283" s="1" t="n">
        <v>46084.43016203704</v>
      </c>
      <c r="C3283" s="1" t="n">
        <v>46103</v>
      </c>
      <c r="D3283" t="inlineStr">
        <is>
          <t>KRONOBERGS LÄN</t>
        </is>
      </c>
      <c r="E3283" t="inlineStr">
        <is>
          <t>ALVESTA</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26311-2025</t>
        </is>
      </c>
      <c r="B3284" s="1" t="n">
        <v>45805.65516203704</v>
      </c>
      <c r="C3284" s="1" t="n">
        <v>46103</v>
      </c>
      <c r="D3284" t="inlineStr">
        <is>
          <t>KRONOBERGS LÄN</t>
        </is>
      </c>
      <c r="E3284" t="inlineStr">
        <is>
          <t>TINGSRYD</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26072-2025</t>
        </is>
      </c>
      <c r="B3285" s="1" t="n">
        <v>45805</v>
      </c>
      <c r="C3285" s="1" t="n">
        <v>46103</v>
      </c>
      <c r="D3285" t="inlineStr">
        <is>
          <t>KRONOBERGS LÄN</t>
        </is>
      </c>
      <c r="E3285" t="inlineStr">
        <is>
          <t>VÄXJÖ</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11596-2026</t>
        </is>
      </c>
      <c r="B3286" s="1" t="n">
        <v>46084.42141203704</v>
      </c>
      <c r="C3286" s="1" t="n">
        <v>46103</v>
      </c>
      <c r="D3286" t="inlineStr">
        <is>
          <t>KRONOBERGS LÄN</t>
        </is>
      </c>
      <c r="E3286" t="inlineStr">
        <is>
          <t>ALVESTA</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12937-2025</t>
        </is>
      </c>
      <c r="B3287" s="1" t="n">
        <v>45734.35563657407</v>
      </c>
      <c r="C3287" s="1" t="n">
        <v>46103</v>
      </c>
      <c r="D3287" t="inlineStr">
        <is>
          <t>KRONOBERGS LÄN</t>
        </is>
      </c>
      <c r="E3287" t="inlineStr">
        <is>
          <t>ÄLMHULT</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11589-2026</t>
        </is>
      </c>
      <c r="B3288" s="1" t="n">
        <v>46084.41618055556</v>
      </c>
      <c r="C3288" s="1" t="n">
        <v>46103</v>
      </c>
      <c r="D3288" t="inlineStr">
        <is>
          <t>KRONOBERGS LÄN</t>
        </is>
      </c>
      <c r="E3288" t="inlineStr">
        <is>
          <t>ALVESTA</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53038-2025</t>
        </is>
      </c>
      <c r="B3289" s="1" t="n">
        <v>45958.35123842592</v>
      </c>
      <c r="C3289" s="1" t="n">
        <v>46103</v>
      </c>
      <c r="D3289" t="inlineStr">
        <is>
          <t>KRONOBERGS LÄN</t>
        </is>
      </c>
      <c r="E3289" t="inlineStr">
        <is>
          <t>LJUNGBY</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53422-2025</t>
        </is>
      </c>
      <c r="B3290" s="1" t="n">
        <v>45959.60402777778</v>
      </c>
      <c r="C3290" s="1" t="n">
        <v>46103</v>
      </c>
      <c r="D3290" t="inlineStr">
        <is>
          <t>KRONOBERGS LÄN</t>
        </is>
      </c>
      <c r="E3290" t="inlineStr">
        <is>
          <t>ÄLMHULT</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49602-2024</t>
        </is>
      </c>
      <c r="B3291" s="1" t="n">
        <v>45596</v>
      </c>
      <c r="C3291" s="1" t="n">
        <v>46103</v>
      </c>
      <c r="D3291" t="inlineStr">
        <is>
          <t>KRONOBERGS LÄN</t>
        </is>
      </c>
      <c r="E3291" t="inlineStr">
        <is>
          <t>ALVESTA</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53039-2025</t>
        </is>
      </c>
      <c r="B3292" s="1" t="n">
        <v>45958.35313657407</v>
      </c>
      <c r="C3292" s="1" t="n">
        <v>46103</v>
      </c>
      <c r="D3292" t="inlineStr">
        <is>
          <t>KRONOBERGS LÄN</t>
        </is>
      </c>
      <c r="E3292" t="inlineStr">
        <is>
          <t>ÄLMHULT</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53425-2025</t>
        </is>
      </c>
      <c r="B3293" s="1" t="n">
        <v>45959.61004629629</v>
      </c>
      <c r="C3293" s="1" t="n">
        <v>46103</v>
      </c>
      <c r="D3293" t="inlineStr">
        <is>
          <t>KRONOBERGS LÄN</t>
        </is>
      </c>
      <c r="E3293" t="inlineStr">
        <is>
          <t>ALVESTA</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16590-2023</t>
        </is>
      </c>
      <c r="B3294" s="1" t="n">
        <v>45030</v>
      </c>
      <c r="C3294" s="1" t="n">
        <v>46103</v>
      </c>
      <c r="D3294" t="inlineStr">
        <is>
          <t>KRONOBERGS LÄN</t>
        </is>
      </c>
      <c r="E3294" t="inlineStr">
        <is>
          <t>VÄXJÖ</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53446-2025</t>
        </is>
      </c>
      <c r="B3295" s="1" t="n">
        <v>45959.64792824074</v>
      </c>
      <c r="C3295" s="1" t="n">
        <v>46103</v>
      </c>
      <c r="D3295" t="inlineStr">
        <is>
          <t>KRONOBERGS LÄN</t>
        </is>
      </c>
      <c r="E3295" t="inlineStr">
        <is>
          <t>LJUNGBY</t>
        </is>
      </c>
      <c r="F3295" t="inlineStr">
        <is>
          <t>Övriga Aktiebolag</t>
        </is>
      </c>
      <c r="G3295" t="n">
        <v>4.7</v>
      </c>
      <c r="H3295" t="n">
        <v>0</v>
      </c>
      <c r="I3295" t="n">
        <v>0</v>
      </c>
      <c r="J3295" t="n">
        <v>0</v>
      </c>
      <c r="K3295" t="n">
        <v>0</v>
      </c>
      <c r="L3295" t="n">
        <v>0</v>
      </c>
      <c r="M3295" t="n">
        <v>0</v>
      </c>
      <c r="N3295" t="n">
        <v>0</v>
      </c>
      <c r="O3295" t="n">
        <v>0</v>
      </c>
      <c r="P3295" t="n">
        <v>0</v>
      </c>
      <c r="Q3295" t="n">
        <v>0</v>
      </c>
      <c r="R3295" s="2" t="inlineStr"/>
    </row>
    <row r="3296" ht="15" customHeight="1">
      <c r="A3296" t="inlineStr">
        <is>
          <t>A 53378-2025</t>
        </is>
      </c>
      <c r="B3296" s="1" t="n">
        <v>45959.52787037037</v>
      </c>
      <c r="C3296" s="1" t="n">
        <v>46103</v>
      </c>
      <c r="D3296" t="inlineStr">
        <is>
          <t>KRONOBERGS LÄN</t>
        </is>
      </c>
      <c r="E3296" t="inlineStr">
        <is>
          <t>ÄLMHULT</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3565-2026</t>
        </is>
      </c>
      <c r="B3297" s="1" t="n">
        <v>46042.67481481482</v>
      </c>
      <c r="C3297" s="1" t="n">
        <v>46103</v>
      </c>
      <c r="D3297" t="inlineStr">
        <is>
          <t>KRONOBERGS LÄN</t>
        </is>
      </c>
      <c r="E3297" t="inlineStr">
        <is>
          <t>MARKARYD</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53089-2025</t>
        </is>
      </c>
      <c r="B3298" s="1" t="n">
        <v>45958.41775462963</v>
      </c>
      <c r="C3298" s="1" t="n">
        <v>46103</v>
      </c>
      <c r="D3298" t="inlineStr">
        <is>
          <t>KRONOBERGS LÄN</t>
        </is>
      </c>
      <c r="E3298" t="inlineStr">
        <is>
          <t>VÄXJÖ</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53295-2025</t>
        </is>
      </c>
      <c r="B3299" s="1" t="n">
        <v>45958.84930555556</v>
      </c>
      <c r="C3299" s="1" t="n">
        <v>46103</v>
      </c>
      <c r="D3299" t="inlineStr">
        <is>
          <t>KRONOBERGS LÄN</t>
        </is>
      </c>
      <c r="E3299" t="inlineStr">
        <is>
          <t>VÄXJÖ</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10734-2025</t>
        </is>
      </c>
      <c r="B3300" s="1" t="n">
        <v>45722</v>
      </c>
      <c r="C3300" s="1" t="n">
        <v>46103</v>
      </c>
      <c r="D3300" t="inlineStr">
        <is>
          <t>KRONOBERGS LÄN</t>
        </is>
      </c>
      <c r="E3300" t="inlineStr">
        <is>
          <t>TINGSRYD</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27095-2024</t>
        </is>
      </c>
      <c r="B3301" s="1" t="n">
        <v>45471</v>
      </c>
      <c r="C3301" s="1" t="n">
        <v>46103</v>
      </c>
      <c r="D3301" t="inlineStr">
        <is>
          <t>KRONOBERGS LÄN</t>
        </is>
      </c>
      <c r="E3301" t="inlineStr">
        <is>
          <t>ALVESTA</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49068-2023</t>
        </is>
      </c>
      <c r="B3302" s="1" t="n">
        <v>45210</v>
      </c>
      <c r="C3302" s="1" t="n">
        <v>46103</v>
      </c>
      <c r="D3302" t="inlineStr">
        <is>
          <t>KRONOBERGS LÄN</t>
        </is>
      </c>
      <c r="E3302" t="inlineStr">
        <is>
          <t>VÄXJÖ</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49071-2023</t>
        </is>
      </c>
      <c r="B3303" s="1" t="n">
        <v>45210.36392361111</v>
      </c>
      <c r="C3303" s="1" t="n">
        <v>46103</v>
      </c>
      <c r="D3303" t="inlineStr">
        <is>
          <t>KRONOBERGS LÄN</t>
        </is>
      </c>
      <c r="E3303" t="inlineStr">
        <is>
          <t>TINGSRYD</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45760-2021</t>
        </is>
      </c>
      <c r="B3304" s="1" t="n">
        <v>44441</v>
      </c>
      <c r="C3304" s="1" t="n">
        <v>46103</v>
      </c>
      <c r="D3304" t="inlineStr">
        <is>
          <t>KRONOBERGS LÄN</t>
        </is>
      </c>
      <c r="E3304" t="inlineStr">
        <is>
          <t>LJUNGBY</t>
        </is>
      </c>
      <c r="G3304" t="n">
        <v>5</v>
      </c>
      <c r="H3304" t="n">
        <v>0</v>
      </c>
      <c r="I3304" t="n">
        <v>0</v>
      </c>
      <c r="J3304" t="n">
        <v>0</v>
      </c>
      <c r="K3304" t="n">
        <v>0</v>
      </c>
      <c r="L3304" t="n">
        <v>0</v>
      </c>
      <c r="M3304" t="n">
        <v>0</v>
      </c>
      <c r="N3304" t="n">
        <v>0</v>
      </c>
      <c r="O3304" t="n">
        <v>0</v>
      </c>
      <c r="P3304" t="n">
        <v>0</v>
      </c>
      <c r="Q3304" t="n">
        <v>0</v>
      </c>
      <c r="R3304" s="2" t="inlineStr"/>
    </row>
    <row r="3305" ht="15" customHeight="1">
      <c r="A3305" t="inlineStr">
        <is>
          <t>A 1060-2023</t>
        </is>
      </c>
      <c r="B3305" s="1" t="n">
        <v>44935.50050925926</v>
      </c>
      <c r="C3305" s="1" t="n">
        <v>46103</v>
      </c>
      <c r="D3305" t="inlineStr">
        <is>
          <t>KRONOBERGS LÄN</t>
        </is>
      </c>
      <c r="E3305" t="inlineStr">
        <is>
          <t>ALVESTA</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11548-2026</t>
        </is>
      </c>
      <c r="B3306" s="1" t="n">
        <v>46084.29601851852</v>
      </c>
      <c r="C3306" s="1" t="n">
        <v>46103</v>
      </c>
      <c r="D3306" t="inlineStr">
        <is>
          <t>KRONOBERGS LÄN</t>
        </is>
      </c>
      <c r="E3306" t="inlineStr">
        <is>
          <t>ALVESTA</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53043-2025</t>
        </is>
      </c>
      <c r="B3307" s="1" t="n">
        <v>45958</v>
      </c>
      <c r="C3307" s="1" t="n">
        <v>46103</v>
      </c>
      <c r="D3307" t="inlineStr">
        <is>
          <t>KRONOBERGS LÄN</t>
        </is>
      </c>
      <c r="E3307" t="inlineStr">
        <is>
          <t>LJUNGBY</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11601-2026</t>
        </is>
      </c>
      <c r="B3308" s="1" t="n">
        <v>46084.43209490741</v>
      </c>
      <c r="C3308" s="1" t="n">
        <v>46103</v>
      </c>
      <c r="D3308" t="inlineStr">
        <is>
          <t>KRONOBERGS LÄN</t>
        </is>
      </c>
      <c r="E3308" t="inlineStr">
        <is>
          <t>ALVESTA</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11610-2026</t>
        </is>
      </c>
      <c r="B3309" s="1" t="n">
        <v>46084.4408912037</v>
      </c>
      <c r="C3309" s="1" t="n">
        <v>46103</v>
      </c>
      <c r="D3309" t="inlineStr">
        <is>
          <t>KRONOBERGS LÄN</t>
        </is>
      </c>
      <c r="E3309" t="inlineStr">
        <is>
          <t>VÄXJÖ</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19213-2024</t>
        </is>
      </c>
      <c r="B3310" s="1" t="n">
        <v>45428.54854166666</v>
      </c>
      <c r="C3310" s="1" t="n">
        <v>46103</v>
      </c>
      <c r="D3310" t="inlineStr">
        <is>
          <t>KRONOBERGS LÄN</t>
        </is>
      </c>
      <c r="E3310" t="inlineStr">
        <is>
          <t>UPPVIDINGE</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19214-2024</t>
        </is>
      </c>
      <c r="B3311" s="1" t="n">
        <v>45428.54914351852</v>
      </c>
      <c r="C3311" s="1" t="n">
        <v>46103</v>
      </c>
      <c r="D3311" t="inlineStr">
        <is>
          <t>KRONOBERGS LÄN</t>
        </is>
      </c>
      <c r="E3311" t="inlineStr">
        <is>
          <t>UPPVIDINGE</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11650-2026</t>
        </is>
      </c>
      <c r="B3312" s="1" t="n">
        <v>46084.52283564815</v>
      </c>
      <c r="C3312" s="1" t="n">
        <v>46103</v>
      </c>
      <c r="D3312" t="inlineStr">
        <is>
          <t>KRONOBERGS LÄN</t>
        </is>
      </c>
      <c r="E3312" t="inlineStr">
        <is>
          <t>VÄXJÖ</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47468-2025</t>
        </is>
      </c>
      <c r="B3313" s="1" t="n">
        <v>45930</v>
      </c>
      <c r="C3313" s="1" t="n">
        <v>46103</v>
      </c>
      <c r="D3313" t="inlineStr">
        <is>
          <t>KRONOBERGS LÄN</t>
        </is>
      </c>
      <c r="E3313" t="inlineStr">
        <is>
          <t>UPPVIDINGE</t>
        </is>
      </c>
      <c r="F3313" t="inlineStr">
        <is>
          <t>Kyrkan</t>
        </is>
      </c>
      <c r="G3313" t="n">
        <v>7.6</v>
      </c>
      <c r="H3313" t="n">
        <v>0</v>
      </c>
      <c r="I3313" t="n">
        <v>0</v>
      </c>
      <c r="J3313" t="n">
        <v>0</v>
      </c>
      <c r="K3313" t="n">
        <v>0</v>
      </c>
      <c r="L3313" t="n">
        <v>0</v>
      </c>
      <c r="M3313" t="n">
        <v>0</v>
      </c>
      <c r="N3313" t="n">
        <v>0</v>
      </c>
      <c r="O3313" t="n">
        <v>0</v>
      </c>
      <c r="P3313" t="n">
        <v>0</v>
      </c>
      <c r="Q3313" t="n">
        <v>0</v>
      </c>
      <c r="R3313" s="2" t="inlineStr"/>
    </row>
    <row r="3314" ht="15" customHeight="1">
      <c r="A3314" t="inlineStr">
        <is>
          <t>A 19252-2024</t>
        </is>
      </c>
      <c r="B3314" s="1" t="n">
        <v>45428.58675925926</v>
      </c>
      <c r="C3314" s="1" t="n">
        <v>46103</v>
      </c>
      <c r="D3314" t="inlineStr">
        <is>
          <t>KRONOBERGS LÄN</t>
        </is>
      </c>
      <c r="E3314" t="inlineStr">
        <is>
          <t>UPPVIDINGE</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53953-2025</t>
        </is>
      </c>
      <c r="B3315" s="1" t="n">
        <v>45961.50806712963</v>
      </c>
      <c r="C3315" s="1" t="n">
        <v>46103</v>
      </c>
      <c r="D3315" t="inlineStr">
        <is>
          <t>KRONOBERGS LÄN</t>
        </is>
      </c>
      <c r="E3315" t="inlineStr">
        <is>
          <t>MARKARYD</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11777-2026</t>
        </is>
      </c>
      <c r="B3316" s="1" t="n">
        <v>46084.7997800926</v>
      </c>
      <c r="C3316" s="1" t="n">
        <v>46103</v>
      </c>
      <c r="D3316" t="inlineStr">
        <is>
          <t>KRONOBERGS LÄN</t>
        </is>
      </c>
      <c r="E3316" t="inlineStr">
        <is>
          <t>LJUNGBY</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3799-2026</t>
        </is>
      </c>
      <c r="B3317" s="1" t="n">
        <v>46043.58241898148</v>
      </c>
      <c r="C3317" s="1" t="n">
        <v>46103</v>
      </c>
      <c r="D3317" t="inlineStr">
        <is>
          <t>KRONOBERGS LÄN</t>
        </is>
      </c>
      <c r="E3317" t="inlineStr">
        <is>
          <t>TINGSRYD</t>
        </is>
      </c>
      <c r="F3317" t="inlineStr">
        <is>
          <t>Övriga Aktiebolag</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9767-2025</t>
        </is>
      </c>
      <c r="B3318" s="1" t="n">
        <v>45716.48494212963</v>
      </c>
      <c r="C3318" s="1" t="n">
        <v>46103</v>
      </c>
      <c r="D3318" t="inlineStr">
        <is>
          <t>KRONOBERGS LÄN</t>
        </is>
      </c>
      <c r="E3318" t="inlineStr">
        <is>
          <t>ÄLMHULT</t>
        </is>
      </c>
      <c r="G3318" t="n">
        <v>0.3</v>
      </c>
      <c r="H3318" t="n">
        <v>0</v>
      </c>
      <c r="I3318" t="n">
        <v>0</v>
      </c>
      <c r="J3318" t="n">
        <v>0</v>
      </c>
      <c r="K3318" t="n">
        <v>0</v>
      </c>
      <c r="L3318" t="n">
        <v>0</v>
      </c>
      <c r="M3318" t="n">
        <v>0</v>
      </c>
      <c r="N3318" t="n">
        <v>0</v>
      </c>
      <c r="O3318" t="n">
        <v>0</v>
      </c>
      <c r="P3318" t="n">
        <v>0</v>
      </c>
      <c r="Q3318" t="n">
        <v>0</v>
      </c>
      <c r="R3318" s="2" t="inlineStr"/>
    </row>
    <row r="3319" ht="15" customHeight="1">
      <c r="A3319" t="inlineStr">
        <is>
          <t>A 9687-2025</t>
        </is>
      </c>
      <c r="B3319" s="1" t="n">
        <v>45716.3528125</v>
      </c>
      <c r="C3319" s="1" t="n">
        <v>46103</v>
      </c>
      <c r="D3319" t="inlineStr">
        <is>
          <t>KRONOBERGS LÄN</t>
        </is>
      </c>
      <c r="E3319" t="inlineStr">
        <is>
          <t>UPPVIDINGE</t>
        </is>
      </c>
      <c r="F3319" t="inlineStr">
        <is>
          <t>Sveaskog</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9776-2025</t>
        </is>
      </c>
      <c r="B3320" s="1" t="n">
        <v>45716.49273148148</v>
      </c>
      <c r="C3320" s="1" t="n">
        <v>46103</v>
      </c>
      <c r="D3320" t="inlineStr">
        <is>
          <t>KRONOBERGS LÄN</t>
        </is>
      </c>
      <c r="E3320" t="inlineStr">
        <is>
          <t>ÄLMHULT</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58010-2021</t>
        </is>
      </c>
      <c r="B3321" s="1" t="n">
        <v>44487</v>
      </c>
      <c r="C3321" s="1" t="n">
        <v>46103</v>
      </c>
      <c r="D3321" t="inlineStr">
        <is>
          <t>KRONOBERGS LÄN</t>
        </is>
      </c>
      <c r="E3321" t="inlineStr">
        <is>
          <t>LJUNGBY</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3333-2026</t>
        </is>
      </c>
      <c r="B3322" s="1" t="n">
        <v>46041.77224537037</v>
      </c>
      <c r="C3322" s="1" t="n">
        <v>46103</v>
      </c>
      <c r="D3322" t="inlineStr">
        <is>
          <t>KRONOBERGS LÄN</t>
        </is>
      </c>
      <c r="E3322" t="inlineStr">
        <is>
          <t>UPPVIDINGE</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11438-2026</t>
        </is>
      </c>
      <c r="B3323" s="1" t="n">
        <v>46083.50642361111</v>
      </c>
      <c r="C3323" s="1" t="n">
        <v>46103</v>
      </c>
      <c r="D3323" t="inlineStr">
        <is>
          <t>KRONOBERGS LÄN</t>
        </is>
      </c>
      <c r="E3323" t="inlineStr">
        <is>
          <t>VÄXJÖ</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14852-2025</t>
        </is>
      </c>
      <c r="B3324" s="1" t="n">
        <v>45743.40726851852</v>
      </c>
      <c r="C3324" s="1" t="n">
        <v>46103</v>
      </c>
      <c r="D3324" t="inlineStr">
        <is>
          <t>KRONOBERGS LÄN</t>
        </is>
      </c>
      <c r="E3324" t="inlineStr">
        <is>
          <t>VÄXJÖ</t>
        </is>
      </c>
      <c r="G3324" t="n">
        <v>5.5</v>
      </c>
      <c r="H3324" t="n">
        <v>0</v>
      </c>
      <c r="I3324" t="n">
        <v>0</v>
      </c>
      <c r="J3324" t="n">
        <v>0</v>
      </c>
      <c r="K3324" t="n">
        <v>0</v>
      </c>
      <c r="L3324" t="n">
        <v>0</v>
      </c>
      <c r="M3324" t="n">
        <v>0</v>
      </c>
      <c r="N3324" t="n">
        <v>0</v>
      </c>
      <c r="O3324" t="n">
        <v>0</v>
      </c>
      <c r="P3324" t="n">
        <v>0</v>
      </c>
      <c r="Q3324" t="n">
        <v>0</v>
      </c>
      <c r="R3324" s="2" t="inlineStr"/>
    </row>
    <row r="3325" ht="15" customHeight="1">
      <c r="A3325" t="inlineStr">
        <is>
          <t>A 53930-2025</t>
        </is>
      </c>
      <c r="B3325" s="1" t="n">
        <v>45961.47381944444</v>
      </c>
      <c r="C3325" s="1" t="n">
        <v>46103</v>
      </c>
      <c r="D3325" t="inlineStr">
        <is>
          <t>KRONOBERGS LÄN</t>
        </is>
      </c>
      <c r="E3325" t="inlineStr">
        <is>
          <t>LJUNGBY</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43315-2023</t>
        </is>
      </c>
      <c r="B3326" s="1" t="n">
        <v>45183</v>
      </c>
      <c r="C3326" s="1" t="n">
        <v>46103</v>
      </c>
      <c r="D3326" t="inlineStr">
        <is>
          <t>KRONOBERGS LÄN</t>
        </is>
      </c>
      <c r="E3326" t="inlineStr">
        <is>
          <t>TINGSRYD</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43319-2023</t>
        </is>
      </c>
      <c r="B3327" s="1" t="n">
        <v>45183</v>
      </c>
      <c r="C3327" s="1" t="n">
        <v>46103</v>
      </c>
      <c r="D3327" t="inlineStr">
        <is>
          <t>KRONOBERGS LÄN</t>
        </is>
      </c>
      <c r="E3327" t="inlineStr">
        <is>
          <t>TINGSRYD</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30778-2023</t>
        </is>
      </c>
      <c r="B3328" s="1" t="n">
        <v>45112</v>
      </c>
      <c r="C3328" s="1" t="n">
        <v>46103</v>
      </c>
      <c r="D3328" t="inlineStr">
        <is>
          <t>KRONOBERGS LÄN</t>
        </is>
      </c>
      <c r="E3328" t="inlineStr">
        <is>
          <t>LJUNGBY</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30789-2023</t>
        </is>
      </c>
      <c r="B3329" s="1" t="n">
        <v>45112</v>
      </c>
      <c r="C3329" s="1" t="n">
        <v>46103</v>
      </c>
      <c r="D3329" t="inlineStr">
        <is>
          <t>KRONOBERGS LÄN</t>
        </is>
      </c>
      <c r="E3329" t="inlineStr">
        <is>
          <t>VÄXJÖ</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3856-2026</t>
        </is>
      </c>
      <c r="B3330" s="1" t="n">
        <v>46043.61449074074</v>
      </c>
      <c r="C3330" s="1" t="n">
        <v>46103</v>
      </c>
      <c r="D3330" t="inlineStr">
        <is>
          <t>KRONOBERGS LÄN</t>
        </is>
      </c>
      <c r="E3330" t="inlineStr">
        <is>
          <t>VÄXJÖ</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40608-2024</t>
        </is>
      </c>
      <c r="B3331" s="1" t="n">
        <v>45556.88484953704</v>
      </c>
      <c r="C3331" s="1" t="n">
        <v>46103</v>
      </c>
      <c r="D3331" t="inlineStr">
        <is>
          <t>KRONOBERGS LÄN</t>
        </is>
      </c>
      <c r="E3331" t="inlineStr">
        <is>
          <t>MARKARYD</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6487-2023</t>
        </is>
      </c>
      <c r="B3332" s="1" t="n">
        <v>44966.305</v>
      </c>
      <c r="C3332" s="1" t="n">
        <v>46103</v>
      </c>
      <c r="D3332" t="inlineStr">
        <is>
          <t>KRONOBERGS LÄN</t>
        </is>
      </c>
      <c r="E3332" t="inlineStr">
        <is>
          <t>VÄXJÖ</t>
        </is>
      </c>
      <c r="G3332" t="n">
        <v>0</v>
      </c>
      <c r="H3332" t="n">
        <v>0</v>
      </c>
      <c r="I3332" t="n">
        <v>0</v>
      </c>
      <c r="J3332" t="n">
        <v>0</v>
      </c>
      <c r="K3332" t="n">
        <v>0</v>
      </c>
      <c r="L3332" t="n">
        <v>0</v>
      </c>
      <c r="M3332" t="n">
        <v>0</v>
      </c>
      <c r="N3332" t="n">
        <v>0</v>
      </c>
      <c r="O3332" t="n">
        <v>0</v>
      </c>
      <c r="P3332" t="n">
        <v>0</v>
      </c>
      <c r="Q3332" t="n">
        <v>0</v>
      </c>
      <c r="R3332" s="2" t="inlineStr"/>
    </row>
    <row r="3333" ht="15" customHeight="1">
      <c r="A3333" t="inlineStr">
        <is>
          <t>A 47425-2025</t>
        </is>
      </c>
      <c r="B3333" s="1" t="n">
        <v>45930</v>
      </c>
      <c r="C3333" s="1" t="n">
        <v>46103</v>
      </c>
      <c r="D3333" t="inlineStr">
        <is>
          <t>KRONOBERGS LÄN</t>
        </is>
      </c>
      <c r="E3333" t="inlineStr">
        <is>
          <t>UPPVIDINGE</t>
        </is>
      </c>
      <c r="F3333" t="inlineStr">
        <is>
          <t>Kyrkan</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58199-2023</t>
        </is>
      </c>
      <c r="B3334" s="1" t="n">
        <v>45250.43831018519</v>
      </c>
      <c r="C3334" s="1" t="n">
        <v>46103</v>
      </c>
      <c r="D3334" t="inlineStr">
        <is>
          <t>KRONOBERGS LÄN</t>
        </is>
      </c>
      <c r="E3334" t="inlineStr">
        <is>
          <t>TINGSRYD</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26241-2025</t>
        </is>
      </c>
      <c r="B3335" s="1" t="n">
        <v>45805.57254629629</v>
      </c>
      <c r="C3335" s="1" t="n">
        <v>46103</v>
      </c>
      <c r="D3335" t="inlineStr">
        <is>
          <t>KRONOBERGS LÄN</t>
        </is>
      </c>
      <c r="E3335" t="inlineStr">
        <is>
          <t>ALVESTA</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26267-2025</t>
        </is>
      </c>
      <c r="B3336" s="1" t="n">
        <v>45805.59104166667</v>
      </c>
      <c r="C3336" s="1" t="n">
        <v>46103</v>
      </c>
      <c r="D3336" t="inlineStr">
        <is>
          <t>KRONOBERGS LÄN</t>
        </is>
      </c>
      <c r="E3336" t="inlineStr">
        <is>
          <t>UPPVIDINGE</t>
        </is>
      </c>
      <c r="G3336" t="n">
        <v>4.9</v>
      </c>
      <c r="H3336" t="n">
        <v>0</v>
      </c>
      <c r="I3336" t="n">
        <v>0</v>
      </c>
      <c r="J3336" t="n">
        <v>0</v>
      </c>
      <c r="K3336" t="n">
        <v>0</v>
      </c>
      <c r="L3336" t="n">
        <v>0</v>
      </c>
      <c r="M3336" t="n">
        <v>0</v>
      </c>
      <c r="N3336" t="n">
        <v>0</v>
      </c>
      <c r="O3336" t="n">
        <v>0</v>
      </c>
      <c r="P3336" t="n">
        <v>0</v>
      </c>
      <c r="Q3336" t="n">
        <v>0</v>
      </c>
      <c r="R3336" s="2" t="inlineStr"/>
    </row>
    <row r="3337" ht="15" customHeight="1">
      <c r="A3337" t="inlineStr">
        <is>
          <t>A 26309-2025</t>
        </is>
      </c>
      <c r="B3337" s="1" t="n">
        <v>45805.65143518519</v>
      </c>
      <c r="C3337" s="1" t="n">
        <v>46103</v>
      </c>
      <c r="D3337" t="inlineStr">
        <is>
          <t>KRONOBERGS LÄN</t>
        </is>
      </c>
      <c r="E3337" t="inlineStr">
        <is>
          <t>ÄLMHULT</t>
        </is>
      </c>
      <c r="F3337" t="inlineStr">
        <is>
          <t>Sveaskog</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26314-2025</t>
        </is>
      </c>
      <c r="B3338" s="1" t="n">
        <v>45805.65680555555</v>
      </c>
      <c r="C3338" s="1" t="n">
        <v>46103</v>
      </c>
      <c r="D3338" t="inlineStr">
        <is>
          <t>KRONOBERGS LÄN</t>
        </is>
      </c>
      <c r="E3338" t="inlineStr">
        <is>
          <t>ÄLMHULT</t>
        </is>
      </c>
      <c r="F3338" t="inlineStr">
        <is>
          <t>Sveaskog</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53759-2025</t>
        </is>
      </c>
      <c r="B3339" s="1" t="n">
        <v>45960.66931712963</v>
      </c>
      <c r="C3339" s="1" t="n">
        <v>46103</v>
      </c>
      <c r="D3339" t="inlineStr">
        <is>
          <t>KRONOBERGS LÄN</t>
        </is>
      </c>
      <c r="E3339" t="inlineStr">
        <is>
          <t>UPPVIDINGE</t>
        </is>
      </c>
      <c r="F3339" t="inlineStr">
        <is>
          <t>Sveaskog</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50916-2025</t>
        </is>
      </c>
      <c r="B3340" s="1" t="n">
        <v>45946.66081018518</v>
      </c>
      <c r="C3340" s="1" t="n">
        <v>46103</v>
      </c>
      <c r="D3340" t="inlineStr">
        <is>
          <t>KRONOBERGS LÄN</t>
        </is>
      </c>
      <c r="E3340" t="inlineStr">
        <is>
          <t>VÄXJÖ</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25179-2024</t>
        </is>
      </c>
      <c r="B3341" s="1" t="n">
        <v>45462.54887731482</v>
      </c>
      <c r="C3341" s="1" t="n">
        <v>46103</v>
      </c>
      <c r="D3341" t="inlineStr">
        <is>
          <t>KRONOBERGS LÄN</t>
        </is>
      </c>
      <c r="E3341" t="inlineStr">
        <is>
          <t>ALVESTA</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1634-2025</t>
        </is>
      </c>
      <c r="B3342" s="1" t="n">
        <v>45670</v>
      </c>
      <c r="C3342" s="1" t="n">
        <v>46103</v>
      </c>
      <c r="D3342" t="inlineStr">
        <is>
          <t>KRONOBERGS LÄN</t>
        </is>
      </c>
      <c r="E3342" t="inlineStr">
        <is>
          <t>VÄXJÖ</t>
        </is>
      </c>
      <c r="F3342" t="inlineStr">
        <is>
          <t>Kyrkan</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1643-2025</t>
        </is>
      </c>
      <c r="B3343" s="1" t="n">
        <v>45670</v>
      </c>
      <c r="C3343" s="1" t="n">
        <v>46103</v>
      </c>
      <c r="D3343" t="inlineStr">
        <is>
          <t>KRONOBERGS LÄN</t>
        </is>
      </c>
      <c r="E3343" t="inlineStr">
        <is>
          <t>VÄXJÖ</t>
        </is>
      </c>
      <c r="G3343" t="n">
        <v>12.9</v>
      </c>
      <c r="H3343" t="n">
        <v>0</v>
      </c>
      <c r="I3343" t="n">
        <v>0</v>
      </c>
      <c r="J3343" t="n">
        <v>0</v>
      </c>
      <c r="K3343" t="n">
        <v>0</v>
      </c>
      <c r="L3343" t="n">
        <v>0</v>
      </c>
      <c r="M3343" t="n">
        <v>0</v>
      </c>
      <c r="N3343" t="n">
        <v>0</v>
      </c>
      <c r="O3343" t="n">
        <v>0</v>
      </c>
      <c r="P3343" t="n">
        <v>0</v>
      </c>
      <c r="Q3343" t="n">
        <v>0</v>
      </c>
      <c r="R3343" s="2" t="inlineStr"/>
    </row>
    <row r="3344" ht="15" customHeight="1">
      <c r="A3344" t="inlineStr">
        <is>
          <t>A 51463-2024</t>
        </is>
      </c>
      <c r="B3344" s="1" t="n">
        <v>45604.4971412037</v>
      </c>
      <c r="C3344" s="1" t="n">
        <v>46103</v>
      </c>
      <c r="D3344" t="inlineStr">
        <is>
          <t>KRONOBERGS LÄN</t>
        </is>
      </c>
      <c r="E3344" t="inlineStr">
        <is>
          <t>LJUNGBY</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53445-2025</t>
        </is>
      </c>
      <c r="B3345" s="1" t="n">
        <v>45959.64649305555</v>
      </c>
      <c r="C3345" s="1" t="n">
        <v>46103</v>
      </c>
      <c r="D3345" t="inlineStr">
        <is>
          <t>KRONOBERGS LÄN</t>
        </is>
      </c>
      <c r="E3345" t="inlineStr">
        <is>
          <t>LJUNGBY</t>
        </is>
      </c>
      <c r="F3345" t="inlineStr">
        <is>
          <t>Övriga Aktiebolag</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54002-2025</t>
        </is>
      </c>
      <c r="B3346" s="1" t="n">
        <v>45961.60474537037</v>
      </c>
      <c r="C3346" s="1" t="n">
        <v>46103</v>
      </c>
      <c r="D3346" t="inlineStr">
        <is>
          <t>KRONOBERGS LÄN</t>
        </is>
      </c>
      <c r="E3346" t="inlineStr">
        <is>
          <t>LJUNGBY</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54012-2025</t>
        </is>
      </c>
      <c r="B3347" s="1" t="n">
        <v>45961.61614583333</v>
      </c>
      <c r="C3347" s="1" t="n">
        <v>46103</v>
      </c>
      <c r="D3347" t="inlineStr">
        <is>
          <t>KRONOBERGS LÄN</t>
        </is>
      </c>
      <c r="E3347" t="inlineStr">
        <is>
          <t>LJUNGBY</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53932-2025</t>
        </is>
      </c>
      <c r="B3348" s="1" t="n">
        <v>45961.47559027778</v>
      </c>
      <c r="C3348" s="1" t="n">
        <v>46103</v>
      </c>
      <c r="D3348" t="inlineStr">
        <is>
          <t>KRONOBERGS LÄN</t>
        </is>
      </c>
      <c r="E3348" t="inlineStr">
        <is>
          <t>LJUNGBY</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13447-2024</t>
        </is>
      </c>
      <c r="B3349" s="1" t="n">
        <v>45387.50104166667</v>
      </c>
      <c r="C3349" s="1" t="n">
        <v>46103</v>
      </c>
      <c r="D3349" t="inlineStr">
        <is>
          <t>KRONOBERGS LÄN</t>
        </is>
      </c>
      <c r="E3349" t="inlineStr">
        <is>
          <t>VÄXJÖ</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36513-2021</t>
        </is>
      </c>
      <c r="B3350" s="1" t="n">
        <v>44391</v>
      </c>
      <c r="C3350" s="1" t="n">
        <v>46103</v>
      </c>
      <c r="D3350" t="inlineStr">
        <is>
          <t>KRONOBERGS LÄN</t>
        </is>
      </c>
      <c r="E3350" t="inlineStr">
        <is>
          <t>TINGSRYD</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53522-2025</t>
        </is>
      </c>
      <c r="B3351" s="1" t="n">
        <v>45960.35961805555</v>
      </c>
      <c r="C3351" s="1" t="n">
        <v>46103</v>
      </c>
      <c r="D3351" t="inlineStr">
        <is>
          <t>KRONOBERGS LÄN</t>
        </is>
      </c>
      <c r="E3351" t="inlineStr">
        <is>
          <t>LESSEBO</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41500-2024</t>
        </is>
      </c>
      <c r="B3352" s="1" t="n">
        <v>45560.46328703704</v>
      </c>
      <c r="C3352" s="1" t="n">
        <v>46103</v>
      </c>
      <c r="D3352" t="inlineStr">
        <is>
          <t>KRONOBERGS LÄN</t>
        </is>
      </c>
      <c r="E3352" t="inlineStr">
        <is>
          <t>VÄXJÖ</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54003-2025</t>
        </is>
      </c>
      <c r="B3353" s="1" t="n">
        <v>45961.60694444444</v>
      </c>
      <c r="C3353" s="1" t="n">
        <v>46103</v>
      </c>
      <c r="D3353" t="inlineStr">
        <is>
          <t>KRONOBERGS LÄN</t>
        </is>
      </c>
      <c r="E3353" t="inlineStr">
        <is>
          <t>LJUNGBY</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54005-2025</t>
        </is>
      </c>
      <c r="B3354" s="1" t="n">
        <v>45961.61024305555</v>
      </c>
      <c r="C3354" s="1" t="n">
        <v>46103</v>
      </c>
      <c r="D3354" t="inlineStr">
        <is>
          <t>KRONOBERGS LÄN</t>
        </is>
      </c>
      <c r="E3354" t="inlineStr">
        <is>
          <t>LJUNGBY</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53571-2025</t>
        </is>
      </c>
      <c r="B3355" s="1" t="n">
        <v>45960.41381944445</v>
      </c>
      <c r="C3355" s="1" t="n">
        <v>46103</v>
      </c>
      <c r="D3355" t="inlineStr">
        <is>
          <t>KRONOBERGS LÄN</t>
        </is>
      </c>
      <c r="E3355" t="inlineStr">
        <is>
          <t>LESSEBO</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52312-2025</t>
        </is>
      </c>
      <c r="B3356" s="1" t="n">
        <v>45953.65040509259</v>
      </c>
      <c r="C3356" s="1" t="n">
        <v>46103</v>
      </c>
      <c r="D3356" t="inlineStr">
        <is>
          <t>KRONOBERGS LÄN</t>
        </is>
      </c>
      <c r="E3356" t="inlineStr">
        <is>
          <t>VÄXJÖ</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26980-2023</t>
        </is>
      </c>
      <c r="B3357" s="1" t="n">
        <v>45091</v>
      </c>
      <c r="C3357" s="1" t="n">
        <v>46103</v>
      </c>
      <c r="D3357" t="inlineStr">
        <is>
          <t>KRONOBERGS LÄN</t>
        </is>
      </c>
      <c r="E3357" t="inlineStr">
        <is>
          <t>VÄXJÖ</t>
        </is>
      </c>
      <c r="F3357" t="inlineStr">
        <is>
          <t>Kyrkan</t>
        </is>
      </c>
      <c r="G3357" t="n">
        <v>4.4</v>
      </c>
      <c r="H3357" t="n">
        <v>0</v>
      </c>
      <c r="I3357" t="n">
        <v>0</v>
      </c>
      <c r="J3357" t="n">
        <v>0</v>
      </c>
      <c r="K3357" t="n">
        <v>0</v>
      </c>
      <c r="L3357" t="n">
        <v>0</v>
      </c>
      <c r="M3357" t="n">
        <v>0</v>
      </c>
      <c r="N3357" t="n">
        <v>0</v>
      </c>
      <c r="O3357" t="n">
        <v>0</v>
      </c>
      <c r="P3357" t="n">
        <v>0</v>
      </c>
      <c r="Q3357" t="n">
        <v>0</v>
      </c>
      <c r="R3357" s="2" t="inlineStr"/>
    </row>
    <row r="3358" ht="15" customHeight="1">
      <c r="A3358" t="inlineStr">
        <is>
          <t>A 27034-2023</t>
        </is>
      </c>
      <c r="B3358" s="1" t="n">
        <v>45095.52581018519</v>
      </c>
      <c r="C3358" s="1" t="n">
        <v>46103</v>
      </c>
      <c r="D3358" t="inlineStr">
        <is>
          <t>KRONOBERGS LÄN</t>
        </is>
      </c>
      <c r="E3358" t="inlineStr">
        <is>
          <t>ALVESTA</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61282-2023</t>
        </is>
      </c>
      <c r="B3359" s="1" t="n">
        <v>45264</v>
      </c>
      <c r="C3359" s="1" t="n">
        <v>46103</v>
      </c>
      <c r="D3359" t="inlineStr">
        <is>
          <t>KRONOBERGS LÄN</t>
        </is>
      </c>
      <c r="E3359" t="inlineStr">
        <is>
          <t>ALVESTA</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3373-2026</t>
        </is>
      </c>
      <c r="B3360" s="1" t="n">
        <v>46042.34600694444</v>
      </c>
      <c r="C3360" s="1" t="n">
        <v>46103</v>
      </c>
      <c r="D3360" t="inlineStr">
        <is>
          <t>KRONOBERGS LÄN</t>
        </is>
      </c>
      <c r="E3360" t="inlineStr">
        <is>
          <t>TINGSRYD</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4236-2026</t>
        </is>
      </c>
      <c r="B3361" s="1" t="n">
        <v>46044.90097222223</v>
      </c>
      <c r="C3361" s="1" t="n">
        <v>46103</v>
      </c>
      <c r="D3361" t="inlineStr">
        <is>
          <t>KRONOBERGS LÄN</t>
        </is>
      </c>
      <c r="E3361" t="inlineStr">
        <is>
          <t>LESSEBO</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9676-2023</t>
        </is>
      </c>
      <c r="B3362" s="1" t="n">
        <v>44984</v>
      </c>
      <c r="C3362" s="1" t="n">
        <v>46103</v>
      </c>
      <c r="D3362" t="inlineStr">
        <is>
          <t>KRONOBERGS LÄN</t>
        </is>
      </c>
      <c r="E3362" t="inlineStr">
        <is>
          <t>UPPVIDINGE</t>
        </is>
      </c>
      <c r="G3362" t="n">
        <v>4.8</v>
      </c>
      <c r="H3362" t="n">
        <v>0</v>
      </c>
      <c r="I3362" t="n">
        <v>0</v>
      </c>
      <c r="J3362" t="n">
        <v>0</v>
      </c>
      <c r="K3362" t="n">
        <v>0</v>
      </c>
      <c r="L3362" t="n">
        <v>0</v>
      </c>
      <c r="M3362" t="n">
        <v>0</v>
      </c>
      <c r="N3362" t="n">
        <v>0</v>
      </c>
      <c r="O3362" t="n">
        <v>0</v>
      </c>
      <c r="P3362" t="n">
        <v>0</v>
      </c>
      <c r="Q3362" t="n">
        <v>0</v>
      </c>
      <c r="R3362" s="2" t="inlineStr"/>
    </row>
    <row r="3363" ht="15" customHeight="1">
      <c r="A3363" t="inlineStr">
        <is>
          <t>A 12311-2026</t>
        </is>
      </c>
      <c r="B3363" s="1" t="n">
        <v>46087.58850694444</v>
      </c>
      <c r="C3363" s="1" t="n">
        <v>46103</v>
      </c>
      <c r="D3363" t="inlineStr">
        <is>
          <t>KRONOBERGS LÄN</t>
        </is>
      </c>
      <c r="E3363" t="inlineStr">
        <is>
          <t>LJUNGBY</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53883-2025</t>
        </is>
      </c>
      <c r="B3364" s="1" t="n">
        <v>45961.40055555556</v>
      </c>
      <c r="C3364" s="1" t="n">
        <v>46103</v>
      </c>
      <c r="D3364" t="inlineStr">
        <is>
          <t>KRONOBERGS LÄN</t>
        </is>
      </c>
      <c r="E3364" t="inlineStr">
        <is>
          <t>LJUNGBY</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27685-2024</t>
        </is>
      </c>
      <c r="B3365" s="1" t="n">
        <v>45474</v>
      </c>
      <c r="C3365" s="1" t="n">
        <v>46103</v>
      </c>
      <c r="D3365" t="inlineStr">
        <is>
          <t>KRONOBERGS LÄN</t>
        </is>
      </c>
      <c r="E3365" t="inlineStr">
        <is>
          <t>TINGSRYD</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53552-2025</t>
        </is>
      </c>
      <c r="B3366" s="1" t="n">
        <v>45960.38902777778</v>
      </c>
      <c r="C3366" s="1" t="n">
        <v>46103</v>
      </c>
      <c r="D3366" t="inlineStr">
        <is>
          <t>KRONOBERGS LÄN</t>
        </is>
      </c>
      <c r="E3366" t="inlineStr">
        <is>
          <t>VÄXJÖ</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58858-2022</t>
        </is>
      </c>
      <c r="B3367" s="1" t="n">
        <v>44903.53118055555</v>
      </c>
      <c r="C3367" s="1" t="n">
        <v>46103</v>
      </c>
      <c r="D3367" t="inlineStr">
        <is>
          <t>KRONOBERGS LÄN</t>
        </is>
      </c>
      <c r="E3367" t="inlineStr">
        <is>
          <t>LJUNGBY</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27096-2022</t>
        </is>
      </c>
      <c r="B3368" s="1" t="n">
        <v>44741</v>
      </c>
      <c r="C3368" s="1" t="n">
        <v>46103</v>
      </c>
      <c r="D3368" t="inlineStr">
        <is>
          <t>KRONOBERGS LÄN</t>
        </is>
      </c>
      <c r="E3368" t="inlineStr">
        <is>
          <t>VÄXJÖ</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27097-2022</t>
        </is>
      </c>
      <c r="B3369" s="1" t="n">
        <v>44741</v>
      </c>
      <c r="C3369" s="1" t="n">
        <v>46103</v>
      </c>
      <c r="D3369" t="inlineStr">
        <is>
          <t>KRONOBERGS LÄN</t>
        </is>
      </c>
      <c r="E3369" t="inlineStr">
        <is>
          <t>VÄXJÖ</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51972-2025</t>
        </is>
      </c>
      <c r="B3370" s="1" t="n">
        <v>45952</v>
      </c>
      <c r="C3370" s="1" t="n">
        <v>46103</v>
      </c>
      <c r="D3370" t="inlineStr">
        <is>
          <t>KRONOBERGS LÄN</t>
        </is>
      </c>
      <c r="E3370" t="inlineStr">
        <is>
          <t>ALVESTA</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4201-2026</t>
        </is>
      </c>
      <c r="B3371" s="1" t="n">
        <v>46044.7053125</v>
      </c>
      <c r="C3371" s="1" t="n">
        <v>46103</v>
      </c>
      <c r="D3371" t="inlineStr">
        <is>
          <t>KRONOBERGS LÄN</t>
        </is>
      </c>
      <c r="E3371" t="inlineStr">
        <is>
          <t>TINGSRYD</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4229-2026</t>
        </is>
      </c>
      <c r="B3372" s="1" t="n">
        <v>46044.89229166666</v>
      </c>
      <c r="C3372" s="1" t="n">
        <v>46103</v>
      </c>
      <c r="D3372" t="inlineStr">
        <is>
          <t>KRONOBERGS LÄN</t>
        </is>
      </c>
      <c r="E3372" t="inlineStr">
        <is>
          <t>LESSEBO</t>
        </is>
      </c>
      <c r="G3372" t="n">
        <v>9.699999999999999</v>
      </c>
      <c r="H3372" t="n">
        <v>0</v>
      </c>
      <c r="I3372" t="n">
        <v>0</v>
      </c>
      <c r="J3372" t="n">
        <v>0</v>
      </c>
      <c r="K3372" t="n">
        <v>0</v>
      </c>
      <c r="L3372" t="n">
        <v>0</v>
      </c>
      <c r="M3372" t="n">
        <v>0</v>
      </c>
      <c r="N3372" t="n">
        <v>0</v>
      </c>
      <c r="O3372" t="n">
        <v>0</v>
      </c>
      <c r="P3372" t="n">
        <v>0</v>
      </c>
      <c r="Q3372" t="n">
        <v>0</v>
      </c>
      <c r="R3372" s="2" t="inlineStr"/>
    </row>
    <row r="3373" ht="15" customHeight="1">
      <c r="A3373" t="inlineStr">
        <is>
          <t>A 53950-2025</t>
        </is>
      </c>
      <c r="B3373" s="1" t="n">
        <v>45961.50127314815</v>
      </c>
      <c r="C3373" s="1" t="n">
        <v>46103</v>
      </c>
      <c r="D3373" t="inlineStr">
        <is>
          <t>KRONOBERGS LÄN</t>
        </is>
      </c>
      <c r="E3373" t="inlineStr">
        <is>
          <t>MARKARYD</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53739-2025</t>
        </is>
      </c>
      <c r="B3374" s="1" t="n">
        <v>45960.64586805556</v>
      </c>
      <c r="C3374" s="1" t="n">
        <v>46103</v>
      </c>
      <c r="D3374" t="inlineStr">
        <is>
          <t>KRONOBERGS LÄN</t>
        </is>
      </c>
      <c r="E3374" t="inlineStr">
        <is>
          <t>UPPVIDINGE</t>
        </is>
      </c>
      <c r="F3374" t="inlineStr">
        <is>
          <t>Sveaskog</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3876-2024</t>
        </is>
      </c>
      <c r="B3375" s="1" t="n">
        <v>45322</v>
      </c>
      <c r="C3375" s="1" t="n">
        <v>46103</v>
      </c>
      <c r="D3375" t="inlineStr">
        <is>
          <t>KRONOBERGS LÄN</t>
        </is>
      </c>
      <c r="E3375" t="inlineStr">
        <is>
          <t>LESSEBO</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12310-2026</t>
        </is>
      </c>
      <c r="B3376" s="1" t="n">
        <v>46087.5865162037</v>
      </c>
      <c r="C3376" s="1" t="n">
        <v>46103</v>
      </c>
      <c r="D3376" t="inlineStr">
        <is>
          <t>KRONOBERGS LÄN</t>
        </is>
      </c>
      <c r="E3376" t="inlineStr">
        <is>
          <t>LJUNGBY</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9760-2025</t>
        </is>
      </c>
      <c r="B3377" s="1" t="n">
        <v>45716.47709490741</v>
      </c>
      <c r="C3377" s="1" t="n">
        <v>46103</v>
      </c>
      <c r="D3377" t="inlineStr">
        <is>
          <t>KRONOBERGS LÄN</t>
        </is>
      </c>
      <c r="E3377" t="inlineStr">
        <is>
          <t>ÄLMHULT</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54146-2025</t>
        </is>
      </c>
      <c r="B3378" s="1" t="n">
        <v>45964.48408564815</v>
      </c>
      <c r="C3378" s="1" t="n">
        <v>46103</v>
      </c>
      <c r="D3378" t="inlineStr">
        <is>
          <t>KRONOBERGS LÄN</t>
        </is>
      </c>
      <c r="E3378" t="inlineStr">
        <is>
          <t>TINGSRYD</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9821-2025</t>
        </is>
      </c>
      <c r="B3379" s="1" t="n">
        <v>45715</v>
      </c>
      <c r="C3379" s="1" t="n">
        <v>46103</v>
      </c>
      <c r="D3379" t="inlineStr">
        <is>
          <t>KRONOBERGS LÄN</t>
        </is>
      </c>
      <c r="E3379" t="inlineStr">
        <is>
          <t>VÄXJÖ</t>
        </is>
      </c>
      <c r="F3379" t="inlineStr">
        <is>
          <t>Kyrkan</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54182-2025</t>
        </is>
      </c>
      <c r="B3380" s="1" t="n">
        <v>45964.56096064814</v>
      </c>
      <c r="C3380" s="1" t="n">
        <v>46103</v>
      </c>
      <c r="D3380" t="inlineStr">
        <is>
          <t>KRONOBERGS LÄN</t>
        </is>
      </c>
      <c r="E3380" t="inlineStr">
        <is>
          <t>VÄXJÖ</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12253-2026</t>
        </is>
      </c>
      <c r="B3381" s="1" t="n">
        <v>46087.45732638889</v>
      </c>
      <c r="C3381" s="1" t="n">
        <v>46103</v>
      </c>
      <c r="D3381" t="inlineStr">
        <is>
          <t>KRONOBERGS LÄN</t>
        </is>
      </c>
      <c r="E3381" t="inlineStr">
        <is>
          <t>VÄXJÖ</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9879-2025</t>
        </is>
      </c>
      <c r="B3382" s="1" t="n">
        <v>45716.65282407407</v>
      </c>
      <c r="C3382" s="1" t="n">
        <v>46103</v>
      </c>
      <c r="D3382" t="inlineStr">
        <is>
          <t>KRONOBERGS LÄN</t>
        </is>
      </c>
      <c r="E3382" t="inlineStr">
        <is>
          <t>ÄLMHULT</t>
        </is>
      </c>
      <c r="F3382" t="inlineStr">
        <is>
          <t>Sveaskog</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54245-2025</t>
        </is>
      </c>
      <c r="B3383" s="1" t="n">
        <v>45964.63807870371</v>
      </c>
      <c r="C3383" s="1" t="n">
        <v>46103</v>
      </c>
      <c r="D3383" t="inlineStr">
        <is>
          <t>KRONOBERGS LÄN</t>
        </is>
      </c>
      <c r="E3383" t="inlineStr">
        <is>
          <t>LJUNGBY</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54259-2025</t>
        </is>
      </c>
      <c r="B3384" s="1" t="n">
        <v>45964.65868055556</v>
      </c>
      <c r="C3384" s="1" t="n">
        <v>46103</v>
      </c>
      <c r="D3384" t="inlineStr">
        <is>
          <t>KRONOBERGS LÄN</t>
        </is>
      </c>
      <c r="E3384" t="inlineStr">
        <is>
          <t>LJUNGBY</t>
        </is>
      </c>
      <c r="F3384" t="inlineStr">
        <is>
          <t>Kommuner</t>
        </is>
      </c>
      <c r="G3384" t="n">
        <v>0.2</v>
      </c>
      <c r="H3384" t="n">
        <v>0</v>
      </c>
      <c r="I3384" t="n">
        <v>0</v>
      </c>
      <c r="J3384" t="n">
        <v>0</v>
      </c>
      <c r="K3384" t="n">
        <v>0</v>
      </c>
      <c r="L3384" t="n">
        <v>0</v>
      </c>
      <c r="M3384" t="n">
        <v>0</v>
      </c>
      <c r="N3384" t="n">
        <v>0</v>
      </c>
      <c r="O3384" t="n">
        <v>0</v>
      </c>
      <c r="P3384" t="n">
        <v>0</v>
      </c>
      <c r="Q3384" t="n">
        <v>0</v>
      </c>
      <c r="R3384" s="2" t="inlineStr"/>
    </row>
    <row r="3385" ht="15" customHeight="1">
      <c r="A3385" t="inlineStr">
        <is>
          <t>A 18694-2022</t>
        </is>
      </c>
      <c r="B3385" s="1" t="n">
        <v>44687.60125</v>
      </c>
      <c r="C3385" s="1" t="n">
        <v>46103</v>
      </c>
      <c r="D3385" t="inlineStr">
        <is>
          <t>KRONOBERGS LÄN</t>
        </is>
      </c>
      <c r="E3385" t="inlineStr">
        <is>
          <t>VÄXJÖ</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12309-2026</t>
        </is>
      </c>
      <c r="B3386" s="1" t="n">
        <v>46087.58449074074</v>
      </c>
      <c r="C3386" s="1" t="n">
        <v>46103</v>
      </c>
      <c r="D3386" t="inlineStr">
        <is>
          <t>KRONOBERGS LÄN</t>
        </is>
      </c>
      <c r="E3386" t="inlineStr">
        <is>
          <t>LJUNGBY</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4413-2026</t>
        </is>
      </c>
      <c r="B3387" s="1" t="n">
        <v>46045.60069444445</v>
      </c>
      <c r="C3387" s="1" t="n">
        <v>46103</v>
      </c>
      <c r="D3387" t="inlineStr">
        <is>
          <t>KRONOBERGS LÄN</t>
        </is>
      </c>
      <c r="E3387" t="inlineStr">
        <is>
          <t>LJUNGBY</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54214-2025</t>
        </is>
      </c>
      <c r="B3388" s="1" t="n">
        <v>45964.59454861111</v>
      </c>
      <c r="C3388" s="1" t="n">
        <v>46103</v>
      </c>
      <c r="D3388" t="inlineStr">
        <is>
          <t>KRONOBERGS LÄN</t>
        </is>
      </c>
      <c r="E3388" t="inlineStr">
        <is>
          <t>LJUNGBY</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42364-2024</t>
        </is>
      </c>
      <c r="B3389" s="1" t="n">
        <v>45563.45512731482</v>
      </c>
      <c r="C3389" s="1" t="n">
        <v>46103</v>
      </c>
      <c r="D3389" t="inlineStr">
        <is>
          <t>KRONOBERGS LÄN</t>
        </is>
      </c>
      <c r="E3389" t="inlineStr">
        <is>
          <t>ALVESTA</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25806-2025</t>
        </is>
      </c>
      <c r="B3390" s="1" t="n">
        <v>45804.40983796296</v>
      </c>
      <c r="C3390" s="1" t="n">
        <v>46103</v>
      </c>
      <c r="D3390" t="inlineStr">
        <is>
          <t>KRONOBERGS LÄN</t>
        </is>
      </c>
      <c r="E3390" t="inlineStr">
        <is>
          <t>UPPVIDINGE</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4457-2026</t>
        </is>
      </c>
      <c r="B3391" s="1" t="n">
        <v>46045.64295138889</v>
      </c>
      <c r="C3391" s="1" t="n">
        <v>46103</v>
      </c>
      <c r="D3391" t="inlineStr">
        <is>
          <t>KRONOBERGS LÄN</t>
        </is>
      </c>
      <c r="E3391" t="inlineStr">
        <is>
          <t>VÄXJÖ</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54380-2025</t>
        </is>
      </c>
      <c r="B3392" s="1" t="n">
        <v>45965.42905092592</v>
      </c>
      <c r="C3392" s="1" t="n">
        <v>46103</v>
      </c>
      <c r="D3392" t="inlineStr">
        <is>
          <t>KRONOBERGS LÄN</t>
        </is>
      </c>
      <c r="E3392" t="inlineStr">
        <is>
          <t>ALVESTA</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54400-2025</t>
        </is>
      </c>
      <c r="B3393" s="1" t="n">
        <v>45965.45212962963</v>
      </c>
      <c r="C3393" s="1" t="n">
        <v>46103</v>
      </c>
      <c r="D3393" t="inlineStr">
        <is>
          <t>KRONOBERGS LÄN</t>
        </is>
      </c>
      <c r="E3393" t="inlineStr">
        <is>
          <t>ALVESTA</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12122-2026</t>
        </is>
      </c>
      <c r="B3394" s="1" t="n">
        <v>46086.54724537037</v>
      </c>
      <c r="C3394" s="1" t="n">
        <v>46103</v>
      </c>
      <c r="D3394" t="inlineStr">
        <is>
          <t>KRONOBERGS LÄN</t>
        </is>
      </c>
      <c r="E3394" t="inlineStr">
        <is>
          <t>TINGSRYD</t>
        </is>
      </c>
      <c r="F3394" t="inlineStr">
        <is>
          <t>Övriga Aktiebolag</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4310-2026</t>
        </is>
      </c>
      <c r="B3395" s="1" t="n">
        <v>46045.44012731482</v>
      </c>
      <c r="C3395" s="1" t="n">
        <v>46103</v>
      </c>
      <c r="D3395" t="inlineStr">
        <is>
          <t>KRONOBERGS LÄN</t>
        </is>
      </c>
      <c r="E3395" t="inlineStr">
        <is>
          <t>VÄXJÖ</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1488-2025</t>
        </is>
      </c>
      <c r="B3396" s="1" t="n">
        <v>45670</v>
      </c>
      <c r="C3396" s="1" t="n">
        <v>46103</v>
      </c>
      <c r="D3396" t="inlineStr">
        <is>
          <t>KRONOBERGS LÄN</t>
        </is>
      </c>
      <c r="E3396" t="inlineStr">
        <is>
          <t>LESSEBO</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11427-2024</t>
        </is>
      </c>
      <c r="B3397" s="1" t="n">
        <v>45372.50484953704</v>
      </c>
      <c r="C3397" s="1" t="n">
        <v>46103</v>
      </c>
      <c r="D3397" t="inlineStr">
        <is>
          <t>KRONOBERGS LÄN</t>
        </is>
      </c>
      <c r="E3397" t="inlineStr">
        <is>
          <t>ÄLMHULT</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1490-2025</t>
        </is>
      </c>
      <c r="B3398" s="1" t="n">
        <v>45670.39853009259</v>
      </c>
      <c r="C3398" s="1" t="n">
        <v>46103</v>
      </c>
      <c r="D3398" t="inlineStr">
        <is>
          <t>KRONOBERGS LÄN</t>
        </is>
      </c>
      <c r="E3398" t="inlineStr">
        <is>
          <t>LESSEBO</t>
        </is>
      </c>
      <c r="F3398" t="inlineStr">
        <is>
          <t>Sveaskog</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54313-2025</t>
        </is>
      </c>
      <c r="B3399" s="1" t="n">
        <v>45965.3202662037</v>
      </c>
      <c r="C3399" s="1" t="n">
        <v>46103</v>
      </c>
      <c r="D3399" t="inlineStr">
        <is>
          <t>KRONOBERGS LÄN</t>
        </is>
      </c>
      <c r="E3399" t="inlineStr">
        <is>
          <t>VÄXJÖ</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4065-2026</t>
        </is>
      </c>
      <c r="B3400" s="1" t="n">
        <v>46044.51519675926</v>
      </c>
      <c r="C3400" s="1" t="n">
        <v>46103</v>
      </c>
      <c r="D3400" t="inlineStr">
        <is>
          <t>KRONOBERGS LÄN</t>
        </is>
      </c>
      <c r="E3400" t="inlineStr">
        <is>
          <t>TINGSRYD</t>
        </is>
      </c>
      <c r="F3400" t="inlineStr">
        <is>
          <t>Övriga Aktiebolag</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4386-2026</t>
        </is>
      </c>
      <c r="B3401" s="1" t="n">
        <v>46045.56550925926</v>
      </c>
      <c r="C3401" s="1" t="n">
        <v>46103</v>
      </c>
      <c r="D3401" t="inlineStr">
        <is>
          <t>KRONOBERGS LÄN</t>
        </is>
      </c>
      <c r="E3401" t="inlineStr">
        <is>
          <t>LJUNGBY</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4396-2026</t>
        </is>
      </c>
      <c r="B3402" s="1" t="n">
        <v>46045.5840625</v>
      </c>
      <c r="C3402" s="1" t="n">
        <v>46103</v>
      </c>
      <c r="D3402" t="inlineStr">
        <is>
          <t>KRONOBERGS LÄN</t>
        </is>
      </c>
      <c r="E3402" t="inlineStr">
        <is>
          <t>LJUNGBY</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56387-2023</t>
        </is>
      </c>
      <c r="B3403" s="1" t="n">
        <v>45243</v>
      </c>
      <c r="C3403" s="1" t="n">
        <v>46103</v>
      </c>
      <c r="D3403" t="inlineStr">
        <is>
          <t>KRONOBERGS LÄN</t>
        </is>
      </c>
      <c r="E3403" t="inlineStr">
        <is>
          <t>LJUNGBY</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54441-2025</t>
        </is>
      </c>
      <c r="B3404" s="1" t="n">
        <v>45965.50513888889</v>
      </c>
      <c r="C3404" s="1" t="n">
        <v>46103</v>
      </c>
      <c r="D3404" t="inlineStr">
        <is>
          <t>KRONOBERGS LÄN</t>
        </is>
      </c>
      <c r="E3404" t="inlineStr">
        <is>
          <t>LJUNGBY</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58490-2023</t>
        </is>
      </c>
      <c r="B3405" s="1" t="n">
        <v>45251.33616898148</v>
      </c>
      <c r="C3405" s="1" t="n">
        <v>46103</v>
      </c>
      <c r="D3405" t="inlineStr">
        <is>
          <t>KRONOBERGS LÄN</t>
        </is>
      </c>
      <c r="E3405" t="inlineStr">
        <is>
          <t>ÄLMHULT</t>
        </is>
      </c>
      <c r="G3405" t="n">
        <v>7.1</v>
      </c>
      <c r="H3405" t="n">
        <v>0</v>
      </c>
      <c r="I3405" t="n">
        <v>0</v>
      </c>
      <c r="J3405" t="n">
        <v>0</v>
      </c>
      <c r="K3405" t="n">
        <v>0</v>
      </c>
      <c r="L3405" t="n">
        <v>0</v>
      </c>
      <c r="M3405" t="n">
        <v>0</v>
      </c>
      <c r="N3405" t="n">
        <v>0</v>
      </c>
      <c r="O3405" t="n">
        <v>0</v>
      </c>
      <c r="P3405" t="n">
        <v>0</v>
      </c>
      <c r="Q3405" t="n">
        <v>0</v>
      </c>
      <c r="R3405" s="2" t="inlineStr"/>
    </row>
    <row r="3406" ht="15" customHeight="1">
      <c r="A3406" t="inlineStr">
        <is>
          <t>A 12133-2026</t>
        </is>
      </c>
      <c r="B3406" s="1" t="n">
        <v>46086.55395833333</v>
      </c>
      <c r="C3406" s="1" t="n">
        <v>46103</v>
      </c>
      <c r="D3406" t="inlineStr">
        <is>
          <t>KRONOBERGS LÄN</t>
        </is>
      </c>
      <c r="E3406" t="inlineStr">
        <is>
          <t>TINGSRYD</t>
        </is>
      </c>
      <c r="G3406" t="n">
        <v>4.2</v>
      </c>
      <c r="H3406" t="n">
        <v>0</v>
      </c>
      <c r="I3406" t="n">
        <v>0</v>
      </c>
      <c r="J3406" t="n">
        <v>0</v>
      </c>
      <c r="K3406" t="n">
        <v>0</v>
      </c>
      <c r="L3406" t="n">
        <v>0</v>
      </c>
      <c r="M3406" t="n">
        <v>0</v>
      </c>
      <c r="N3406" t="n">
        <v>0</v>
      </c>
      <c r="O3406" t="n">
        <v>0</v>
      </c>
      <c r="P3406" t="n">
        <v>0</v>
      </c>
      <c r="Q3406" t="n">
        <v>0</v>
      </c>
      <c r="R3406" s="2" t="inlineStr"/>
    </row>
    <row r="3407" ht="15" customHeight="1">
      <c r="A3407" t="inlineStr">
        <is>
          <t>A 5972-2023</t>
        </is>
      </c>
      <c r="B3407" s="1" t="n">
        <v>44964.34165509259</v>
      </c>
      <c r="C3407" s="1" t="n">
        <v>46103</v>
      </c>
      <c r="D3407" t="inlineStr">
        <is>
          <t>KRONOBERGS LÄN</t>
        </is>
      </c>
      <c r="E3407" t="inlineStr">
        <is>
          <t>TINGSRYD</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12126-2026</t>
        </is>
      </c>
      <c r="B3408" s="1" t="n">
        <v>46086.55025462963</v>
      </c>
      <c r="C3408" s="1" t="n">
        <v>46103</v>
      </c>
      <c r="D3408" t="inlineStr">
        <is>
          <t>KRONOBERGS LÄN</t>
        </is>
      </c>
      <c r="E3408" t="inlineStr">
        <is>
          <t>TINGSRYD</t>
        </is>
      </c>
      <c r="F3408" t="inlineStr">
        <is>
          <t>Övriga Aktiebolag</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4053-2026</t>
        </is>
      </c>
      <c r="B3409" s="1" t="n">
        <v>46044.48165509259</v>
      </c>
      <c r="C3409" s="1" t="n">
        <v>46103</v>
      </c>
      <c r="D3409" t="inlineStr">
        <is>
          <t>KRONOBERGS LÄN</t>
        </is>
      </c>
      <c r="E3409" t="inlineStr">
        <is>
          <t>TINGSRYD</t>
        </is>
      </c>
      <c r="F3409" t="inlineStr">
        <is>
          <t>Övriga Aktiebolag</t>
        </is>
      </c>
      <c r="G3409" t="n">
        <v>3.6</v>
      </c>
      <c r="H3409" t="n">
        <v>0</v>
      </c>
      <c r="I3409" t="n">
        <v>0</v>
      </c>
      <c r="J3409" t="n">
        <v>0</v>
      </c>
      <c r="K3409" t="n">
        <v>0</v>
      </c>
      <c r="L3409" t="n">
        <v>0</v>
      </c>
      <c r="M3409" t="n">
        <v>0</v>
      </c>
      <c r="N3409" t="n">
        <v>0</v>
      </c>
      <c r="O3409" t="n">
        <v>0</v>
      </c>
      <c r="P3409" t="n">
        <v>0</v>
      </c>
      <c r="Q3409" t="n">
        <v>0</v>
      </c>
      <c r="R3409" s="2" t="inlineStr"/>
    </row>
    <row r="3410" ht="15" customHeight="1">
      <c r="A3410" t="inlineStr">
        <is>
          <t>A 54112-2025</t>
        </is>
      </c>
      <c r="B3410" s="1" t="n">
        <v>45964.43373842593</v>
      </c>
      <c r="C3410" s="1" t="n">
        <v>46103</v>
      </c>
      <c r="D3410" t="inlineStr">
        <is>
          <t>KRONOBERGS LÄN</t>
        </is>
      </c>
      <c r="E3410" t="inlineStr">
        <is>
          <t>VÄXJÖ</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38859-2023</t>
        </is>
      </c>
      <c r="B3411" s="1" t="n">
        <v>45163.49982638889</v>
      </c>
      <c r="C3411" s="1" t="n">
        <v>46103</v>
      </c>
      <c r="D3411" t="inlineStr">
        <is>
          <t>KRONOBERGS LÄN</t>
        </is>
      </c>
      <c r="E3411" t="inlineStr">
        <is>
          <t>ALVESTA</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41124-2024</t>
        </is>
      </c>
      <c r="B3412" s="1" t="n">
        <v>45559</v>
      </c>
      <c r="C3412" s="1" t="n">
        <v>46103</v>
      </c>
      <c r="D3412" t="inlineStr">
        <is>
          <t>KRONOBERGS LÄN</t>
        </is>
      </c>
      <c r="E3412" t="inlineStr">
        <is>
          <t>TINGSRYD</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16241-2022</t>
        </is>
      </c>
      <c r="B3413" s="1" t="n">
        <v>44670.43472222222</v>
      </c>
      <c r="C3413" s="1" t="n">
        <v>46103</v>
      </c>
      <c r="D3413" t="inlineStr">
        <is>
          <t>KRONOBERGS LÄN</t>
        </is>
      </c>
      <c r="E3413" t="inlineStr">
        <is>
          <t>LJUNGBY</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60744-2023</t>
        </is>
      </c>
      <c r="B3414" s="1" t="n">
        <v>45260.57837962963</v>
      </c>
      <c r="C3414" s="1" t="n">
        <v>46103</v>
      </c>
      <c r="D3414" t="inlineStr">
        <is>
          <t>KRONOBERGS LÄN</t>
        </is>
      </c>
      <c r="E3414" t="inlineStr">
        <is>
          <t>TINGSRYD</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12427-2022</t>
        </is>
      </c>
      <c r="B3415" s="1" t="n">
        <v>44638.34265046296</v>
      </c>
      <c r="C3415" s="1" t="n">
        <v>46103</v>
      </c>
      <c r="D3415" t="inlineStr">
        <is>
          <t>KRONOBERGS LÄN</t>
        </is>
      </c>
      <c r="E3415" t="inlineStr">
        <is>
          <t>UPPVIDINGE</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4357-2026</t>
        </is>
      </c>
      <c r="B3416" s="1" t="n">
        <v>46045.53836805555</v>
      </c>
      <c r="C3416" s="1" t="n">
        <v>46103</v>
      </c>
      <c r="D3416" t="inlineStr">
        <is>
          <t>KRONOBERGS LÄN</t>
        </is>
      </c>
      <c r="E3416" t="inlineStr">
        <is>
          <t>TINGSRYD</t>
        </is>
      </c>
      <c r="F3416" t="inlineStr">
        <is>
          <t>Övriga Aktiebolag</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35309-2024</t>
        </is>
      </c>
      <c r="B3417" s="1" t="n">
        <v>45530</v>
      </c>
      <c r="C3417" s="1" t="n">
        <v>46103</v>
      </c>
      <c r="D3417" t="inlineStr">
        <is>
          <t>KRONOBERGS LÄN</t>
        </is>
      </c>
      <c r="E3417" t="inlineStr">
        <is>
          <t>MARKARYD</t>
        </is>
      </c>
      <c r="F3417" t="inlineStr">
        <is>
          <t>Sveaskog</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35313-2024</t>
        </is>
      </c>
      <c r="B3418" s="1" t="n">
        <v>45530</v>
      </c>
      <c r="C3418" s="1" t="n">
        <v>46103</v>
      </c>
      <c r="D3418" t="inlineStr">
        <is>
          <t>KRONOBERGS LÄN</t>
        </is>
      </c>
      <c r="E3418" t="inlineStr">
        <is>
          <t>LJUNGBY</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50115-2022</t>
        </is>
      </c>
      <c r="B3419" s="1" t="n">
        <v>44865.54231481482</v>
      </c>
      <c r="C3419" s="1" t="n">
        <v>46103</v>
      </c>
      <c r="D3419" t="inlineStr">
        <is>
          <t>KRONOBERGS LÄN</t>
        </is>
      </c>
      <c r="E3419" t="inlineStr">
        <is>
          <t>UPPVIDINGE</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4066-2026</t>
        </is>
      </c>
      <c r="B3420" s="1" t="n">
        <v>46044.51675925926</v>
      </c>
      <c r="C3420" s="1" t="n">
        <v>46103</v>
      </c>
      <c r="D3420" t="inlineStr">
        <is>
          <t>KRONOBERGS LÄN</t>
        </is>
      </c>
      <c r="E3420" t="inlineStr">
        <is>
          <t>TINGSRYD</t>
        </is>
      </c>
      <c r="F3420" t="inlineStr">
        <is>
          <t>Övriga Aktiebolag</t>
        </is>
      </c>
      <c r="G3420" t="n">
        <v>4.3</v>
      </c>
      <c r="H3420" t="n">
        <v>0</v>
      </c>
      <c r="I3420" t="n">
        <v>0</v>
      </c>
      <c r="J3420" t="n">
        <v>0</v>
      </c>
      <c r="K3420" t="n">
        <v>0</v>
      </c>
      <c r="L3420" t="n">
        <v>0</v>
      </c>
      <c r="M3420" t="n">
        <v>0</v>
      </c>
      <c r="N3420" t="n">
        <v>0</v>
      </c>
      <c r="O3420" t="n">
        <v>0</v>
      </c>
      <c r="P3420" t="n">
        <v>0</v>
      </c>
      <c r="Q3420" t="n">
        <v>0</v>
      </c>
      <c r="R3420" s="2" t="inlineStr"/>
    </row>
    <row r="3421" ht="15" customHeight="1">
      <c r="A3421" t="inlineStr">
        <is>
          <t>A 54522-2025</t>
        </is>
      </c>
      <c r="B3421" s="1" t="n">
        <v>45965.62971064815</v>
      </c>
      <c r="C3421" s="1" t="n">
        <v>46103</v>
      </c>
      <c r="D3421" t="inlineStr">
        <is>
          <t>KRONOBERGS LÄN</t>
        </is>
      </c>
      <c r="E3421" t="inlineStr">
        <is>
          <t>ALVESTA</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34160-2023</t>
        </is>
      </c>
      <c r="B3422" s="1" t="n">
        <v>45137.90618055555</v>
      </c>
      <c r="C3422" s="1" t="n">
        <v>46103</v>
      </c>
      <c r="D3422" t="inlineStr">
        <is>
          <t>KRONOBERGS LÄN</t>
        </is>
      </c>
      <c r="E3422" t="inlineStr">
        <is>
          <t>LJUNGBY</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35011-2021</t>
        </is>
      </c>
      <c r="B3423" s="1" t="n">
        <v>44383.6890162037</v>
      </c>
      <c r="C3423" s="1" t="n">
        <v>46103</v>
      </c>
      <c r="D3423" t="inlineStr">
        <is>
          <t>KRONOBERGS LÄN</t>
        </is>
      </c>
      <c r="E3423" t="inlineStr">
        <is>
          <t>ÄLMHULT</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31855-2023</t>
        </is>
      </c>
      <c r="B3424" s="1" t="n">
        <v>45106</v>
      </c>
      <c r="C3424" s="1" t="n">
        <v>46103</v>
      </c>
      <c r="D3424" t="inlineStr">
        <is>
          <t>KRONOBERGS LÄN</t>
        </is>
      </c>
      <c r="E3424" t="inlineStr">
        <is>
          <t>ALVESTA</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54312-2025</t>
        </is>
      </c>
      <c r="B3425" s="1" t="n">
        <v>45965.3200462963</v>
      </c>
      <c r="C3425" s="1" t="n">
        <v>46103</v>
      </c>
      <c r="D3425" t="inlineStr">
        <is>
          <t>KRONOBERGS LÄN</t>
        </is>
      </c>
      <c r="E3425" t="inlineStr">
        <is>
          <t>VÄXJÖ</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54383-2025</t>
        </is>
      </c>
      <c r="B3426" s="1" t="n">
        <v>45965.43515046296</v>
      </c>
      <c r="C3426" s="1" t="n">
        <v>46103</v>
      </c>
      <c r="D3426" t="inlineStr">
        <is>
          <t>KRONOBERGS LÄN</t>
        </is>
      </c>
      <c r="E3426" t="inlineStr">
        <is>
          <t>ALVESTA</t>
        </is>
      </c>
      <c r="G3426" t="n">
        <v>0.3</v>
      </c>
      <c r="H3426" t="n">
        <v>0</v>
      </c>
      <c r="I3426" t="n">
        <v>0</v>
      </c>
      <c r="J3426" t="n">
        <v>0</v>
      </c>
      <c r="K3426" t="n">
        <v>0</v>
      </c>
      <c r="L3426" t="n">
        <v>0</v>
      </c>
      <c r="M3426" t="n">
        <v>0</v>
      </c>
      <c r="N3426" t="n">
        <v>0</v>
      </c>
      <c r="O3426" t="n">
        <v>0</v>
      </c>
      <c r="P3426" t="n">
        <v>0</v>
      </c>
      <c r="Q3426" t="n">
        <v>0</v>
      </c>
      <c r="R3426" s="2" t="inlineStr"/>
    </row>
    <row r="3427" ht="15" customHeight="1">
      <c r="A3427" t="inlineStr">
        <is>
          <t>A 54390-2025</t>
        </is>
      </c>
      <c r="B3427" s="1" t="n">
        <v>45965.43920138889</v>
      </c>
      <c r="C3427" s="1" t="n">
        <v>46103</v>
      </c>
      <c r="D3427" t="inlineStr">
        <is>
          <t>KRONOBERGS LÄN</t>
        </is>
      </c>
      <c r="E3427" t="inlineStr">
        <is>
          <t>ALVESTA</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54392-2025</t>
        </is>
      </c>
      <c r="B3428" s="1" t="n">
        <v>45965.44450231481</v>
      </c>
      <c r="C3428" s="1" t="n">
        <v>46103</v>
      </c>
      <c r="D3428" t="inlineStr">
        <is>
          <t>KRONOBERGS LÄN</t>
        </is>
      </c>
      <c r="E3428" t="inlineStr">
        <is>
          <t>ALVESTA</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54404-2025</t>
        </is>
      </c>
      <c r="B3429" s="1" t="n">
        <v>45965.45489583333</v>
      </c>
      <c r="C3429" s="1" t="n">
        <v>46103</v>
      </c>
      <c r="D3429" t="inlineStr">
        <is>
          <t>KRONOBERGS LÄN</t>
        </is>
      </c>
      <c r="E3429" t="inlineStr">
        <is>
          <t>ALVESTA</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54425-2025</t>
        </is>
      </c>
      <c r="B3430" s="1" t="n">
        <v>45964</v>
      </c>
      <c r="C3430" s="1" t="n">
        <v>46103</v>
      </c>
      <c r="D3430" t="inlineStr">
        <is>
          <t>KRONOBERGS LÄN</t>
        </is>
      </c>
      <c r="E3430" t="inlineStr">
        <is>
          <t>TINGSRYD</t>
        </is>
      </c>
      <c r="G3430" t="n">
        <v>8.6</v>
      </c>
      <c r="H3430" t="n">
        <v>0</v>
      </c>
      <c r="I3430" t="n">
        <v>0</v>
      </c>
      <c r="J3430" t="n">
        <v>0</v>
      </c>
      <c r="K3430" t="n">
        <v>0</v>
      </c>
      <c r="L3430" t="n">
        <v>0</v>
      </c>
      <c r="M3430" t="n">
        <v>0</v>
      </c>
      <c r="N3430" t="n">
        <v>0</v>
      </c>
      <c r="O3430" t="n">
        <v>0</v>
      </c>
      <c r="P3430" t="n">
        <v>0</v>
      </c>
      <c r="Q3430" t="n">
        <v>0</v>
      </c>
      <c r="R3430" s="2" t="inlineStr"/>
    </row>
    <row r="3431" ht="15" customHeight="1">
      <c r="A3431" t="inlineStr">
        <is>
          <t>A 40298-2024</t>
        </is>
      </c>
      <c r="B3431" s="1" t="n">
        <v>45554.70358796296</v>
      </c>
      <c r="C3431" s="1" t="n">
        <v>46103</v>
      </c>
      <c r="D3431" t="inlineStr">
        <is>
          <t>KRONOBERGS LÄN</t>
        </is>
      </c>
      <c r="E3431" t="inlineStr">
        <is>
          <t>ALVESTA</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12019-2026</t>
        </is>
      </c>
      <c r="B3432" s="1" t="n">
        <v>46085</v>
      </c>
      <c r="C3432" s="1" t="n">
        <v>46103</v>
      </c>
      <c r="D3432" t="inlineStr">
        <is>
          <t>KRONOBERGS LÄN</t>
        </is>
      </c>
      <c r="E3432" t="inlineStr">
        <is>
          <t>MARKARYD</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31643-2024</t>
        </is>
      </c>
      <c r="B3433" s="1" t="n">
        <v>45506.60435185185</v>
      </c>
      <c r="C3433" s="1" t="n">
        <v>46103</v>
      </c>
      <c r="D3433" t="inlineStr">
        <is>
          <t>KRONOBERGS LÄN</t>
        </is>
      </c>
      <c r="E3433" t="inlineStr">
        <is>
          <t>UPPVIDINGE</t>
        </is>
      </c>
      <c r="G3433" t="n">
        <v>4.5</v>
      </c>
      <c r="H3433" t="n">
        <v>0</v>
      </c>
      <c r="I3433" t="n">
        <v>0</v>
      </c>
      <c r="J3433" t="n">
        <v>0</v>
      </c>
      <c r="K3433" t="n">
        <v>0</v>
      </c>
      <c r="L3433" t="n">
        <v>0</v>
      </c>
      <c r="M3433" t="n">
        <v>0</v>
      </c>
      <c r="N3433" t="n">
        <v>0</v>
      </c>
      <c r="O3433" t="n">
        <v>0</v>
      </c>
      <c r="P3433" t="n">
        <v>0</v>
      </c>
      <c r="Q3433" t="n">
        <v>0</v>
      </c>
      <c r="R3433" s="2" t="inlineStr"/>
    </row>
    <row r="3434" ht="15" customHeight="1">
      <c r="A3434" t="inlineStr">
        <is>
          <t>A 12020-2026</t>
        </is>
      </c>
      <c r="B3434" s="1" t="n">
        <v>46085</v>
      </c>
      <c r="C3434" s="1" t="n">
        <v>46103</v>
      </c>
      <c r="D3434" t="inlineStr">
        <is>
          <t>KRONOBERGS LÄN</t>
        </is>
      </c>
      <c r="E3434" t="inlineStr">
        <is>
          <t>MARKARYD</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12075-2026</t>
        </is>
      </c>
      <c r="B3435" s="1" t="n">
        <v>46086.43337962963</v>
      </c>
      <c r="C3435" s="1" t="n">
        <v>46103</v>
      </c>
      <c r="D3435" t="inlineStr">
        <is>
          <t>KRONOBERGS LÄN</t>
        </is>
      </c>
      <c r="E3435" t="inlineStr">
        <is>
          <t>UPPVIDINGE</t>
        </is>
      </c>
      <c r="G3435" t="n">
        <v>7.9</v>
      </c>
      <c r="H3435" t="n">
        <v>0</v>
      </c>
      <c r="I3435" t="n">
        <v>0</v>
      </c>
      <c r="J3435" t="n">
        <v>0</v>
      </c>
      <c r="K3435" t="n">
        <v>0</v>
      </c>
      <c r="L3435" t="n">
        <v>0</v>
      </c>
      <c r="M3435" t="n">
        <v>0</v>
      </c>
      <c r="N3435" t="n">
        <v>0</v>
      </c>
      <c r="O3435" t="n">
        <v>0</v>
      </c>
      <c r="P3435" t="n">
        <v>0</v>
      </c>
      <c r="Q3435" t="n">
        <v>0</v>
      </c>
      <c r="R3435" s="2" t="inlineStr"/>
    </row>
    <row r="3436" ht="15" customHeight="1">
      <c r="A3436" t="inlineStr">
        <is>
          <t>A 20621-2024</t>
        </is>
      </c>
      <c r="B3436" s="1" t="n">
        <v>45436.46103009259</v>
      </c>
      <c r="C3436" s="1" t="n">
        <v>46103</v>
      </c>
      <c r="D3436" t="inlineStr">
        <is>
          <t>KRONOBERGS LÄN</t>
        </is>
      </c>
      <c r="E3436" t="inlineStr">
        <is>
          <t>VÄXJÖ</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20628-2024</t>
        </is>
      </c>
      <c r="B3437" s="1" t="n">
        <v>45436.47261574074</v>
      </c>
      <c r="C3437" s="1" t="n">
        <v>46103</v>
      </c>
      <c r="D3437" t="inlineStr">
        <is>
          <t>KRONOBERGS LÄN</t>
        </is>
      </c>
      <c r="E3437" t="inlineStr">
        <is>
          <t>ALVESTA</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21272-2024</t>
        </is>
      </c>
      <c r="B3438" s="1" t="n">
        <v>45440</v>
      </c>
      <c r="C3438" s="1" t="n">
        <v>46103</v>
      </c>
      <c r="D3438" t="inlineStr">
        <is>
          <t>KRONOBERGS LÄN</t>
        </is>
      </c>
      <c r="E3438" t="inlineStr">
        <is>
          <t>ÄLMHULT</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4373-2026</t>
        </is>
      </c>
      <c r="B3439" s="1" t="n">
        <v>46045.54962962963</v>
      </c>
      <c r="C3439" s="1" t="n">
        <v>46103</v>
      </c>
      <c r="D3439" t="inlineStr">
        <is>
          <t>KRONOBERGS LÄN</t>
        </is>
      </c>
      <c r="E3439" t="inlineStr">
        <is>
          <t>TINGSRYD</t>
        </is>
      </c>
      <c r="F3439" t="inlineStr">
        <is>
          <t>Övriga Aktiebolag</t>
        </is>
      </c>
      <c r="G3439" t="n">
        <v>5.6</v>
      </c>
      <c r="H3439" t="n">
        <v>0</v>
      </c>
      <c r="I3439" t="n">
        <v>0</v>
      </c>
      <c r="J3439" t="n">
        <v>0</v>
      </c>
      <c r="K3439" t="n">
        <v>0</v>
      </c>
      <c r="L3439" t="n">
        <v>0</v>
      </c>
      <c r="M3439" t="n">
        <v>0</v>
      </c>
      <c r="N3439" t="n">
        <v>0</v>
      </c>
      <c r="O3439" t="n">
        <v>0</v>
      </c>
      <c r="P3439" t="n">
        <v>0</v>
      </c>
      <c r="Q3439" t="n">
        <v>0</v>
      </c>
      <c r="R3439" s="2" t="inlineStr"/>
    </row>
    <row r="3440" ht="15" customHeight="1">
      <c r="A3440" t="inlineStr">
        <is>
          <t>A 4381-2026</t>
        </is>
      </c>
      <c r="B3440" s="1" t="n">
        <v>46045.56234953704</v>
      </c>
      <c r="C3440" s="1" t="n">
        <v>46103</v>
      </c>
      <c r="D3440" t="inlineStr">
        <is>
          <t>KRONOBERGS LÄN</t>
        </is>
      </c>
      <c r="E3440" t="inlineStr">
        <is>
          <t>LJUNGBY</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4392-2026</t>
        </is>
      </c>
      <c r="B3441" s="1" t="n">
        <v>46045.57591435185</v>
      </c>
      <c r="C3441" s="1" t="n">
        <v>46103</v>
      </c>
      <c r="D3441" t="inlineStr">
        <is>
          <t>KRONOBERGS LÄN</t>
        </is>
      </c>
      <c r="E3441" t="inlineStr">
        <is>
          <t>LJUNGBY</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7104-2022</t>
        </is>
      </c>
      <c r="B3442" s="1" t="n">
        <v>44603</v>
      </c>
      <c r="C3442" s="1" t="n">
        <v>46103</v>
      </c>
      <c r="D3442" t="inlineStr">
        <is>
          <t>KRONOBERGS LÄN</t>
        </is>
      </c>
      <c r="E3442" t="inlineStr">
        <is>
          <t>UPPVIDINGE</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60621-2023</t>
        </is>
      </c>
      <c r="B3443" s="1" t="n">
        <v>45260.3800462963</v>
      </c>
      <c r="C3443" s="1" t="n">
        <v>46103</v>
      </c>
      <c r="D3443" t="inlineStr">
        <is>
          <t>KRONOBERGS LÄN</t>
        </is>
      </c>
      <c r="E3443" t="inlineStr">
        <is>
          <t>VÄXJÖ</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4325-2026</t>
        </is>
      </c>
      <c r="B3444" s="1" t="n">
        <v>46045.46387731482</v>
      </c>
      <c r="C3444" s="1" t="n">
        <v>46103</v>
      </c>
      <c r="D3444" t="inlineStr">
        <is>
          <t>KRONOBERGS LÄN</t>
        </is>
      </c>
      <c r="E3444" t="inlineStr">
        <is>
          <t>ÄLMHULT</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4347-2026</t>
        </is>
      </c>
      <c r="B3445" s="1" t="n">
        <v>46045.52300925926</v>
      </c>
      <c r="C3445" s="1" t="n">
        <v>46103</v>
      </c>
      <c r="D3445" t="inlineStr">
        <is>
          <t>KRONOBERGS LÄN</t>
        </is>
      </c>
      <c r="E3445" t="inlineStr">
        <is>
          <t>TINGSRYD</t>
        </is>
      </c>
      <c r="F3445" t="inlineStr">
        <is>
          <t>Övriga Aktiebolag</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12258-2026</t>
        </is>
      </c>
      <c r="B3446" s="1" t="n">
        <v>46087</v>
      </c>
      <c r="C3446" s="1" t="n">
        <v>46103</v>
      </c>
      <c r="D3446" t="inlineStr">
        <is>
          <t>KRONOBERGS LÄN</t>
        </is>
      </c>
      <c r="E3446" t="inlineStr">
        <is>
          <t>ALVESTA</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46178-2025</t>
        </is>
      </c>
      <c r="B3447" s="1" t="n">
        <v>45924.65366898148</v>
      </c>
      <c r="C3447" s="1" t="n">
        <v>46103</v>
      </c>
      <c r="D3447" t="inlineStr">
        <is>
          <t>KRONOBERGS LÄN</t>
        </is>
      </c>
      <c r="E3447" t="inlineStr">
        <is>
          <t>VÄXJÖ</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35868-2023</t>
        </is>
      </c>
      <c r="B3448" s="1" t="n">
        <v>45148.54725694445</v>
      </c>
      <c r="C3448" s="1" t="n">
        <v>46103</v>
      </c>
      <c r="D3448" t="inlineStr">
        <is>
          <t>KRONOBERGS LÄN</t>
        </is>
      </c>
      <c r="E3448" t="inlineStr">
        <is>
          <t>VÄXJÖ</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35876-2023</t>
        </is>
      </c>
      <c r="B3449" s="1" t="n">
        <v>45148</v>
      </c>
      <c r="C3449" s="1" t="n">
        <v>46103</v>
      </c>
      <c r="D3449" t="inlineStr">
        <is>
          <t>KRONOBERGS LÄN</t>
        </is>
      </c>
      <c r="E3449" t="inlineStr">
        <is>
          <t>VÄXJÖ</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72429-2021</t>
        </is>
      </c>
      <c r="B3450" s="1" t="n">
        <v>44545.65563657408</v>
      </c>
      <c r="C3450" s="1" t="n">
        <v>46103</v>
      </c>
      <c r="D3450" t="inlineStr">
        <is>
          <t>KRONOBERGS LÄN</t>
        </is>
      </c>
      <c r="E3450" t="inlineStr">
        <is>
          <t>VÄXJÖ</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72469-2021</t>
        </is>
      </c>
      <c r="B3451" s="1" t="n">
        <v>44545.80055555556</v>
      </c>
      <c r="C3451" s="1" t="n">
        <v>46103</v>
      </c>
      <c r="D3451" t="inlineStr">
        <is>
          <t>KRONOBERGS LÄN</t>
        </is>
      </c>
      <c r="E3451" t="inlineStr">
        <is>
          <t>ÄLMHULT</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12018-2026</t>
        </is>
      </c>
      <c r="B3452" s="1" t="n">
        <v>46085</v>
      </c>
      <c r="C3452" s="1" t="n">
        <v>46103</v>
      </c>
      <c r="D3452" t="inlineStr">
        <is>
          <t>KRONOBERGS LÄN</t>
        </is>
      </c>
      <c r="E3452" t="inlineStr">
        <is>
          <t>MARKARYD</t>
        </is>
      </c>
      <c r="G3452" t="n">
        <v>0.2</v>
      </c>
      <c r="H3452" t="n">
        <v>0</v>
      </c>
      <c r="I3452" t="n">
        <v>0</v>
      </c>
      <c r="J3452" t="n">
        <v>0</v>
      </c>
      <c r="K3452" t="n">
        <v>0</v>
      </c>
      <c r="L3452" t="n">
        <v>0</v>
      </c>
      <c r="M3452" t="n">
        <v>0</v>
      </c>
      <c r="N3452" t="n">
        <v>0</v>
      </c>
      <c r="O3452" t="n">
        <v>0</v>
      </c>
      <c r="P3452" t="n">
        <v>0</v>
      </c>
      <c r="Q3452" t="n">
        <v>0</v>
      </c>
      <c r="R3452" s="2" t="inlineStr"/>
    </row>
    <row r="3453" ht="15" customHeight="1">
      <c r="A3453" t="inlineStr">
        <is>
          <t>A 12021-2026</t>
        </is>
      </c>
      <c r="B3453" s="1" t="n">
        <v>46085</v>
      </c>
      <c r="C3453" s="1" t="n">
        <v>46103</v>
      </c>
      <c r="D3453" t="inlineStr">
        <is>
          <t>KRONOBERGS LÄN</t>
        </is>
      </c>
      <c r="E3453" t="inlineStr">
        <is>
          <t>MARKARYD</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12022-2026</t>
        </is>
      </c>
      <c r="B3454" s="1" t="n">
        <v>46085</v>
      </c>
      <c r="C3454" s="1" t="n">
        <v>46103</v>
      </c>
      <c r="D3454" t="inlineStr">
        <is>
          <t>KRONOBERGS LÄN</t>
        </is>
      </c>
      <c r="E3454" t="inlineStr">
        <is>
          <t>MARKARYD</t>
        </is>
      </c>
      <c r="G3454" t="n">
        <v>0.2</v>
      </c>
      <c r="H3454" t="n">
        <v>0</v>
      </c>
      <c r="I3454" t="n">
        <v>0</v>
      </c>
      <c r="J3454" t="n">
        <v>0</v>
      </c>
      <c r="K3454" t="n">
        <v>0</v>
      </c>
      <c r="L3454" t="n">
        <v>0</v>
      </c>
      <c r="M3454" t="n">
        <v>0</v>
      </c>
      <c r="N3454" t="n">
        <v>0</v>
      </c>
      <c r="O3454" t="n">
        <v>0</v>
      </c>
      <c r="P3454" t="n">
        <v>0</v>
      </c>
      <c r="Q3454" t="n">
        <v>0</v>
      </c>
      <c r="R3454" s="2" t="inlineStr"/>
    </row>
    <row r="3455" ht="15" customHeight="1">
      <c r="A3455" t="inlineStr">
        <is>
          <t>A 12056-2026</t>
        </is>
      </c>
      <c r="B3455" s="1" t="n">
        <v>46086.36974537037</v>
      </c>
      <c r="C3455" s="1" t="n">
        <v>46103</v>
      </c>
      <c r="D3455" t="inlineStr">
        <is>
          <t>KRONOBERGS LÄN</t>
        </is>
      </c>
      <c r="E3455" t="inlineStr">
        <is>
          <t>LJUNGBY</t>
        </is>
      </c>
      <c r="F3455" t="inlineStr">
        <is>
          <t>Kommuner</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31169-2025</t>
        </is>
      </c>
      <c r="B3456" s="1" t="n">
        <v>45831</v>
      </c>
      <c r="C3456" s="1" t="n">
        <v>46103</v>
      </c>
      <c r="D3456" t="inlineStr">
        <is>
          <t>KRONOBERGS LÄN</t>
        </is>
      </c>
      <c r="E3456" t="inlineStr">
        <is>
          <t>ALVESTA</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62514-2021</t>
        </is>
      </c>
      <c r="B3457" s="1" t="n">
        <v>44503.58450231481</v>
      </c>
      <c r="C3457" s="1" t="n">
        <v>46103</v>
      </c>
      <c r="D3457" t="inlineStr">
        <is>
          <t>KRONOBERGS LÄN</t>
        </is>
      </c>
      <c r="E3457" t="inlineStr">
        <is>
          <t>UPPVIDINGE</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34662-2023</t>
        </is>
      </c>
      <c r="B3458" s="1" t="n">
        <v>45140.77881944444</v>
      </c>
      <c r="C3458" s="1" t="n">
        <v>46103</v>
      </c>
      <c r="D3458" t="inlineStr">
        <is>
          <t>KRONOBERGS LÄN</t>
        </is>
      </c>
      <c r="E3458" t="inlineStr">
        <is>
          <t>ÄLMHULT</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54694-2025</t>
        </is>
      </c>
      <c r="B3459" s="1" t="n">
        <v>45966.46200231482</v>
      </c>
      <c r="C3459" s="1" t="n">
        <v>46103</v>
      </c>
      <c r="D3459" t="inlineStr">
        <is>
          <t>KRONOBERGS LÄN</t>
        </is>
      </c>
      <c r="E3459" t="inlineStr">
        <is>
          <t>ÄLMHULT</t>
        </is>
      </c>
      <c r="G3459" t="n">
        <v>6.1</v>
      </c>
      <c r="H3459" t="n">
        <v>0</v>
      </c>
      <c r="I3459" t="n">
        <v>0</v>
      </c>
      <c r="J3459" t="n">
        <v>0</v>
      </c>
      <c r="K3459" t="n">
        <v>0</v>
      </c>
      <c r="L3459" t="n">
        <v>0</v>
      </c>
      <c r="M3459" t="n">
        <v>0</v>
      </c>
      <c r="N3459" t="n">
        <v>0</v>
      </c>
      <c r="O3459" t="n">
        <v>0</v>
      </c>
      <c r="P3459" t="n">
        <v>0</v>
      </c>
      <c r="Q3459" t="n">
        <v>0</v>
      </c>
      <c r="R3459" s="2" t="inlineStr"/>
    </row>
    <row r="3460" ht="15" customHeight="1">
      <c r="A3460" t="inlineStr">
        <is>
          <t>A 26085-2023</t>
        </is>
      </c>
      <c r="B3460" s="1" t="n">
        <v>45091.38644675926</v>
      </c>
      <c r="C3460" s="1" t="n">
        <v>46103</v>
      </c>
      <c r="D3460" t="inlineStr">
        <is>
          <t>KRONOBERGS LÄN</t>
        </is>
      </c>
      <c r="E3460" t="inlineStr">
        <is>
          <t>VÄXJÖ</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4095-2026</t>
        </is>
      </c>
      <c r="B3461" s="1" t="n">
        <v>46044.56614583333</v>
      </c>
      <c r="C3461" s="1" t="n">
        <v>46103</v>
      </c>
      <c r="D3461" t="inlineStr">
        <is>
          <t>KRONOBERGS LÄN</t>
        </is>
      </c>
      <c r="E3461" t="inlineStr">
        <is>
          <t>TINGSRYD</t>
        </is>
      </c>
      <c r="F3461" t="inlineStr">
        <is>
          <t>Övriga Aktiebolag</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54890-2025</t>
        </is>
      </c>
      <c r="B3462" s="1" t="n">
        <v>45967.3558912037</v>
      </c>
      <c r="C3462" s="1" t="n">
        <v>46103</v>
      </c>
      <c r="D3462" t="inlineStr">
        <is>
          <t>KRONOBERGS LÄN</t>
        </is>
      </c>
      <c r="E3462" t="inlineStr">
        <is>
          <t>LJUNGBY</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31152-2025</t>
        </is>
      </c>
      <c r="B3463" s="1" t="n">
        <v>45831</v>
      </c>
      <c r="C3463" s="1" t="n">
        <v>46103</v>
      </c>
      <c r="D3463" t="inlineStr">
        <is>
          <t>KRONOBERGS LÄN</t>
        </is>
      </c>
      <c r="E3463" t="inlineStr">
        <is>
          <t>ALVESTA</t>
        </is>
      </c>
      <c r="G3463" t="n">
        <v>3.5</v>
      </c>
      <c r="H3463" t="n">
        <v>0</v>
      </c>
      <c r="I3463" t="n">
        <v>0</v>
      </c>
      <c r="J3463" t="n">
        <v>0</v>
      </c>
      <c r="K3463" t="n">
        <v>0</v>
      </c>
      <c r="L3463" t="n">
        <v>0</v>
      </c>
      <c r="M3463" t="n">
        <v>0</v>
      </c>
      <c r="N3463" t="n">
        <v>0</v>
      </c>
      <c r="O3463" t="n">
        <v>0</v>
      </c>
      <c r="P3463" t="n">
        <v>0</v>
      </c>
      <c r="Q3463" t="n">
        <v>0</v>
      </c>
      <c r="R3463" s="2" t="inlineStr"/>
    </row>
    <row r="3464" ht="15" customHeight="1">
      <c r="A3464" t="inlineStr">
        <is>
          <t>A 31181-2025</t>
        </is>
      </c>
      <c r="B3464" s="1" t="n">
        <v>45831</v>
      </c>
      <c r="C3464" s="1" t="n">
        <v>46103</v>
      </c>
      <c r="D3464" t="inlineStr">
        <is>
          <t>KRONOBERGS LÄN</t>
        </is>
      </c>
      <c r="E3464" t="inlineStr">
        <is>
          <t>ALVESTA</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55032-2025</t>
        </is>
      </c>
      <c r="B3465" s="1" t="n">
        <v>45967.6405787037</v>
      </c>
      <c r="C3465" s="1" t="n">
        <v>46103</v>
      </c>
      <c r="D3465" t="inlineStr">
        <is>
          <t>KRONOBERGS LÄN</t>
        </is>
      </c>
      <c r="E3465" t="inlineStr">
        <is>
          <t>MARKARYD</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11559-2022</t>
        </is>
      </c>
      <c r="B3466" s="1" t="n">
        <v>44631.46039351852</v>
      </c>
      <c r="C3466" s="1" t="n">
        <v>46103</v>
      </c>
      <c r="D3466" t="inlineStr">
        <is>
          <t>KRONOBERGS LÄN</t>
        </is>
      </c>
      <c r="E3466" t="inlineStr">
        <is>
          <t>TINGSRYD</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54824-2025</t>
        </is>
      </c>
      <c r="B3467" s="1" t="n">
        <v>45966.66572916666</v>
      </c>
      <c r="C3467" s="1" t="n">
        <v>46103</v>
      </c>
      <c r="D3467" t="inlineStr">
        <is>
          <t>KRONOBERGS LÄN</t>
        </is>
      </c>
      <c r="E3467" t="inlineStr">
        <is>
          <t>ÄLMHULT</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43024-2024</t>
        </is>
      </c>
      <c r="B3468" s="1" t="n">
        <v>45567</v>
      </c>
      <c r="C3468" s="1" t="n">
        <v>46103</v>
      </c>
      <c r="D3468" t="inlineStr">
        <is>
          <t>KRONOBERGS LÄN</t>
        </is>
      </c>
      <c r="E3468" t="inlineStr">
        <is>
          <t>LJUNGBY</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54917-2025</t>
        </is>
      </c>
      <c r="B3469" s="1" t="n">
        <v>45967.3860300926</v>
      </c>
      <c r="C3469" s="1" t="n">
        <v>46103</v>
      </c>
      <c r="D3469" t="inlineStr">
        <is>
          <t>KRONOBERGS LÄN</t>
        </is>
      </c>
      <c r="E3469" t="inlineStr">
        <is>
          <t>ÄLMHULT</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52737-2021</t>
        </is>
      </c>
      <c r="B3470" s="1" t="n">
        <v>44467.30171296297</v>
      </c>
      <c r="C3470" s="1" t="n">
        <v>46103</v>
      </c>
      <c r="D3470" t="inlineStr">
        <is>
          <t>KRONOBERGS LÄN</t>
        </is>
      </c>
      <c r="E3470" t="inlineStr">
        <is>
          <t>MARKARYD</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39754-2023</t>
        </is>
      </c>
      <c r="B3471" s="1" t="n">
        <v>45167.68207175926</v>
      </c>
      <c r="C3471" s="1" t="n">
        <v>46103</v>
      </c>
      <c r="D3471" t="inlineStr">
        <is>
          <t>KRONOBERGS LÄN</t>
        </is>
      </c>
      <c r="E3471" t="inlineStr">
        <is>
          <t>LJUNGBY</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12524-2026</t>
        </is>
      </c>
      <c r="B3472" s="1" t="n">
        <v>46090.5977199074</v>
      </c>
      <c r="C3472" s="1" t="n">
        <v>46103</v>
      </c>
      <c r="D3472" t="inlineStr">
        <is>
          <t>KRONOBERGS LÄN</t>
        </is>
      </c>
      <c r="E3472" t="inlineStr">
        <is>
          <t>MARKARYD</t>
        </is>
      </c>
      <c r="F3472" t="inlineStr">
        <is>
          <t>Sveaskog</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59278-2024</t>
        </is>
      </c>
      <c r="B3473" s="1" t="n">
        <v>45637.63881944444</v>
      </c>
      <c r="C3473" s="1" t="n">
        <v>46103</v>
      </c>
      <c r="D3473" t="inlineStr">
        <is>
          <t>KRONOBERGS LÄN</t>
        </is>
      </c>
      <c r="E3473" t="inlineStr">
        <is>
          <t>UPPVIDINGE</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26875-2024</t>
        </is>
      </c>
      <c r="B3474" s="1" t="n">
        <v>45470</v>
      </c>
      <c r="C3474" s="1" t="n">
        <v>46103</v>
      </c>
      <c r="D3474" t="inlineStr">
        <is>
          <t>KRONOBERGS LÄN</t>
        </is>
      </c>
      <c r="E3474" t="inlineStr">
        <is>
          <t>LJUNGBY</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5761-2026</t>
        </is>
      </c>
      <c r="B3475" s="1" t="n">
        <v>46049</v>
      </c>
      <c r="C3475" s="1" t="n">
        <v>46103</v>
      </c>
      <c r="D3475" t="inlineStr">
        <is>
          <t>KRONOBERGS LÄN</t>
        </is>
      </c>
      <c r="E3475" t="inlineStr">
        <is>
          <t>MARKARYD</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5775-2026</t>
        </is>
      </c>
      <c r="B3476" s="1" t="n">
        <v>46049</v>
      </c>
      <c r="C3476" s="1" t="n">
        <v>46103</v>
      </c>
      <c r="D3476" t="inlineStr">
        <is>
          <t>KRONOBERGS LÄN</t>
        </is>
      </c>
      <c r="E3476" t="inlineStr">
        <is>
          <t>MARKARYD</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5782-2026</t>
        </is>
      </c>
      <c r="B3477" s="1" t="n">
        <v>46049</v>
      </c>
      <c r="C3477" s="1" t="n">
        <v>46103</v>
      </c>
      <c r="D3477" t="inlineStr">
        <is>
          <t>KRONOBERGS LÄN</t>
        </is>
      </c>
      <c r="E3477" t="inlineStr">
        <is>
          <t>MARKARYD</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54541-2023</t>
        </is>
      </c>
      <c r="B3478" s="1" t="n">
        <v>45233</v>
      </c>
      <c r="C3478" s="1" t="n">
        <v>46103</v>
      </c>
      <c r="D3478" t="inlineStr">
        <is>
          <t>KRONOBERGS LÄN</t>
        </is>
      </c>
      <c r="E3478" t="inlineStr">
        <is>
          <t>LESSEBO</t>
        </is>
      </c>
      <c r="F3478" t="inlineStr">
        <is>
          <t>Sveaskog</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13648-2024</t>
        </is>
      </c>
      <c r="B3479" s="1" t="n">
        <v>45390.47076388889</v>
      </c>
      <c r="C3479" s="1" t="n">
        <v>46103</v>
      </c>
      <c r="D3479" t="inlineStr">
        <is>
          <t>KRONOBERGS LÄN</t>
        </is>
      </c>
      <c r="E3479" t="inlineStr">
        <is>
          <t>ALVESTA</t>
        </is>
      </c>
      <c r="G3479" t="n">
        <v>4.6</v>
      </c>
      <c r="H3479" t="n">
        <v>0</v>
      </c>
      <c r="I3479" t="n">
        <v>0</v>
      </c>
      <c r="J3479" t="n">
        <v>0</v>
      </c>
      <c r="K3479" t="n">
        <v>0</v>
      </c>
      <c r="L3479" t="n">
        <v>0</v>
      </c>
      <c r="M3479" t="n">
        <v>0</v>
      </c>
      <c r="N3479" t="n">
        <v>0</v>
      </c>
      <c r="O3479" t="n">
        <v>0</v>
      </c>
      <c r="P3479" t="n">
        <v>0</v>
      </c>
      <c r="Q3479" t="n">
        <v>0</v>
      </c>
      <c r="R3479" s="2" t="inlineStr"/>
    </row>
    <row r="3480" ht="15" customHeight="1">
      <c r="A3480" t="inlineStr">
        <is>
          <t>A 49250-2021</t>
        </is>
      </c>
      <c r="B3480" s="1" t="n">
        <v>44454</v>
      </c>
      <c r="C3480" s="1" t="n">
        <v>46103</v>
      </c>
      <c r="D3480" t="inlineStr">
        <is>
          <t>KRONOBERGS LÄN</t>
        </is>
      </c>
      <c r="E3480" t="inlineStr">
        <is>
          <t>TINGSRYD</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54954-2025</t>
        </is>
      </c>
      <c r="B3481" s="1" t="n">
        <v>45967.45761574074</v>
      </c>
      <c r="C3481" s="1" t="n">
        <v>46103</v>
      </c>
      <c r="D3481" t="inlineStr">
        <is>
          <t>KRONOBERGS LÄN</t>
        </is>
      </c>
      <c r="E3481" t="inlineStr">
        <is>
          <t>UPPVIDINGE</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13682-2024</t>
        </is>
      </c>
      <c r="B3482" s="1" t="n">
        <v>45390.55701388889</v>
      </c>
      <c r="C3482" s="1" t="n">
        <v>46103</v>
      </c>
      <c r="D3482" t="inlineStr">
        <is>
          <t>KRONOBERGS LÄN</t>
        </is>
      </c>
      <c r="E3482" t="inlineStr">
        <is>
          <t>VÄXJÖ</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5182-2026</t>
        </is>
      </c>
      <c r="B3483" s="1" t="n">
        <v>46049.65488425926</v>
      </c>
      <c r="C3483" s="1" t="n">
        <v>46103</v>
      </c>
      <c r="D3483" t="inlineStr">
        <is>
          <t>KRONOBERGS LÄN</t>
        </is>
      </c>
      <c r="E3483" t="inlineStr">
        <is>
          <t>VÄXJÖ</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56552-2021</t>
        </is>
      </c>
      <c r="B3484" s="1" t="n">
        <v>44480.62013888889</v>
      </c>
      <c r="C3484" s="1" t="n">
        <v>46103</v>
      </c>
      <c r="D3484" t="inlineStr">
        <is>
          <t>KRONOBERGS LÄN</t>
        </is>
      </c>
      <c r="E3484" t="inlineStr">
        <is>
          <t>ALVESTA</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1350-2023</t>
        </is>
      </c>
      <c r="B3485" s="1" t="n">
        <v>44936.61140046296</v>
      </c>
      <c r="C3485" s="1" t="n">
        <v>46103</v>
      </c>
      <c r="D3485" t="inlineStr">
        <is>
          <t>KRONOBERGS LÄN</t>
        </is>
      </c>
      <c r="E3485" t="inlineStr">
        <is>
          <t>TINGSRYD</t>
        </is>
      </c>
      <c r="G3485" t="n">
        <v>0</v>
      </c>
      <c r="H3485" t="n">
        <v>0</v>
      </c>
      <c r="I3485" t="n">
        <v>0</v>
      </c>
      <c r="J3485" t="n">
        <v>0</v>
      </c>
      <c r="K3485" t="n">
        <v>0</v>
      </c>
      <c r="L3485" t="n">
        <v>0</v>
      </c>
      <c r="M3485" t="n">
        <v>0</v>
      </c>
      <c r="N3485" t="n">
        <v>0</v>
      </c>
      <c r="O3485" t="n">
        <v>0</v>
      </c>
      <c r="P3485" t="n">
        <v>0</v>
      </c>
      <c r="Q3485" t="n">
        <v>0</v>
      </c>
      <c r="R3485" s="2" t="inlineStr"/>
    </row>
    <row r="3486" ht="15" customHeight="1">
      <c r="A3486" t="inlineStr">
        <is>
          <t>A 1364-2023</t>
        </is>
      </c>
      <c r="B3486" s="1" t="n">
        <v>44936</v>
      </c>
      <c r="C3486" s="1" t="n">
        <v>46103</v>
      </c>
      <c r="D3486" t="inlineStr">
        <is>
          <t>KRONOBERGS LÄN</t>
        </is>
      </c>
      <c r="E3486" t="inlineStr">
        <is>
          <t>TINGSRYD</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54801-2025</t>
        </is>
      </c>
      <c r="B3487" s="1" t="n">
        <v>45966.63927083334</v>
      </c>
      <c r="C3487" s="1" t="n">
        <v>46103</v>
      </c>
      <c r="D3487" t="inlineStr">
        <is>
          <t>KRONOBERGS LÄN</t>
        </is>
      </c>
      <c r="E3487" t="inlineStr">
        <is>
          <t>ÄLMHULT</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27006-2022</t>
        </is>
      </c>
      <c r="B3488" s="1" t="n">
        <v>44740.92936342592</v>
      </c>
      <c r="C3488" s="1" t="n">
        <v>46103</v>
      </c>
      <c r="D3488" t="inlineStr">
        <is>
          <t>KRONOBERGS LÄN</t>
        </is>
      </c>
      <c r="E3488" t="inlineStr">
        <is>
          <t>LJUNGBY</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62861-2023</t>
        </is>
      </c>
      <c r="B3489" s="1" t="n">
        <v>45272</v>
      </c>
      <c r="C3489" s="1" t="n">
        <v>46103</v>
      </c>
      <c r="D3489" t="inlineStr">
        <is>
          <t>KRONOBERGS LÄN</t>
        </is>
      </c>
      <c r="E3489" t="inlineStr">
        <is>
          <t>LJUNGBY</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12720-2026</t>
        </is>
      </c>
      <c r="B3490" s="1" t="n">
        <v>46091.60642361111</v>
      </c>
      <c r="C3490" s="1" t="n">
        <v>46103</v>
      </c>
      <c r="D3490" t="inlineStr">
        <is>
          <t>KRONOBERGS LÄN</t>
        </is>
      </c>
      <c r="E3490" t="inlineStr">
        <is>
          <t>LJUNGBY</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32828-2023</t>
        </is>
      </c>
      <c r="B3491" s="1" t="n">
        <v>45124.58091435185</v>
      </c>
      <c r="C3491" s="1" t="n">
        <v>46103</v>
      </c>
      <c r="D3491" t="inlineStr">
        <is>
          <t>KRONOBERGS LÄN</t>
        </is>
      </c>
      <c r="E3491" t="inlineStr">
        <is>
          <t>VÄXJÖ</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21176-2024</t>
        </is>
      </c>
      <c r="B3492" s="1" t="n">
        <v>45440.4658449074</v>
      </c>
      <c r="C3492" s="1" t="n">
        <v>46103</v>
      </c>
      <c r="D3492" t="inlineStr">
        <is>
          <t>KRONOBERGS LÄN</t>
        </is>
      </c>
      <c r="E3492" t="inlineStr">
        <is>
          <t>LJUNGBY</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23288-2024</t>
        </is>
      </c>
      <c r="B3493" s="1" t="n">
        <v>45453.42097222222</v>
      </c>
      <c r="C3493" s="1" t="n">
        <v>46103</v>
      </c>
      <c r="D3493" t="inlineStr">
        <is>
          <t>KRONOBERGS LÄN</t>
        </is>
      </c>
      <c r="E3493" t="inlineStr">
        <is>
          <t>MARKARYD</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30110-2022</t>
        </is>
      </c>
      <c r="B3494" s="1" t="n">
        <v>44757.40538194445</v>
      </c>
      <c r="C3494" s="1" t="n">
        <v>46103</v>
      </c>
      <c r="D3494" t="inlineStr">
        <is>
          <t>KRONOBERGS LÄN</t>
        </is>
      </c>
      <c r="E3494" t="inlineStr">
        <is>
          <t>UPPVIDINGE</t>
        </is>
      </c>
      <c r="F3494" t="inlineStr">
        <is>
          <t>Sveaskog</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55083-2025</t>
        </is>
      </c>
      <c r="B3495" s="1" t="n">
        <v>45968.29605324074</v>
      </c>
      <c r="C3495" s="1" t="n">
        <v>46103</v>
      </c>
      <c r="D3495" t="inlineStr">
        <is>
          <t>KRONOBERGS LÄN</t>
        </is>
      </c>
      <c r="E3495" t="inlineStr">
        <is>
          <t>UPPVIDINGE</t>
        </is>
      </c>
      <c r="G3495" t="n">
        <v>3.9</v>
      </c>
      <c r="H3495" t="n">
        <v>0</v>
      </c>
      <c r="I3495" t="n">
        <v>0</v>
      </c>
      <c r="J3495" t="n">
        <v>0</v>
      </c>
      <c r="K3495" t="n">
        <v>0</v>
      </c>
      <c r="L3495" t="n">
        <v>0</v>
      </c>
      <c r="M3495" t="n">
        <v>0</v>
      </c>
      <c r="N3495" t="n">
        <v>0</v>
      </c>
      <c r="O3495" t="n">
        <v>0</v>
      </c>
      <c r="P3495" t="n">
        <v>0</v>
      </c>
      <c r="Q3495" t="n">
        <v>0</v>
      </c>
      <c r="R3495" s="2" t="inlineStr"/>
    </row>
    <row r="3496" ht="15" customHeight="1">
      <c r="A3496" t="inlineStr">
        <is>
          <t>A 51179-2023</t>
        </is>
      </c>
      <c r="B3496" s="1" t="n">
        <v>45219.39407407407</v>
      </c>
      <c r="C3496" s="1" t="n">
        <v>46103</v>
      </c>
      <c r="D3496" t="inlineStr">
        <is>
          <t>KRONOBERGS LÄN</t>
        </is>
      </c>
      <c r="E3496" t="inlineStr">
        <is>
          <t>MARKARYD</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51189-2023</t>
        </is>
      </c>
      <c r="B3497" s="1" t="n">
        <v>45219.40690972222</v>
      </c>
      <c r="C3497" s="1" t="n">
        <v>46103</v>
      </c>
      <c r="D3497" t="inlineStr">
        <is>
          <t>KRONOBERGS LÄN</t>
        </is>
      </c>
      <c r="E3497" t="inlineStr">
        <is>
          <t>LESSEBO</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16201-2023</t>
        </is>
      </c>
      <c r="B3498" s="1" t="n">
        <v>45028</v>
      </c>
      <c r="C3498" s="1" t="n">
        <v>46103</v>
      </c>
      <c r="D3498" t="inlineStr">
        <is>
          <t>KRONOBERGS LÄN</t>
        </is>
      </c>
      <c r="E3498" t="inlineStr">
        <is>
          <t>UPPVIDINGE</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12999-2024</t>
        </is>
      </c>
      <c r="B3499" s="1" t="n">
        <v>45385</v>
      </c>
      <c r="C3499" s="1" t="n">
        <v>46103</v>
      </c>
      <c r="D3499" t="inlineStr">
        <is>
          <t>KRONOBERGS LÄN</t>
        </is>
      </c>
      <c r="E3499" t="inlineStr">
        <is>
          <t>VÄXJÖ</t>
        </is>
      </c>
      <c r="F3499" t="inlineStr">
        <is>
          <t>Sveaskog</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55318-2025</t>
        </is>
      </c>
      <c r="B3500" s="1" t="n">
        <v>45971.28083333333</v>
      </c>
      <c r="C3500" s="1" t="n">
        <v>46103</v>
      </c>
      <c r="D3500" t="inlineStr">
        <is>
          <t>KRONOBERGS LÄN</t>
        </is>
      </c>
      <c r="E3500" t="inlineStr">
        <is>
          <t>TINGSRYD</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24401-2021</t>
        </is>
      </c>
      <c r="B3501" s="1" t="n">
        <v>44337.48540509259</v>
      </c>
      <c r="C3501" s="1" t="n">
        <v>46103</v>
      </c>
      <c r="D3501" t="inlineStr">
        <is>
          <t>KRONOBERGS LÄN</t>
        </is>
      </c>
      <c r="E3501" t="inlineStr">
        <is>
          <t>LJUNGBY</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39734-2024</t>
        </is>
      </c>
      <c r="B3502" s="1" t="n">
        <v>45552.6449537037</v>
      </c>
      <c r="C3502" s="1" t="n">
        <v>46103</v>
      </c>
      <c r="D3502" t="inlineStr">
        <is>
          <t>KRONOBERGS LÄN</t>
        </is>
      </c>
      <c r="E3502" t="inlineStr">
        <is>
          <t>UPPVIDINGE</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39738-2024</t>
        </is>
      </c>
      <c r="B3503" s="1" t="n">
        <v>45552</v>
      </c>
      <c r="C3503" s="1" t="n">
        <v>46103</v>
      </c>
      <c r="D3503" t="inlineStr">
        <is>
          <t>KRONOBERGS LÄN</t>
        </is>
      </c>
      <c r="E3503" t="inlineStr">
        <is>
          <t>UPPVIDINGE</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48495-2023</t>
        </is>
      </c>
      <c r="B3504" s="1" t="n">
        <v>45207.49881944444</v>
      </c>
      <c r="C3504" s="1" t="n">
        <v>46103</v>
      </c>
      <c r="D3504" t="inlineStr">
        <is>
          <t>KRONOBERGS LÄN</t>
        </is>
      </c>
      <c r="E3504" t="inlineStr">
        <is>
          <t>LJUNGBY</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11650-2023</t>
        </is>
      </c>
      <c r="B3505" s="1" t="n">
        <v>44994.45623842593</v>
      </c>
      <c r="C3505" s="1" t="n">
        <v>46103</v>
      </c>
      <c r="D3505" t="inlineStr">
        <is>
          <t>KRONOBERGS LÄN</t>
        </is>
      </c>
      <c r="E3505" t="inlineStr">
        <is>
          <t>UPPVIDINGE</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5128-2026</t>
        </is>
      </c>
      <c r="B3506" s="1" t="n">
        <v>46048</v>
      </c>
      <c r="C3506" s="1" t="n">
        <v>46103</v>
      </c>
      <c r="D3506" t="inlineStr">
        <is>
          <t>KRONOBERGS LÄN</t>
        </is>
      </c>
      <c r="E3506" t="inlineStr">
        <is>
          <t>VÄXJÖ</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12522-2026</t>
        </is>
      </c>
      <c r="B3507" s="1" t="n">
        <v>46090.59678240741</v>
      </c>
      <c r="C3507" s="1" t="n">
        <v>46103</v>
      </c>
      <c r="D3507" t="inlineStr">
        <is>
          <t>KRONOBERGS LÄN</t>
        </is>
      </c>
      <c r="E3507" t="inlineStr">
        <is>
          <t>MARKARYD</t>
        </is>
      </c>
      <c r="F3507" t="inlineStr">
        <is>
          <t>Sveaskog</t>
        </is>
      </c>
      <c r="G3507" t="n">
        <v>5.4</v>
      </c>
      <c r="H3507" t="n">
        <v>0</v>
      </c>
      <c r="I3507" t="n">
        <v>0</v>
      </c>
      <c r="J3507" t="n">
        <v>0</v>
      </c>
      <c r="K3507" t="n">
        <v>0</v>
      </c>
      <c r="L3507" t="n">
        <v>0</v>
      </c>
      <c r="M3507" t="n">
        <v>0</v>
      </c>
      <c r="N3507" t="n">
        <v>0</v>
      </c>
      <c r="O3507" t="n">
        <v>0</v>
      </c>
      <c r="P3507" t="n">
        <v>0</v>
      </c>
      <c r="Q3507" t="n">
        <v>0</v>
      </c>
      <c r="R3507" s="2" t="inlineStr"/>
    </row>
    <row r="3508" ht="15" customHeight="1">
      <c r="A3508" t="inlineStr">
        <is>
          <t>A 12526-2026</t>
        </is>
      </c>
      <c r="B3508" s="1" t="n">
        <v>46090.59847222222</v>
      </c>
      <c r="C3508" s="1" t="n">
        <v>46103</v>
      </c>
      <c r="D3508" t="inlineStr">
        <is>
          <t>KRONOBERGS LÄN</t>
        </is>
      </c>
      <c r="E3508" t="inlineStr">
        <is>
          <t>MARKARYD</t>
        </is>
      </c>
      <c r="F3508" t="inlineStr">
        <is>
          <t>Sveaskog</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11533-2025</t>
        </is>
      </c>
      <c r="B3509" s="1" t="n">
        <v>45727.33197916667</v>
      </c>
      <c r="C3509" s="1" t="n">
        <v>46103</v>
      </c>
      <c r="D3509" t="inlineStr">
        <is>
          <t>KRONOBERGS LÄN</t>
        </is>
      </c>
      <c r="E3509" t="inlineStr">
        <is>
          <t>TINGSRYD</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23600-2023</t>
        </is>
      </c>
      <c r="B3510" s="1" t="n">
        <v>45077</v>
      </c>
      <c r="C3510" s="1" t="n">
        <v>46103</v>
      </c>
      <c r="D3510" t="inlineStr">
        <is>
          <t>KRONOBERGS LÄN</t>
        </is>
      </c>
      <c r="E3510" t="inlineStr">
        <is>
          <t>LJUNGBY</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55459-2025</t>
        </is>
      </c>
      <c r="B3511" s="1" t="n">
        <v>45971.51917824074</v>
      </c>
      <c r="C3511" s="1" t="n">
        <v>46103</v>
      </c>
      <c r="D3511" t="inlineStr">
        <is>
          <t>KRONOBERGS LÄN</t>
        </is>
      </c>
      <c r="E3511" t="inlineStr">
        <is>
          <t>VÄXJÖ</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47393-2022</t>
        </is>
      </c>
      <c r="B3512" s="1" t="n">
        <v>44852</v>
      </c>
      <c r="C3512" s="1" t="n">
        <v>46103</v>
      </c>
      <c r="D3512" t="inlineStr">
        <is>
          <t>KRONOBERGS LÄN</t>
        </is>
      </c>
      <c r="E3512" t="inlineStr">
        <is>
          <t>TINGSRYD</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22087-2023</t>
        </is>
      </c>
      <c r="B3513" s="1" t="n">
        <v>45069.48967592593</v>
      </c>
      <c r="C3513" s="1" t="n">
        <v>46103</v>
      </c>
      <c r="D3513" t="inlineStr">
        <is>
          <t>KRONOBERGS LÄN</t>
        </is>
      </c>
      <c r="E3513" t="inlineStr">
        <is>
          <t>LJUNGBY</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55290-2025</t>
        </is>
      </c>
      <c r="B3514" s="1" t="n">
        <v>45969.35258101852</v>
      </c>
      <c r="C3514" s="1" t="n">
        <v>46103</v>
      </c>
      <c r="D3514" t="inlineStr">
        <is>
          <t>KRONOBERGS LÄN</t>
        </is>
      </c>
      <c r="E3514" t="inlineStr">
        <is>
          <t>ÄLMHULT</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55291-2025</t>
        </is>
      </c>
      <c r="B3515" s="1" t="n">
        <v>45969.36664351852</v>
      </c>
      <c r="C3515" s="1" t="n">
        <v>46103</v>
      </c>
      <c r="D3515" t="inlineStr">
        <is>
          <t>KRONOBERGS LÄN</t>
        </is>
      </c>
      <c r="E3515" t="inlineStr">
        <is>
          <t>ÄLMHULT</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47462-2024</t>
        </is>
      </c>
      <c r="B3516" s="1" t="n">
        <v>45587.56011574074</v>
      </c>
      <c r="C3516" s="1" t="n">
        <v>46103</v>
      </c>
      <c r="D3516" t="inlineStr">
        <is>
          <t>KRONOBERGS LÄN</t>
        </is>
      </c>
      <c r="E3516" t="inlineStr">
        <is>
          <t>ALVESTA</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55070-2025</t>
        </is>
      </c>
      <c r="B3517" s="1" t="n">
        <v>45967.75966435186</v>
      </c>
      <c r="C3517" s="1" t="n">
        <v>46103</v>
      </c>
      <c r="D3517" t="inlineStr">
        <is>
          <t>KRONOBERGS LÄN</t>
        </is>
      </c>
      <c r="E3517" t="inlineStr">
        <is>
          <t>TINGSRYD</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25989-2024</t>
        </is>
      </c>
      <c r="B3518" s="1" t="n">
        <v>45467</v>
      </c>
      <c r="C3518" s="1" t="n">
        <v>46103</v>
      </c>
      <c r="D3518" t="inlineStr">
        <is>
          <t>KRONOBERGS LÄN</t>
        </is>
      </c>
      <c r="E3518" t="inlineStr">
        <is>
          <t>TINGSRYD</t>
        </is>
      </c>
      <c r="G3518" t="n">
        <v>3.9</v>
      </c>
      <c r="H3518" t="n">
        <v>0</v>
      </c>
      <c r="I3518" t="n">
        <v>0</v>
      </c>
      <c r="J3518" t="n">
        <v>0</v>
      </c>
      <c r="K3518" t="n">
        <v>0</v>
      </c>
      <c r="L3518" t="n">
        <v>0</v>
      </c>
      <c r="M3518" t="n">
        <v>0</v>
      </c>
      <c r="N3518" t="n">
        <v>0</v>
      </c>
      <c r="O3518" t="n">
        <v>0</v>
      </c>
      <c r="P3518" t="n">
        <v>0</v>
      </c>
      <c r="Q3518" t="n">
        <v>0</v>
      </c>
      <c r="R3518" s="2" t="inlineStr"/>
    </row>
    <row r="3519" ht="15" customHeight="1">
      <c r="A3519" t="inlineStr">
        <is>
          <t>A 25992-2024</t>
        </is>
      </c>
      <c r="B3519" s="1" t="n">
        <v>45467</v>
      </c>
      <c r="C3519" s="1" t="n">
        <v>46103</v>
      </c>
      <c r="D3519" t="inlineStr">
        <is>
          <t>KRONOBERGS LÄN</t>
        </is>
      </c>
      <c r="E3519" t="inlineStr">
        <is>
          <t>TINGSRYD</t>
        </is>
      </c>
      <c r="G3519" t="n">
        <v>5</v>
      </c>
      <c r="H3519" t="n">
        <v>0</v>
      </c>
      <c r="I3519" t="n">
        <v>0</v>
      </c>
      <c r="J3519" t="n">
        <v>0</v>
      </c>
      <c r="K3519" t="n">
        <v>0</v>
      </c>
      <c r="L3519" t="n">
        <v>0</v>
      </c>
      <c r="M3519" t="n">
        <v>0</v>
      </c>
      <c r="N3519" t="n">
        <v>0</v>
      </c>
      <c r="O3519" t="n">
        <v>0</v>
      </c>
      <c r="P3519" t="n">
        <v>0</v>
      </c>
      <c r="Q3519" t="n">
        <v>0</v>
      </c>
      <c r="R3519" s="2" t="inlineStr"/>
    </row>
    <row r="3520" ht="15" customHeight="1">
      <c r="A3520" t="inlineStr">
        <is>
          <t>A 25993-2024</t>
        </is>
      </c>
      <c r="B3520" s="1" t="n">
        <v>45467</v>
      </c>
      <c r="C3520" s="1" t="n">
        <v>46103</v>
      </c>
      <c r="D3520" t="inlineStr">
        <is>
          <t>KRONOBERGS LÄN</t>
        </is>
      </c>
      <c r="E3520" t="inlineStr">
        <is>
          <t>TINGSRYD</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12521-2026</t>
        </is>
      </c>
      <c r="B3521" s="1" t="n">
        <v>46090.59563657407</v>
      </c>
      <c r="C3521" s="1" t="n">
        <v>46103</v>
      </c>
      <c r="D3521" t="inlineStr">
        <is>
          <t>KRONOBERGS LÄN</t>
        </is>
      </c>
      <c r="E3521" t="inlineStr">
        <is>
          <t>MARKARYD</t>
        </is>
      </c>
      <c r="F3521" t="inlineStr">
        <is>
          <t>Sveaskog</t>
        </is>
      </c>
      <c r="G3521" t="n">
        <v>4.2</v>
      </c>
      <c r="H3521" t="n">
        <v>0</v>
      </c>
      <c r="I3521" t="n">
        <v>0</v>
      </c>
      <c r="J3521" t="n">
        <v>0</v>
      </c>
      <c r="K3521" t="n">
        <v>0</v>
      </c>
      <c r="L3521" t="n">
        <v>0</v>
      </c>
      <c r="M3521" t="n">
        <v>0</v>
      </c>
      <c r="N3521" t="n">
        <v>0</v>
      </c>
      <c r="O3521" t="n">
        <v>0</v>
      </c>
      <c r="P3521" t="n">
        <v>0</v>
      </c>
      <c r="Q3521" t="n">
        <v>0</v>
      </c>
      <c r="R3521" s="2" t="inlineStr"/>
    </row>
    <row r="3522" ht="15" customHeight="1">
      <c r="A3522" t="inlineStr">
        <is>
          <t>A 55107-2021</t>
        </is>
      </c>
      <c r="B3522" s="1" t="n">
        <v>44474</v>
      </c>
      <c r="C3522" s="1" t="n">
        <v>46103</v>
      </c>
      <c r="D3522" t="inlineStr">
        <is>
          <t>KRONOBERGS LÄN</t>
        </is>
      </c>
      <c r="E3522" t="inlineStr">
        <is>
          <t>MARKARYD</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30494-2023</t>
        </is>
      </c>
      <c r="B3523" s="1" t="n">
        <v>45111</v>
      </c>
      <c r="C3523" s="1" t="n">
        <v>46103</v>
      </c>
      <c r="D3523" t="inlineStr">
        <is>
          <t>KRONOBERGS LÄN</t>
        </is>
      </c>
      <c r="E3523" t="inlineStr">
        <is>
          <t>ÄLMHULT</t>
        </is>
      </c>
      <c r="G3523" t="n">
        <v>4</v>
      </c>
      <c r="H3523" t="n">
        <v>0</v>
      </c>
      <c r="I3523" t="n">
        <v>0</v>
      </c>
      <c r="J3523" t="n">
        <v>0</v>
      </c>
      <c r="K3523" t="n">
        <v>0</v>
      </c>
      <c r="L3523" t="n">
        <v>0</v>
      </c>
      <c r="M3523" t="n">
        <v>0</v>
      </c>
      <c r="N3523" t="n">
        <v>0</v>
      </c>
      <c r="O3523" t="n">
        <v>0</v>
      </c>
      <c r="P3523" t="n">
        <v>0</v>
      </c>
      <c r="Q3523" t="n">
        <v>0</v>
      </c>
      <c r="R3523" s="2" t="inlineStr"/>
    </row>
    <row r="3524" ht="15" customHeight="1">
      <c r="A3524" t="inlineStr">
        <is>
          <t>A 35279-2022</t>
        </is>
      </c>
      <c r="B3524" s="1" t="n">
        <v>44798</v>
      </c>
      <c r="C3524" s="1" t="n">
        <v>46103</v>
      </c>
      <c r="D3524" t="inlineStr">
        <is>
          <t>KRONOBERGS LÄN</t>
        </is>
      </c>
      <c r="E3524" t="inlineStr">
        <is>
          <t>ALVESTA</t>
        </is>
      </c>
      <c r="F3524" t="inlineStr">
        <is>
          <t>Kyrkan</t>
        </is>
      </c>
      <c r="G3524" t="n">
        <v>3.8</v>
      </c>
      <c r="H3524" t="n">
        <v>0</v>
      </c>
      <c r="I3524" t="n">
        <v>0</v>
      </c>
      <c r="J3524" t="n">
        <v>0</v>
      </c>
      <c r="K3524" t="n">
        <v>0</v>
      </c>
      <c r="L3524" t="n">
        <v>0</v>
      </c>
      <c r="M3524" t="n">
        <v>0</v>
      </c>
      <c r="N3524" t="n">
        <v>0</v>
      </c>
      <c r="O3524" t="n">
        <v>0</v>
      </c>
      <c r="P3524" t="n">
        <v>0</v>
      </c>
      <c r="Q3524" t="n">
        <v>0</v>
      </c>
      <c r="R3524" s="2" t="inlineStr"/>
      <c r="U3524">
        <f>HYPERLINK("https://klasma.github.io/Logging_0764/knärot/A 35279-2022 karta knärot.png", "A 35279-2022")</f>
        <v/>
      </c>
      <c r="V3524">
        <f>HYPERLINK("https://klasma.github.io/Logging_0764/klagomål/A 35279-2022 FSC-klagomål.docx", "A 35279-2022")</f>
        <v/>
      </c>
      <c r="W3524">
        <f>HYPERLINK("https://klasma.github.io/Logging_0764/klagomålsmail/A 35279-2022 FSC-klagomål mail.docx", "A 35279-2022")</f>
        <v/>
      </c>
      <c r="X3524">
        <f>HYPERLINK("https://klasma.github.io/Logging_0764/tillsyn/A 35279-2022 tillsynsbegäran.docx", "A 35279-2022")</f>
        <v/>
      </c>
      <c r="Y3524">
        <f>HYPERLINK("https://klasma.github.io/Logging_0764/tillsynsmail/A 35279-2022 tillsynsbegäran mail.docx", "A 35279-2022")</f>
        <v/>
      </c>
    </row>
    <row r="3525" ht="15" customHeight="1">
      <c r="A3525" t="inlineStr">
        <is>
          <t>A 35285-2022</t>
        </is>
      </c>
      <c r="B3525" s="1" t="n">
        <v>44798.41548611111</v>
      </c>
      <c r="C3525" s="1" t="n">
        <v>46103</v>
      </c>
      <c r="D3525" t="inlineStr">
        <is>
          <t>KRONOBERGS LÄN</t>
        </is>
      </c>
      <c r="E3525" t="inlineStr">
        <is>
          <t>MARKARYD</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8690-2023</t>
        </is>
      </c>
      <c r="B3526" s="1" t="n">
        <v>44978</v>
      </c>
      <c r="C3526" s="1" t="n">
        <v>46103</v>
      </c>
      <c r="D3526" t="inlineStr">
        <is>
          <t>KRONOBERGS LÄN</t>
        </is>
      </c>
      <c r="E3526" t="inlineStr">
        <is>
          <t>LESSEBO</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7546-2024</t>
        </is>
      </c>
      <c r="B3527" s="1" t="n">
        <v>45348.42112268518</v>
      </c>
      <c r="C3527" s="1" t="n">
        <v>46103</v>
      </c>
      <c r="D3527" t="inlineStr">
        <is>
          <t>KRONOBERGS LÄN</t>
        </is>
      </c>
      <c r="E3527" t="inlineStr">
        <is>
          <t>ÄLMHULT</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4979-2026</t>
        </is>
      </c>
      <c r="B3528" s="1" t="n">
        <v>46049.37063657407</v>
      </c>
      <c r="C3528" s="1" t="n">
        <v>46103</v>
      </c>
      <c r="D3528" t="inlineStr">
        <is>
          <t>KRONOBERGS LÄN</t>
        </is>
      </c>
      <c r="E3528" t="inlineStr">
        <is>
          <t>ALVESTA</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4997-2026</t>
        </is>
      </c>
      <c r="B3529" s="1" t="n">
        <v>46049.42145833333</v>
      </c>
      <c r="C3529" s="1" t="n">
        <v>46103</v>
      </c>
      <c r="D3529" t="inlineStr">
        <is>
          <t>KRONOBERGS LÄN</t>
        </is>
      </c>
      <c r="E3529" t="inlineStr">
        <is>
          <t>TINGSRYD</t>
        </is>
      </c>
      <c r="F3529" t="inlineStr">
        <is>
          <t>Övriga Aktiebolag</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54290-2023</t>
        </is>
      </c>
      <c r="B3530" s="1" t="n">
        <v>45232.72258101852</v>
      </c>
      <c r="C3530" s="1" t="n">
        <v>46103</v>
      </c>
      <c r="D3530" t="inlineStr">
        <is>
          <t>KRONOBERGS LÄN</t>
        </is>
      </c>
      <c r="E3530" t="inlineStr">
        <is>
          <t>UPPVIDINGE</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12520-2026</t>
        </is>
      </c>
      <c r="B3531" s="1" t="n">
        <v>46090.59542824074</v>
      </c>
      <c r="C3531" s="1" t="n">
        <v>46103</v>
      </c>
      <c r="D3531" t="inlineStr">
        <is>
          <t>KRONOBERGS LÄN</t>
        </is>
      </c>
      <c r="E3531" t="inlineStr">
        <is>
          <t>VÄXJÖ</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12530-2026</t>
        </is>
      </c>
      <c r="B3532" s="1" t="n">
        <v>46090.60103009259</v>
      </c>
      <c r="C3532" s="1" t="n">
        <v>46103</v>
      </c>
      <c r="D3532" t="inlineStr">
        <is>
          <t>KRONOBERGS LÄN</t>
        </is>
      </c>
      <c r="E3532" t="inlineStr">
        <is>
          <t>MARKARYD</t>
        </is>
      </c>
      <c r="F3532" t="inlineStr">
        <is>
          <t>Sveaskog</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12531-2026</t>
        </is>
      </c>
      <c r="B3533" s="1" t="n">
        <v>46090.60261574074</v>
      </c>
      <c r="C3533" s="1" t="n">
        <v>46103</v>
      </c>
      <c r="D3533" t="inlineStr">
        <is>
          <t>KRONOBERGS LÄN</t>
        </is>
      </c>
      <c r="E3533" t="inlineStr">
        <is>
          <t>MARKARYD</t>
        </is>
      </c>
      <c r="F3533" t="inlineStr">
        <is>
          <t>Sveaskog</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54363-2023</t>
        </is>
      </c>
      <c r="B3534" s="1" t="n">
        <v>45233</v>
      </c>
      <c r="C3534" s="1" t="n">
        <v>46103</v>
      </c>
      <c r="D3534" t="inlineStr">
        <is>
          <t>KRONOBERGS LÄN</t>
        </is>
      </c>
      <c r="E3534" t="inlineStr">
        <is>
          <t>ÄLMHULT</t>
        </is>
      </c>
      <c r="G3534" t="n">
        <v>8.6</v>
      </c>
      <c r="H3534" t="n">
        <v>0</v>
      </c>
      <c r="I3534" t="n">
        <v>0</v>
      </c>
      <c r="J3534" t="n">
        <v>0</v>
      </c>
      <c r="K3534" t="n">
        <v>0</v>
      </c>
      <c r="L3534" t="n">
        <v>0</v>
      </c>
      <c r="M3534" t="n">
        <v>0</v>
      </c>
      <c r="N3534" t="n">
        <v>0</v>
      </c>
      <c r="O3534" t="n">
        <v>0</v>
      </c>
      <c r="P3534" t="n">
        <v>0</v>
      </c>
      <c r="Q3534" t="n">
        <v>0</v>
      </c>
      <c r="R3534" s="2" t="inlineStr"/>
    </row>
    <row r="3535" ht="15" customHeight="1">
      <c r="A3535" t="inlineStr">
        <is>
          <t>A 54364-2023</t>
        </is>
      </c>
      <c r="B3535" s="1" t="n">
        <v>45233</v>
      </c>
      <c r="C3535" s="1" t="n">
        <v>46103</v>
      </c>
      <c r="D3535" t="inlineStr">
        <is>
          <t>KRONOBERGS LÄN</t>
        </is>
      </c>
      <c r="E3535" t="inlineStr">
        <is>
          <t>ÄLMHULT</t>
        </is>
      </c>
      <c r="G3535" t="n">
        <v>6.2</v>
      </c>
      <c r="H3535" t="n">
        <v>0</v>
      </c>
      <c r="I3535" t="n">
        <v>0</v>
      </c>
      <c r="J3535" t="n">
        <v>0</v>
      </c>
      <c r="K3535" t="n">
        <v>0</v>
      </c>
      <c r="L3535" t="n">
        <v>0</v>
      </c>
      <c r="M3535" t="n">
        <v>0</v>
      </c>
      <c r="N3535" t="n">
        <v>0</v>
      </c>
      <c r="O3535" t="n">
        <v>0</v>
      </c>
      <c r="P3535" t="n">
        <v>0</v>
      </c>
      <c r="Q3535" t="n">
        <v>0</v>
      </c>
      <c r="R3535" s="2" t="inlineStr"/>
    </row>
    <row r="3536" ht="15" customHeight="1">
      <c r="A3536" t="inlineStr">
        <is>
          <t>A 28645-2021</t>
        </is>
      </c>
      <c r="B3536" s="1" t="n">
        <v>44357.34482638889</v>
      </c>
      <c r="C3536" s="1" t="n">
        <v>46103</v>
      </c>
      <c r="D3536" t="inlineStr">
        <is>
          <t>KRONOBERGS LÄN</t>
        </is>
      </c>
      <c r="E3536" t="inlineStr">
        <is>
          <t>LJUNGBY</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4755-2026</t>
        </is>
      </c>
      <c r="B3537" s="1" t="n">
        <v>46048.53172453704</v>
      </c>
      <c r="C3537" s="1" t="n">
        <v>46103</v>
      </c>
      <c r="D3537" t="inlineStr">
        <is>
          <t>KRONOBERGS LÄN</t>
        </is>
      </c>
      <c r="E3537" t="inlineStr">
        <is>
          <t>TINGSRYD</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14844-2022</t>
        </is>
      </c>
      <c r="B3538" s="1" t="n">
        <v>44656.61335648148</v>
      </c>
      <c r="C3538" s="1" t="n">
        <v>46103</v>
      </c>
      <c r="D3538" t="inlineStr">
        <is>
          <t>KRONOBERGS LÄN</t>
        </is>
      </c>
      <c r="E3538" t="inlineStr">
        <is>
          <t>LJUNGBY</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5192-2026</t>
        </is>
      </c>
      <c r="B3539" s="1" t="n">
        <v>46049</v>
      </c>
      <c r="C3539" s="1" t="n">
        <v>46103</v>
      </c>
      <c r="D3539" t="inlineStr">
        <is>
          <t>KRONOBERGS LÄN</t>
        </is>
      </c>
      <c r="E3539" t="inlineStr">
        <is>
          <t>VÄXJÖ</t>
        </is>
      </c>
      <c r="G3539" t="n">
        <v>6</v>
      </c>
      <c r="H3539" t="n">
        <v>0</v>
      </c>
      <c r="I3539" t="n">
        <v>0</v>
      </c>
      <c r="J3539" t="n">
        <v>0</v>
      </c>
      <c r="K3539" t="n">
        <v>0</v>
      </c>
      <c r="L3539" t="n">
        <v>0</v>
      </c>
      <c r="M3539" t="n">
        <v>0</v>
      </c>
      <c r="N3539" t="n">
        <v>0</v>
      </c>
      <c r="O3539" t="n">
        <v>0</v>
      </c>
      <c r="P3539" t="n">
        <v>0</v>
      </c>
      <c r="Q3539" t="n">
        <v>0</v>
      </c>
      <c r="R3539" s="2" t="inlineStr"/>
    </row>
    <row r="3540" ht="15" customHeight="1">
      <c r="A3540" t="inlineStr">
        <is>
          <t>A 25039-2023</t>
        </is>
      </c>
      <c r="B3540" s="1" t="n">
        <v>45085.93778935185</v>
      </c>
      <c r="C3540" s="1" t="n">
        <v>46103</v>
      </c>
      <c r="D3540" t="inlineStr">
        <is>
          <t>KRONOBERGS LÄN</t>
        </is>
      </c>
      <c r="E3540" t="inlineStr">
        <is>
          <t>LJUNGBY</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40005-2024</t>
        </is>
      </c>
      <c r="B3541" s="1" t="n">
        <v>45553.64894675926</v>
      </c>
      <c r="C3541" s="1" t="n">
        <v>46103</v>
      </c>
      <c r="D3541" t="inlineStr">
        <is>
          <t>KRONOBERGS LÄN</t>
        </is>
      </c>
      <c r="E3541" t="inlineStr">
        <is>
          <t>TINGSRYD</t>
        </is>
      </c>
      <c r="F3541" t="inlineStr">
        <is>
          <t>Sveaskog</t>
        </is>
      </c>
      <c r="G3541" t="n">
        <v>7.1</v>
      </c>
      <c r="H3541" t="n">
        <v>0</v>
      </c>
      <c r="I3541" t="n">
        <v>0</v>
      </c>
      <c r="J3541" t="n">
        <v>0</v>
      </c>
      <c r="K3541" t="n">
        <v>0</v>
      </c>
      <c r="L3541" t="n">
        <v>0</v>
      </c>
      <c r="M3541" t="n">
        <v>0</v>
      </c>
      <c r="N3541" t="n">
        <v>0</v>
      </c>
      <c r="O3541" t="n">
        <v>0</v>
      </c>
      <c r="P3541" t="n">
        <v>0</v>
      </c>
      <c r="Q3541" t="n">
        <v>0</v>
      </c>
      <c r="R3541" s="2" t="inlineStr"/>
    </row>
    <row r="3542" ht="15" customHeight="1">
      <c r="A3542" t="inlineStr">
        <is>
          <t>A 12653-2026</t>
        </is>
      </c>
      <c r="B3542" s="1" t="n">
        <v>46091.48413194445</v>
      </c>
      <c r="C3542" s="1" t="n">
        <v>46103</v>
      </c>
      <c r="D3542" t="inlineStr">
        <is>
          <t>KRONOBERGS LÄN</t>
        </is>
      </c>
      <c r="E3542" t="inlineStr">
        <is>
          <t>LJUNGBY</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5765-2026</t>
        </is>
      </c>
      <c r="B3543" s="1" t="n">
        <v>46049</v>
      </c>
      <c r="C3543" s="1" t="n">
        <v>46103</v>
      </c>
      <c r="D3543" t="inlineStr">
        <is>
          <t>KRONOBERGS LÄN</t>
        </is>
      </c>
      <c r="E3543" t="inlineStr">
        <is>
          <t>MARKARYD</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25297-2023</t>
        </is>
      </c>
      <c r="B3544" s="1" t="n">
        <v>45086.88280092592</v>
      </c>
      <c r="C3544" s="1" t="n">
        <v>46103</v>
      </c>
      <c r="D3544" t="inlineStr">
        <is>
          <t>KRONOBERGS LÄN</t>
        </is>
      </c>
      <c r="E3544" t="inlineStr">
        <is>
          <t>ALVESTA</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14133-2023</t>
        </is>
      </c>
      <c r="B3545" s="1" t="n">
        <v>45009.46388888889</v>
      </c>
      <c r="C3545" s="1" t="n">
        <v>46103</v>
      </c>
      <c r="D3545" t="inlineStr">
        <is>
          <t>KRONOBERGS LÄN</t>
        </is>
      </c>
      <c r="E3545" t="inlineStr">
        <is>
          <t>ALVESTA</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6870-2024</t>
        </is>
      </c>
      <c r="B3546" s="1" t="n">
        <v>45342.75077546296</v>
      </c>
      <c r="C3546" s="1" t="n">
        <v>46103</v>
      </c>
      <c r="D3546" t="inlineStr">
        <is>
          <t>KRONOBERGS LÄN</t>
        </is>
      </c>
      <c r="E3546" t="inlineStr">
        <is>
          <t>VÄXJÖ</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12388-2026</t>
        </is>
      </c>
      <c r="B3547" s="1" t="n">
        <v>46090.37305555555</v>
      </c>
      <c r="C3547" s="1" t="n">
        <v>46103</v>
      </c>
      <c r="D3547" t="inlineStr">
        <is>
          <t>KRONOBERGS LÄN</t>
        </is>
      </c>
      <c r="E3547" t="inlineStr">
        <is>
          <t>TINGSRYD</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8503-2024</t>
        </is>
      </c>
      <c r="B3548" s="1" t="n">
        <v>45355.4612037037</v>
      </c>
      <c r="C3548" s="1" t="n">
        <v>46103</v>
      </c>
      <c r="D3548" t="inlineStr">
        <is>
          <t>KRONOBERGS LÄN</t>
        </is>
      </c>
      <c r="E3548" t="inlineStr">
        <is>
          <t>LJUNGBY</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17750-2024</t>
        </is>
      </c>
      <c r="B3549" s="1" t="n">
        <v>45418.5978125</v>
      </c>
      <c r="C3549" s="1" t="n">
        <v>46103</v>
      </c>
      <c r="D3549" t="inlineStr">
        <is>
          <t>KRONOBERGS LÄN</t>
        </is>
      </c>
      <c r="E3549" t="inlineStr">
        <is>
          <t>ALVESTA</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14583-2025</t>
        </is>
      </c>
      <c r="B3550" s="1" t="n">
        <v>45742.31431712963</v>
      </c>
      <c r="C3550" s="1" t="n">
        <v>46103</v>
      </c>
      <c r="D3550" t="inlineStr">
        <is>
          <t>KRONOBERGS LÄN</t>
        </is>
      </c>
      <c r="E3550" t="inlineStr">
        <is>
          <t>TINGSRYD</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46891-2024</t>
        </is>
      </c>
      <c r="B3551" s="1" t="n">
        <v>45583.6671875</v>
      </c>
      <c r="C3551" s="1" t="n">
        <v>46103</v>
      </c>
      <c r="D3551" t="inlineStr">
        <is>
          <t>KRONOBERGS LÄN</t>
        </is>
      </c>
      <c r="E3551" t="inlineStr">
        <is>
          <t>MARKARYD</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67257-2021</t>
        </is>
      </c>
      <c r="B3552" s="1" t="n">
        <v>44523</v>
      </c>
      <c r="C3552" s="1" t="n">
        <v>46103</v>
      </c>
      <c r="D3552" t="inlineStr">
        <is>
          <t>KRONOBERGS LÄN</t>
        </is>
      </c>
      <c r="E3552" t="inlineStr">
        <is>
          <t>ÄLMHULT</t>
        </is>
      </c>
      <c r="G3552" t="n">
        <v>6.7</v>
      </c>
      <c r="H3552" t="n">
        <v>0</v>
      </c>
      <c r="I3552" t="n">
        <v>0</v>
      </c>
      <c r="J3552" t="n">
        <v>0</v>
      </c>
      <c r="K3552" t="n">
        <v>0</v>
      </c>
      <c r="L3552" t="n">
        <v>0</v>
      </c>
      <c r="M3552" t="n">
        <v>0</v>
      </c>
      <c r="N3552" t="n">
        <v>0</v>
      </c>
      <c r="O3552" t="n">
        <v>0</v>
      </c>
      <c r="P3552" t="n">
        <v>0</v>
      </c>
      <c r="Q3552" t="n">
        <v>0</v>
      </c>
      <c r="R3552" s="2" t="inlineStr"/>
    </row>
    <row r="3553" ht="15" customHeight="1">
      <c r="A3553" t="inlineStr">
        <is>
          <t>A 5000-2026</t>
        </is>
      </c>
      <c r="B3553" s="1" t="n">
        <v>46049</v>
      </c>
      <c r="C3553" s="1" t="n">
        <v>46103</v>
      </c>
      <c r="D3553" t="inlineStr">
        <is>
          <t>KRONOBERGS LÄN</t>
        </is>
      </c>
      <c r="E3553" t="inlineStr">
        <is>
          <t>TINGSRYD</t>
        </is>
      </c>
      <c r="F3553" t="inlineStr">
        <is>
          <t>Övriga Aktiebolag</t>
        </is>
      </c>
      <c r="G3553" t="n">
        <v>5.6</v>
      </c>
      <c r="H3553" t="n">
        <v>0</v>
      </c>
      <c r="I3553" t="n">
        <v>0</v>
      </c>
      <c r="J3553" t="n">
        <v>0</v>
      </c>
      <c r="K3553" t="n">
        <v>0</v>
      </c>
      <c r="L3553" t="n">
        <v>0</v>
      </c>
      <c r="M3553" t="n">
        <v>0</v>
      </c>
      <c r="N3553" t="n">
        <v>0</v>
      </c>
      <c r="O3553" t="n">
        <v>0</v>
      </c>
      <c r="P3553" t="n">
        <v>0</v>
      </c>
      <c r="Q3553" t="n">
        <v>0</v>
      </c>
      <c r="R3553" s="2" t="inlineStr"/>
    </row>
    <row r="3554" ht="15" customHeight="1">
      <c r="A3554" t="inlineStr">
        <is>
          <t>A 26070-2025</t>
        </is>
      </c>
      <c r="B3554" s="1" t="n">
        <v>45805.31606481481</v>
      </c>
      <c r="C3554" s="1" t="n">
        <v>46103</v>
      </c>
      <c r="D3554" t="inlineStr">
        <is>
          <t>KRONOBERGS LÄN</t>
        </is>
      </c>
      <c r="E3554" t="inlineStr">
        <is>
          <t>LJUNGBY</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49564-2023</t>
        </is>
      </c>
      <c r="B3555" s="1" t="n">
        <v>45211.64909722222</v>
      </c>
      <c r="C3555" s="1" t="n">
        <v>46103</v>
      </c>
      <c r="D3555" t="inlineStr">
        <is>
          <t>KRONOBERGS LÄN</t>
        </is>
      </c>
      <c r="E3555" t="inlineStr">
        <is>
          <t>ÄLMHULT</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50062-2023</t>
        </is>
      </c>
      <c r="B3556" s="1" t="n">
        <v>45215.5349074074</v>
      </c>
      <c r="C3556" s="1" t="n">
        <v>46103</v>
      </c>
      <c r="D3556" t="inlineStr">
        <is>
          <t>KRONOBERGS LÄN</t>
        </is>
      </c>
      <c r="E3556" t="inlineStr">
        <is>
          <t>ÄLMHULT</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5771-2026</t>
        </is>
      </c>
      <c r="B3557" s="1" t="n">
        <v>46049</v>
      </c>
      <c r="C3557" s="1" t="n">
        <v>46103</v>
      </c>
      <c r="D3557" t="inlineStr">
        <is>
          <t>KRONOBERGS LÄN</t>
        </is>
      </c>
      <c r="E3557" t="inlineStr">
        <is>
          <t>MARKARYD</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5179-2026</t>
        </is>
      </c>
      <c r="B3558" s="1" t="n">
        <v>46049.65270833333</v>
      </c>
      <c r="C3558" s="1" t="n">
        <v>46103</v>
      </c>
      <c r="D3558" t="inlineStr">
        <is>
          <t>KRONOBERGS LÄN</t>
        </is>
      </c>
      <c r="E3558" t="inlineStr">
        <is>
          <t>VÄXJÖ</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16271-2022</t>
        </is>
      </c>
      <c r="B3559" s="1" t="n">
        <v>44670.47001157407</v>
      </c>
      <c r="C3559" s="1" t="n">
        <v>46103</v>
      </c>
      <c r="D3559" t="inlineStr">
        <is>
          <t>KRONOBERGS LÄN</t>
        </is>
      </c>
      <c r="E3559" t="inlineStr">
        <is>
          <t>ALVESTA</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4780-2026</t>
        </is>
      </c>
      <c r="B3560" s="1" t="n">
        <v>46048.55508101852</v>
      </c>
      <c r="C3560" s="1" t="n">
        <v>46103</v>
      </c>
      <c r="D3560" t="inlineStr">
        <is>
          <t>KRONOBERGS LÄN</t>
        </is>
      </c>
      <c r="E3560" t="inlineStr">
        <is>
          <t>UPPVIDINGE</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4781-2026</t>
        </is>
      </c>
      <c r="B3561" s="1" t="n">
        <v>46048.55671296296</v>
      </c>
      <c r="C3561" s="1" t="n">
        <v>46103</v>
      </c>
      <c r="D3561" t="inlineStr">
        <is>
          <t>KRONOBERGS LÄN</t>
        </is>
      </c>
      <c r="E3561" t="inlineStr">
        <is>
          <t>UPPVIDINGE</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4996-2026</t>
        </is>
      </c>
      <c r="B3562" s="1" t="n">
        <v>46049</v>
      </c>
      <c r="C3562" s="1" t="n">
        <v>46103</v>
      </c>
      <c r="D3562" t="inlineStr">
        <is>
          <t>KRONOBERGS LÄN</t>
        </is>
      </c>
      <c r="E3562" t="inlineStr">
        <is>
          <t>ÄLMHULT</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5069-2026</t>
        </is>
      </c>
      <c r="B3563" s="1" t="n">
        <v>46049.50263888889</v>
      </c>
      <c r="C3563" s="1" t="n">
        <v>46103</v>
      </c>
      <c r="D3563" t="inlineStr">
        <is>
          <t>KRONOBERGS LÄN</t>
        </is>
      </c>
      <c r="E3563" t="inlineStr">
        <is>
          <t>LJUNGBY</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5786-2026</t>
        </is>
      </c>
      <c r="B3564" s="1" t="n">
        <v>46049</v>
      </c>
      <c r="C3564" s="1" t="n">
        <v>46103</v>
      </c>
      <c r="D3564" t="inlineStr">
        <is>
          <t>KRONOBERGS LÄN</t>
        </is>
      </c>
      <c r="E3564" t="inlineStr">
        <is>
          <t>MARKARYD</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19278-2023</t>
        </is>
      </c>
      <c r="B3565" s="1" t="n">
        <v>45049.41876157407</v>
      </c>
      <c r="C3565" s="1" t="n">
        <v>46103</v>
      </c>
      <c r="D3565" t="inlineStr">
        <is>
          <t>KRONOBERGS LÄN</t>
        </is>
      </c>
      <c r="E3565" t="inlineStr">
        <is>
          <t>VÄXJÖ</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4740-2026</t>
        </is>
      </c>
      <c r="B3566" s="1" t="n">
        <v>46048.49688657407</v>
      </c>
      <c r="C3566" s="1" t="n">
        <v>46103</v>
      </c>
      <c r="D3566" t="inlineStr">
        <is>
          <t>KRONOBERGS LÄN</t>
        </is>
      </c>
      <c r="E3566" t="inlineStr">
        <is>
          <t>TINGSRYD</t>
        </is>
      </c>
      <c r="G3566" t="n">
        <v>3.6</v>
      </c>
      <c r="H3566" t="n">
        <v>0</v>
      </c>
      <c r="I3566" t="n">
        <v>0</v>
      </c>
      <c r="J3566" t="n">
        <v>0</v>
      </c>
      <c r="K3566" t="n">
        <v>0</v>
      </c>
      <c r="L3566" t="n">
        <v>0</v>
      </c>
      <c r="M3566" t="n">
        <v>0</v>
      </c>
      <c r="N3566" t="n">
        <v>0</v>
      </c>
      <c r="O3566" t="n">
        <v>0</v>
      </c>
      <c r="P3566" t="n">
        <v>0</v>
      </c>
      <c r="Q3566" t="n">
        <v>0</v>
      </c>
      <c r="R3566" s="2" t="inlineStr"/>
    </row>
    <row r="3567" ht="15" customHeight="1">
      <c r="A3567" t="inlineStr">
        <is>
          <t>A 57519-2022</t>
        </is>
      </c>
      <c r="B3567" s="1" t="n">
        <v>44896.66025462963</v>
      </c>
      <c r="C3567" s="1" t="n">
        <v>46103</v>
      </c>
      <c r="D3567" t="inlineStr">
        <is>
          <t>KRONOBERGS LÄN</t>
        </is>
      </c>
      <c r="E3567" t="inlineStr">
        <is>
          <t>LESSEBO</t>
        </is>
      </c>
      <c r="G3567" t="n">
        <v>6.6</v>
      </c>
      <c r="H3567" t="n">
        <v>0</v>
      </c>
      <c r="I3567" t="n">
        <v>0</v>
      </c>
      <c r="J3567" t="n">
        <v>0</v>
      </c>
      <c r="K3567" t="n">
        <v>0</v>
      </c>
      <c r="L3567" t="n">
        <v>0</v>
      </c>
      <c r="M3567" t="n">
        <v>0</v>
      </c>
      <c r="N3567" t="n">
        <v>0</v>
      </c>
      <c r="O3567" t="n">
        <v>0</v>
      </c>
      <c r="P3567" t="n">
        <v>0</v>
      </c>
      <c r="Q3567" t="n">
        <v>0</v>
      </c>
      <c r="R3567" s="2" t="inlineStr"/>
    </row>
    <row r="3568" ht="15" customHeight="1">
      <c r="A3568" t="inlineStr">
        <is>
          <t>A 5196-2026</t>
        </is>
      </c>
      <c r="B3568" s="1" t="n">
        <v>46049.66483796296</v>
      </c>
      <c r="C3568" s="1" t="n">
        <v>46103</v>
      </c>
      <c r="D3568" t="inlineStr">
        <is>
          <t>KRONOBERGS LÄN</t>
        </is>
      </c>
      <c r="E3568" t="inlineStr">
        <is>
          <t>VÄXJÖ</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58163-2024</t>
        </is>
      </c>
      <c r="B3569" s="1" t="n">
        <v>45632.45395833333</v>
      </c>
      <c r="C3569" s="1" t="n">
        <v>46103</v>
      </c>
      <c r="D3569" t="inlineStr">
        <is>
          <t>KRONOBERGS LÄN</t>
        </is>
      </c>
      <c r="E3569" t="inlineStr">
        <is>
          <t>ÄLMHULT</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61150-2024</t>
        </is>
      </c>
      <c r="B3570" s="1" t="n">
        <v>45645.58762731482</v>
      </c>
      <c r="C3570" s="1" t="n">
        <v>46103</v>
      </c>
      <c r="D3570" t="inlineStr">
        <is>
          <t>KRONOBERGS LÄN</t>
        </is>
      </c>
      <c r="E3570" t="inlineStr">
        <is>
          <t>LJUNGBY</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5540-2026</t>
        </is>
      </c>
      <c r="B3571" s="1" t="n">
        <v>46050.67314814815</v>
      </c>
      <c r="C3571" s="1" t="n">
        <v>46103</v>
      </c>
      <c r="D3571" t="inlineStr">
        <is>
          <t>KRONOBERGS LÄN</t>
        </is>
      </c>
      <c r="E3571" t="inlineStr">
        <is>
          <t>UPPVIDINGE</t>
        </is>
      </c>
      <c r="F3571" t="inlineStr">
        <is>
          <t>Sveaskog</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24491-2024</t>
        </is>
      </c>
      <c r="B3572" s="1" t="n">
        <v>45459.71949074074</v>
      </c>
      <c r="C3572" s="1" t="n">
        <v>46103</v>
      </c>
      <c r="D3572" t="inlineStr">
        <is>
          <t>KRONOBERGS LÄN</t>
        </is>
      </c>
      <c r="E3572" t="inlineStr">
        <is>
          <t>UPPVIDINGE</t>
        </is>
      </c>
      <c r="G3572" t="n">
        <v>4.5</v>
      </c>
      <c r="H3572" t="n">
        <v>0</v>
      </c>
      <c r="I3572" t="n">
        <v>0</v>
      </c>
      <c r="J3572" t="n">
        <v>0</v>
      </c>
      <c r="K3572" t="n">
        <v>0</v>
      </c>
      <c r="L3572" t="n">
        <v>0</v>
      </c>
      <c r="M3572" t="n">
        <v>0</v>
      </c>
      <c r="N3572" t="n">
        <v>0</v>
      </c>
      <c r="O3572" t="n">
        <v>0</v>
      </c>
      <c r="P3572" t="n">
        <v>0</v>
      </c>
      <c r="Q3572" t="n">
        <v>0</v>
      </c>
      <c r="R3572" s="2" t="inlineStr"/>
    </row>
    <row r="3573" ht="15" customHeight="1">
      <c r="A3573" t="inlineStr">
        <is>
          <t>A 25783-2025</t>
        </is>
      </c>
      <c r="B3573" s="1" t="n">
        <v>45804.3675</v>
      </c>
      <c r="C3573" s="1" t="n">
        <v>46103</v>
      </c>
      <c r="D3573" t="inlineStr">
        <is>
          <t>KRONOBERGS LÄN</t>
        </is>
      </c>
      <c r="E3573" t="inlineStr">
        <is>
          <t>ÄLMHULT</t>
        </is>
      </c>
      <c r="F3573" t="inlineStr">
        <is>
          <t>Sveaskog</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56475-2024</t>
        </is>
      </c>
      <c r="B3574" s="1" t="n">
        <v>45625.46210648148</v>
      </c>
      <c r="C3574" s="1" t="n">
        <v>46103</v>
      </c>
      <c r="D3574" t="inlineStr">
        <is>
          <t>KRONOBERGS LÄN</t>
        </is>
      </c>
      <c r="E3574" t="inlineStr">
        <is>
          <t>LESSEBO</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5997-2026</t>
        </is>
      </c>
      <c r="B3575" s="1" t="n">
        <v>46050</v>
      </c>
      <c r="C3575" s="1" t="n">
        <v>46103</v>
      </c>
      <c r="D3575" t="inlineStr">
        <is>
          <t>KRONOBERGS LÄN</t>
        </is>
      </c>
      <c r="E3575" t="inlineStr">
        <is>
          <t>MARKARYD</t>
        </is>
      </c>
      <c r="F3575" t="inlineStr">
        <is>
          <t>Kyrkan</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57030-2023</t>
        </is>
      </c>
      <c r="B3576" s="1" t="n">
        <v>45244.83949074074</v>
      </c>
      <c r="C3576" s="1" t="n">
        <v>46103</v>
      </c>
      <c r="D3576" t="inlineStr">
        <is>
          <t>KRONOBERGS LÄN</t>
        </is>
      </c>
      <c r="E3576" t="inlineStr">
        <is>
          <t>MARKARYD</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57037-2023</t>
        </is>
      </c>
      <c r="B3577" s="1" t="n">
        <v>45244.87707175926</v>
      </c>
      <c r="C3577" s="1" t="n">
        <v>46103</v>
      </c>
      <c r="D3577" t="inlineStr">
        <is>
          <t>KRONOBERGS LÄN</t>
        </is>
      </c>
      <c r="E3577" t="inlineStr">
        <is>
          <t>VÄXJÖ</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6475-2026</t>
        </is>
      </c>
      <c r="B3578" s="1" t="n">
        <v>46051</v>
      </c>
      <c r="C3578" s="1" t="n">
        <v>46103</v>
      </c>
      <c r="D3578" t="inlineStr">
        <is>
          <t>KRONOBERGS LÄN</t>
        </is>
      </c>
      <c r="E3578" t="inlineStr">
        <is>
          <t>MARKARYD</t>
        </is>
      </c>
      <c r="F3578" t="inlineStr">
        <is>
          <t>Kyrkan</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26063-2025</t>
        </is>
      </c>
      <c r="B3579" s="1" t="n">
        <v>45805.27396990741</v>
      </c>
      <c r="C3579" s="1" t="n">
        <v>46103</v>
      </c>
      <c r="D3579" t="inlineStr">
        <is>
          <t>KRONOBERGS LÄN</t>
        </is>
      </c>
      <c r="E3579" t="inlineStr">
        <is>
          <t>LJUNGBY</t>
        </is>
      </c>
      <c r="F3579" t="inlineStr">
        <is>
          <t>Sveaskog</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57188-2024</t>
        </is>
      </c>
      <c r="B3580" s="1" t="n">
        <v>45629.45599537037</v>
      </c>
      <c r="C3580" s="1" t="n">
        <v>46103</v>
      </c>
      <c r="D3580" t="inlineStr">
        <is>
          <t>KRONOBERGS LÄN</t>
        </is>
      </c>
      <c r="E3580" t="inlineStr">
        <is>
          <t>VÄXJÖ</t>
        </is>
      </c>
      <c r="G3580" t="n">
        <v>0.3</v>
      </c>
      <c r="H3580" t="n">
        <v>0</v>
      </c>
      <c r="I3580" t="n">
        <v>0</v>
      </c>
      <c r="J3580" t="n">
        <v>0</v>
      </c>
      <c r="K3580" t="n">
        <v>0</v>
      </c>
      <c r="L3580" t="n">
        <v>0</v>
      </c>
      <c r="M3580" t="n">
        <v>0</v>
      </c>
      <c r="N3580" t="n">
        <v>0</v>
      </c>
      <c r="O3580" t="n">
        <v>0</v>
      </c>
      <c r="P3580" t="n">
        <v>0</v>
      </c>
      <c r="Q3580" t="n">
        <v>0</v>
      </c>
      <c r="R3580" s="2" t="inlineStr"/>
    </row>
    <row r="3581" ht="15" customHeight="1">
      <c r="A3581" t="inlineStr">
        <is>
          <t>A 57197-2024</t>
        </is>
      </c>
      <c r="B3581" s="1" t="n">
        <v>45629.47450231481</v>
      </c>
      <c r="C3581" s="1" t="n">
        <v>46103</v>
      </c>
      <c r="D3581" t="inlineStr">
        <is>
          <t>KRONOBERGS LÄN</t>
        </is>
      </c>
      <c r="E3581" t="inlineStr">
        <is>
          <t>ÄLMHULT</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25739-2025</t>
        </is>
      </c>
      <c r="B3582" s="1" t="n">
        <v>45803.84655092593</v>
      </c>
      <c r="C3582" s="1" t="n">
        <v>46103</v>
      </c>
      <c r="D3582" t="inlineStr">
        <is>
          <t>KRONOBERGS LÄN</t>
        </is>
      </c>
      <c r="E3582" t="inlineStr">
        <is>
          <t>TINGSRYD</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25880-2025</t>
        </is>
      </c>
      <c r="B3583" s="1" t="n">
        <v>45804.49628472222</v>
      </c>
      <c r="C3583" s="1" t="n">
        <v>46103</v>
      </c>
      <c r="D3583" t="inlineStr">
        <is>
          <t>KRONOBERGS LÄN</t>
        </is>
      </c>
      <c r="E3583" t="inlineStr">
        <is>
          <t>ÄLMHULT</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57826-2024</t>
        </is>
      </c>
      <c r="B3584" s="1" t="n">
        <v>45631.38643518519</v>
      </c>
      <c r="C3584" s="1" t="n">
        <v>46103</v>
      </c>
      <c r="D3584" t="inlineStr">
        <is>
          <t>KRONOBERGS LÄN</t>
        </is>
      </c>
      <c r="E3584" t="inlineStr">
        <is>
          <t>VÄXJÖ</t>
        </is>
      </c>
      <c r="G3584" t="n">
        <v>10.2</v>
      </c>
      <c r="H3584" t="n">
        <v>0</v>
      </c>
      <c r="I3584" t="n">
        <v>0</v>
      </c>
      <c r="J3584" t="n">
        <v>0</v>
      </c>
      <c r="K3584" t="n">
        <v>0</v>
      </c>
      <c r="L3584" t="n">
        <v>0</v>
      </c>
      <c r="M3584" t="n">
        <v>0</v>
      </c>
      <c r="N3584" t="n">
        <v>0</v>
      </c>
      <c r="O3584" t="n">
        <v>0</v>
      </c>
      <c r="P3584" t="n">
        <v>0</v>
      </c>
      <c r="Q3584" t="n">
        <v>0</v>
      </c>
      <c r="R3584" s="2" t="inlineStr"/>
    </row>
    <row r="3585" ht="15" customHeight="1">
      <c r="A3585" t="inlineStr">
        <is>
          <t>A 10844-2023</t>
        </is>
      </c>
      <c r="B3585" s="1" t="n">
        <v>44991.34855324074</v>
      </c>
      <c r="C3585" s="1" t="n">
        <v>46103</v>
      </c>
      <c r="D3585" t="inlineStr">
        <is>
          <t>KRONOBERGS LÄN</t>
        </is>
      </c>
      <c r="E3585" t="inlineStr">
        <is>
          <t>LJUNGBY</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24390-2023</t>
        </is>
      </c>
      <c r="B3586" s="1" t="n">
        <v>45082</v>
      </c>
      <c r="C3586" s="1" t="n">
        <v>46103</v>
      </c>
      <c r="D3586" t="inlineStr">
        <is>
          <t>KRONOBERGS LÄN</t>
        </is>
      </c>
      <c r="E3586" t="inlineStr">
        <is>
          <t>TINGSRYD</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24395-2023</t>
        </is>
      </c>
      <c r="B3587" s="1" t="n">
        <v>45082.41980324074</v>
      </c>
      <c r="C3587" s="1" t="n">
        <v>46103</v>
      </c>
      <c r="D3587" t="inlineStr">
        <is>
          <t>KRONOBERGS LÄN</t>
        </is>
      </c>
      <c r="E3587" t="inlineStr">
        <is>
          <t>TINGSRYD</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50017-2024</t>
        </is>
      </c>
      <c r="B3588" s="1" t="n">
        <v>45599.3781712963</v>
      </c>
      <c r="C3588" s="1" t="n">
        <v>46103</v>
      </c>
      <c r="D3588" t="inlineStr">
        <is>
          <t>KRONOBERGS LÄN</t>
        </is>
      </c>
      <c r="E3588" t="inlineStr">
        <is>
          <t>VÄXJÖ</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5504-2026</t>
        </is>
      </c>
      <c r="B3589" s="1" t="n">
        <v>46050.62579861111</v>
      </c>
      <c r="C3589" s="1" t="n">
        <v>46103</v>
      </c>
      <c r="D3589" t="inlineStr">
        <is>
          <t>KRONOBERGS LÄN</t>
        </is>
      </c>
      <c r="E3589" t="inlineStr">
        <is>
          <t>UPPVIDINGE</t>
        </is>
      </c>
      <c r="F3589" t="inlineStr">
        <is>
          <t>Sveaskog</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40660-2023</t>
        </is>
      </c>
      <c r="B3590" s="1" t="n">
        <v>45170.58003472222</v>
      </c>
      <c r="C3590" s="1" t="n">
        <v>46103</v>
      </c>
      <c r="D3590" t="inlineStr">
        <is>
          <t>KRONOBERGS LÄN</t>
        </is>
      </c>
      <c r="E3590" t="inlineStr">
        <is>
          <t>ÄLMHULT</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5520-2026</t>
        </is>
      </c>
      <c r="B3591" s="1" t="n">
        <v>46050</v>
      </c>
      <c r="C3591" s="1" t="n">
        <v>46103</v>
      </c>
      <c r="D3591" t="inlineStr">
        <is>
          <t>KRONOBERGS LÄN</t>
        </is>
      </c>
      <c r="E3591" t="inlineStr">
        <is>
          <t>ALVESTA</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5783-2026</t>
        </is>
      </c>
      <c r="B3592" s="1" t="n">
        <v>46051.66256944444</v>
      </c>
      <c r="C3592" s="1" t="n">
        <v>46103</v>
      </c>
      <c r="D3592" t="inlineStr">
        <is>
          <t>KRONOBERGS LÄN</t>
        </is>
      </c>
      <c r="E3592" t="inlineStr">
        <is>
          <t>VÄXJÖ</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35061-2023</t>
        </is>
      </c>
      <c r="B3593" s="1" t="n">
        <v>45145</v>
      </c>
      <c r="C3593" s="1" t="n">
        <v>46103</v>
      </c>
      <c r="D3593" t="inlineStr">
        <is>
          <t>KRONOBERGS LÄN</t>
        </is>
      </c>
      <c r="E3593" t="inlineStr">
        <is>
          <t>VÄXJÖ</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38399-2023</t>
        </is>
      </c>
      <c r="B3594" s="1" t="n">
        <v>45162.32709490741</v>
      </c>
      <c r="C3594" s="1" t="n">
        <v>46103</v>
      </c>
      <c r="D3594" t="inlineStr">
        <is>
          <t>KRONOBERGS LÄN</t>
        </is>
      </c>
      <c r="E3594" t="inlineStr">
        <is>
          <t>LJUNGBY</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6325-2024</t>
        </is>
      </c>
      <c r="B3595" s="1" t="n">
        <v>45338</v>
      </c>
      <c r="C3595" s="1" t="n">
        <v>46103</v>
      </c>
      <c r="D3595" t="inlineStr">
        <is>
          <t>KRONOBERGS LÄN</t>
        </is>
      </c>
      <c r="E3595" t="inlineStr">
        <is>
          <t>UPPVIDINGE</t>
        </is>
      </c>
      <c r="F3595" t="inlineStr">
        <is>
          <t>Sveaskog</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6329-2024</t>
        </is>
      </c>
      <c r="B3596" s="1" t="n">
        <v>45338</v>
      </c>
      <c r="C3596" s="1" t="n">
        <v>46103</v>
      </c>
      <c r="D3596" t="inlineStr">
        <is>
          <t>KRONOBERGS LÄN</t>
        </is>
      </c>
      <c r="E3596" t="inlineStr">
        <is>
          <t>UPPVIDINGE</t>
        </is>
      </c>
      <c r="F3596" t="inlineStr">
        <is>
          <t>Sveaskog</t>
        </is>
      </c>
      <c r="G3596" t="n">
        <v>0.3</v>
      </c>
      <c r="H3596" t="n">
        <v>0</v>
      </c>
      <c r="I3596" t="n">
        <v>0</v>
      </c>
      <c r="J3596" t="n">
        <v>0</v>
      </c>
      <c r="K3596" t="n">
        <v>0</v>
      </c>
      <c r="L3596" t="n">
        <v>0</v>
      </c>
      <c r="M3596" t="n">
        <v>0</v>
      </c>
      <c r="N3596" t="n">
        <v>0</v>
      </c>
      <c r="O3596" t="n">
        <v>0</v>
      </c>
      <c r="P3596" t="n">
        <v>0</v>
      </c>
      <c r="Q3596" t="n">
        <v>0</v>
      </c>
      <c r="R3596" s="2" t="inlineStr"/>
    </row>
    <row r="3597" ht="15" customHeight="1">
      <c r="A3597" t="inlineStr">
        <is>
          <t>A 13146-2026</t>
        </is>
      </c>
      <c r="B3597" s="1" t="n">
        <v>46093.5117824074</v>
      </c>
      <c r="C3597" s="1" t="n">
        <v>46103</v>
      </c>
      <c r="D3597" t="inlineStr">
        <is>
          <t>KRONOBERGS LÄN</t>
        </is>
      </c>
      <c r="E3597" t="inlineStr">
        <is>
          <t>ÄLMHULT</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13224-2026</t>
        </is>
      </c>
      <c r="B3598" s="1" t="n">
        <v>46093.62837962963</v>
      </c>
      <c r="C3598" s="1" t="n">
        <v>46103</v>
      </c>
      <c r="D3598" t="inlineStr">
        <is>
          <t>KRONOBERGS LÄN</t>
        </is>
      </c>
      <c r="E3598" t="inlineStr">
        <is>
          <t>UPPVIDINGE</t>
        </is>
      </c>
      <c r="F3598" t="inlineStr">
        <is>
          <t>Sveaskog</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65137-2023</t>
        </is>
      </c>
      <c r="B3599" s="1" t="n">
        <v>45288.54592592592</v>
      </c>
      <c r="C3599" s="1" t="n">
        <v>46103</v>
      </c>
      <c r="D3599" t="inlineStr">
        <is>
          <t>KRONOBERGS LÄN</t>
        </is>
      </c>
      <c r="E3599" t="inlineStr">
        <is>
          <t>LESSEBO</t>
        </is>
      </c>
      <c r="G3599" t="n">
        <v>5.4</v>
      </c>
      <c r="H3599" t="n">
        <v>0</v>
      </c>
      <c r="I3599" t="n">
        <v>0</v>
      </c>
      <c r="J3599" t="n">
        <v>0</v>
      </c>
      <c r="K3599" t="n">
        <v>0</v>
      </c>
      <c r="L3599" t="n">
        <v>0</v>
      </c>
      <c r="M3599" t="n">
        <v>0</v>
      </c>
      <c r="N3599" t="n">
        <v>0</v>
      </c>
      <c r="O3599" t="n">
        <v>0</v>
      </c>
      <c r="P3599" t="n">
        <v>0</v>
      </c>
      <c r="Q3599" t="n">
        <v>0</v>
      </c>
      <c r="R3599" s="2" t="inlineStr"/>
    </row>
    <row r="3600" ht="15" customHeight="1">
      <c r="A3600" t="inlineStr">
        <is>
          <t>A 59681-2022</t>
        </is>
      </c>
      <c r="B3600" s="1" t="n">
        <v>44908</v>
      </c>
      <c r="C3600" s="1" t="n">
        <v>46103</v>
      </c>
      <c r="D3600" t="inlineStr">
        <is>
          <t>KRONOBERGS LÄN</t>
        </is>
      </c>
      <c r="E3600" t="inlineStr">
        <is>
          <t>LJUNGBY</t>
        </is>
      </c>
      <c r="F3600" t="inlineStr">
        <is>
          <t>Sveaskog</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57310-2022</t>
        </is>
      </c>
      <c r="B3601" s="1" t="n">
        <v>44896.30818287037</v>
      </c>
      <c r="C3601" s="1" t="n">
        <v>46103</v>
      </c>
      <c r="D3601" t="inlineStr">
        <is>
          <t>KRONOBERGS LÄN</t>
        </is>
      </c>
      <c r="E3601" t="inlineStr">
        <is>
          <t>LJUNGBY</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45651-2022</t>
        </is>
      </c>
      <c r="B3602" s="1" t="n">
        <v>44845</v>
      </c>
      <c r="C3602" s="1" t="n">
        <v>46103</v>
      </c>
      <c r="D3602" t="inlineStr">
        <is>
          <t>KRONOBERGS LÄN</t>
        </is>
      </c>
      <c r="E3602" t="inlineStr">
        <is>
          <t>VÄXJÖ</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26065-2025</t>
        </is>
      </c>
      <c r="B3603" s="1" t="n">
        <v>45805.27778935185</v>
      </c>
      <c r="C3603" s="1" t="n">
        <v>46103</v>
      </c>
      <c r="D3603" t="inlineStr">
        <is>
          <t>KRONOBERGS LÄN</t>
        </is>
      </c>
      <c r="E3603" t="inlineStr">
        <is>
          <t>LJUNGBY</t>
        </is>
      </c>
      <c r="F3603" t="inlineStr">
        <is>
          <t>Sveaskog</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25779-2025</t>
        </is>
      </c>
      <c r="B3604" s="1" t="n">
        <v>45804.36267361111</v>
      </c>
      <c r="C3604" s="1" t="n">
        <v>46103</v>
      </c>
      <c r="D3604" t="inlineStr">
        <is>
          <t>KRONOBERGS LÄN</t>
        </is>
      </c>
      <c r="E3604" t="inlineStr">
        <is>
          <t>ÄLMHULT</t>
        </is>
      </c>
      <c r="F3604" t="inlineStr">
        <is>
          <t>Sveaskog</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26166-2025</t>
        </is>
      </c>
      <c r="B3605" s="1" t="n">
        <v>45805.45325231482</v>
      </c>
      <c r="C3605" s="1" t="n">
        <v>46103</v>
      </c>
      <c r="D3605" t="inlineStr">
        <is>
          <t>KRONOBERGS LÄN</t>
        </is>
      </c>
      <c r="E3605" t="inlineStr">
        <is>
          <t>MARKARYD</t>
        </is>
      </c>
      <c r="G3605" t="n">
        <v>5</v>
      </c>
      <c r="H3605" t="n">
        <v>0</v>
      </c>
      <c r="I3605" t="n">
        <v>0</v>
      </c>
      <c r="J3605" t="n">
        <v>0</v>
      </c>
      <c r="K3605" t="n">
        <v>0</v>
      </c>
      <c r="L3605" t="n">
        <v>0</v>
      </c>
      <c r="M3605" t="n">
        <v>0</v>
      </c>
      <c r="N3605" t="n">
        <v>0</v>
      </c>
      <c r="O3605" t="n">
        <v>0</v>
      </c>
      <c r="P3605" t="n">
        <v>0</v>
      </c>
      <c r="Q3605" t="n">
        <v>0</v>
      </c>
      <c r="R3605" s="2" t="inlineStr"/>
    </row>
    <row r="3606" ht="15" customHeight="1">
      <c r="A3606" t="inlineStr">
        <is>
          <t>A 21658-2023</t>
        </is>
      </c>
      <c r="B3606" s="1" t="n">
        <v>45063</v>
      </c>
      <c r="C3606" s="1" t="n">
        <v>46103</v>
      </c>
      <c r="D3606" t="inlineStr">
        <is>
          <t>KRONOBERGS LÄN</t>
        </is>
      </c>
      <c r="E3606" t="inlineStr">
        <is>
          <t>MARKARYD</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10889-2024</t>
        </is>
      </c>
      <c r="B3607" s="1" t="n">
        <v>45370.34275462963</v>
      </c>
      <c r="C3607" s="1" t="n">
        <v>46103</v>
      </c>
      <c r="D3607" t="inlineStr">
        <is>
          <t>KRONOBERGS LÄN</t>
        </is>
      </c>
      <c r="E3607" t="inlineStr">
        <is>
          <t>LJUNGBY</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50030-2023</t>
        </is>
      </c>
      <c r="B3608" s="1" t="n">
        <v>45215.48378472222</v>
      </c>
      <c r="C3608" s="1" t="n">
        <v>46103</v>
      </c>
      <c r="D3608" t="inlineStr">
        <is>
          <t>KRONOBERGS LÄN</t>
        </is>
      </c>
      <c r="E3608" t="inlineStr">
        <is>
          <t>LJUNGBY</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58641-2024</t>
        </is>
      </c>
      <c r="B3609" s="1" t="n">
        <v>45635.58824074074</v>
      </c>
      <c r="C3609" s="1" t="n">
        <v>46103</v>
      </c>
      <c r="D3609" t="inlineStr">
        <is>
          <t>KRONOBERGS LÄN</t>
        </is>
      </c>
      <c r="E3609" t="inlineStr">
        <is>
          <t>ALVESTA</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51417-2023</t>
        </is>
      </c>
      <c r="B3610" s="1" t="n">
        <v>45219.79758101852</v>
      </c>
      <c r="C3610" s="1" t="n">
        <v>46103</v>
      </c>
      <c r="D3610" t="inlineStr">
        <is>
          <t>KRONOBERGS LÄN</t>
        </is>
      </c>
      <c r="E3610" t="inlineStr">
        <is>
          <t>UPPVIDINGE</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5530-2026</t>
        </is>
      </c>
      <c r="B3611" s="1" t="n">
        <v>46050.65569444445</v>
      </c>
      <c r="C3611" s="1" t="n">
        <v>46103</v>
      </c>
      <c r="D3611" t="inlineStr">
        <is>
          <t>KRONOBERGS LÄN</t>
        </is>
      </c>
      <c r="E3611" t="inlineStr">
        <is>
          <t>LJUNGBY</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26236-2025</t>
        </is>
      </c>
      <c r="B3612" s="1" t="n">
        <v>45805.56789351852</v>
      </c>
      <c r="C3612" s="1" t="n">
        <v>46103</v>
      </c>
      <c r="D3612" t="inlineStr">
        <is>
          <t>KRONOBERGS LÄN</t>
        </is>
      </c>
      <c r="E3612" t="inlineStr">
        <is>
          <t>ALVESTA</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40216-2023</t>
        </is>
      </c>
      <c r="B3613" s="1" t="n">
        <v>45169.45532407407</v>
      </c>
      <c r="C3613" s="1" t="n">
        <v>46103</v>
      </c>
      <c r="D3613" t="inlineStr">
        <is>
          <t>KRONOBERGS LÄN</t>
        </is>
      </c>
      <c r="E3613" t="inlineStr">
        <is>
          <t>VÄXJÖ</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13225-2026</t>
        </is>
      </c>
      <c r="B3614" s="1" t="n">
        <v>46093.62902777778</v>
      </c>
      <c r="C3614" s="1" t="n">
        <v>46103</v>
      </c>
      <c r="D3614" t="inlineStr">
        <is>
          <t>KRONOBERGS LÄN</t>
        </is>
      </c>
      <c r="E3614" t="inlineStr">
        <is>
          <t>UPPVIDINGE</t>
        </is>
      </c>
      <c r="F3614" t="inlineStr">
        <is>
          <t>Sveaskog</t>
        </is>
      </c>
      <c r="G3614" t="n">
        <v>6</v>
      </c>
      <c r="H3614" t="n">
        <v>0</v>
      </c>
      <c r="I3614" t="n">
        <v>0</v>
      </c>
      <c r="J3614" t="n">
        <v>0</v>
      </c>
      <c r="K3614" t="n">
        <v>0</v>
      </c>
      <c r="L3614" t="n">
        <v>0</v>
      </c>
      <c r="M3614" t="n">
        <v>0</v>
      </c>
      <c r="N3614" t="n">
        <v>0</v>
      </c>
      <c r="O3614" t="n">
        <v>0</v>
      </c>
      <c r="P3614" t="n">
        <v>0</v>
      </c>
      <c r="Q3614" t="n">
        <v>0</v>
      </c>
      <c r="R3614" s="2" t="inlineStr"/>
    </row>
    <row r="3615" ht="15" customHeight="1">
      <c r="A3615" t="inlineStr">
        <is>
          <t>A 22058-2022</t>
        </is>
      </c>
      <c r="B3615" s="1" t="n">
        <v>44711.68930555556</v>
      </c>
      <c r="C3615" s="1" t="n">
        <v>46103</v>
      </c>
      <c r="D3615" t="inlineStr">
        <is>
          <t>KRONOBERGS LÄN</t>
        </is>
      </c>
      <c r="E3615" t="inlineStr">
        <is>
          <t>VÄXJÖ</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28735-2024</t>
        </is>
      </c>
      <c r="B3616" s="1" t="n">
        <v>45478.5672337963</v>
      </c>
      <c r="C3616" s="1" t="n">
        <v>46103</v>
      </c>
      <c r="D3616" t="inlineStr">
        <is>
          <t>KRONOBERGS LÄN</t>
        </is>
      </c>
      <c r="E3616" t="inlineStr">
        <is>
          <t>ALVESTA</t>
        </is>
      </c>
      <c r="G3616" t="n">
        <v>5.4</v>
      </c>
      <c r="H3616" t="n">
        <v>0</v>
      </c>
      <c r="I3616" t="n">
        <v>0</v>
      </c>
      <c r="J3616" t="n">
        <v>0</v>
      </c>
      <c r="K3616" t="n">
        <v>0</v>
      </c>
      <c r="L3616" t="n">
        <v>0</v>
      </c>
      <c r="M3616" t="n">
        <v>0</v>
      </c>
      <c r="N3616" t="n">
        <v>0</v>
      </c>
      <c r="O3616" t="n">
        <v>0</v>
      </c>
      <c r="P3616" t="n">
        <v>0</v>
      </c>
      <c r="Q3616" t="n">
        <v>0</v>
      </c>
      <c r="R3616" s="2" t="inlineStr"/>
    </row>
    <row r="3617" ht="15" customHeight="1">
      <c r="A3617" t="inlineStr">
        <is>
          <t>A 9822-2022</t>
        </is>
      </c>
      <c r="B3617" s="1" t="n">
        <v>44620.44520833333</v>
      </c>
      <c r="C3617" s="1" t="n">
        <v>46103</v>
      </c>
      <c r="D3617" t="inlineStr">
        <is>
          <t>KRONOBERGS LÄN</t>
        </is>
      </c>
      <c r="E3617" t="inlineStr">
        <is>
          <t>ALVESTA</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38641-2024</t>
        </is>
      </c>
      <c r="B3618" s="1" t="n">
        <v>45546.85369212963</v>
      </c>
      <c r="C3618" s="1" t="n">
        <v>46103</v>
      </c>
      <c r="D3618" t="inlineStr">
        <is>
          <t>KRONOBERGS LÄN</t>
        </is>
      </c>
      <c r="E3618" t="inlineStr">
        <is>
          <t>LJUNGBY</t>
        </is>
      </c>
      <c r="F3618" t="inlineStr">
        <is>
          <t>Sveaskog</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16983-2025</t>
        </is>
      </c>
      <c r="B3619" s="1" t="n">
        <v>45755.48740740741</v>
      </c>
      <c r="C3619" s="1" t="n">
        <v>46103</v>
      </c>
      <c r="D3619" t="inlineStr">
        <is>
          <t>KRONOBERGS LÄN</t>
        </is>
      </c>
      <c r="E3619" t="inlineStr">
        <is>
          <t>LJUNGBY</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16985-2025</t>
        </is>
      </c>
      <c r="B3620" s="1" t="n">
        <v>45755.48774305556</v>
      </c>
      <c r="C3620" s="1" t="n">
        <v>46103</v>
      </c>
      <c r="D3620" t="inlineStr">
        <is>
          <t>KRONOBERGS LÄN</t>
        </is>
      </c>
      <c r="E3620" t="inlineStr">
        <is>
          <t>TINGSRYD</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19219-2024</t>
        </is>
      </c>
      <c r="B3621" s="1" t="n">
        <v>45428</v>
      </c>
      <c r="C3621" s="1" t="n">
        <v>46103</v>
      </c>
      <c r="D3621" t="inlineStr">
        <is>
          <t>KRONOBERGS LÄN</t>
        </is>
      </c>
      <c r="E3621" t="inlineStr">
        <is>
          <t>MARKARYD</t>
        </is>
      </c>
      <c r="F3621" t="inlineStr">
        <is>
          <t>Sveaskog</t>
        </is>
      </c>
      <c r="G3621" t="n">
        <v>5.7</v>
      </c>
      <c r="H3621" t="n">
        <v>0</v>
      </c>
      <c r="I3621" t="n">
        <v>0</v>
      </c>
      <c r="J3621" t="n">
        <v>0</v>
      </c>
      <c r="K3621" t="n">
        <v>0</v>
      </c>
      <c r="L3621" t="n">
        <v>0</v>
      </c>
      <c r="M3621" t="n">
        <v>0</v>
      </c>
      <c r="N3621" t="n">
        <v>0</v>
      </c>
      <c r="O3621" t="n">
        <v>0</v>
      </c>
      <c r="P3621" t="n">
        <v>0</v>
      </c>
      <c r="Q3621" t="n">
        <v>0</v>
      </c>
      <c r="R3621" s="2" t="inlineStr"/>
    </row>
    <row r="3622" ht="15" customHeight="1">
      <c r="A3622" t="inlineStr">
        <is>
          <t>A 19223-2024</t>
        </is>
      </c>
      <c r="B3622" s="1" t="n">
        <v>45428.55619212963</v>
      </c>
      <c r="C3622" s="1" t="n">
        <v>46103</v>
      </c>
      <c r="D3622" t="inlineStr">
        <is>
          <t>KRONOBERGS LÄN</t>
        </is>
      </c>
      <c r="E3622" t="inlineStr">
        <is>
          <t>UPPVIDINGE</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25883-2025</t>
        </is>
      </c>
      <c r="B3623" s="1" t="n">
        <v>45804.49788194444</v>
      </c>
      <c r="C3623" s="1" t="n">
        <v>46103</v>
      </c>
      <c r="D3623" t="inlineStr">
        <is>
          <t>KRONOBERGS LÄN</t>
        </is>
      </c>
      <c r="E3623" t="inlineStr">
        <is>
          <t>UPPVIDINGE</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36724-2023</t>
        </is>
      </c>
      <c r="B3624" s="1" t="n">
        <v>45153</v>
      </c>
      <c r="C3624" s="1" t="n">
        <v>46103</v>
      </c>
      <c r="D3624" t="inlineStr">
        <is>
          <t>KRONOBERGS LÄN</t>
        </is>
      </c>
      <c r="E3624" t="inlineStr">
        <is>
          <t>VÄXJÖ</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6484-2026</t>
        </is>
      </c>
      <c r="B3625" s="1" t="n">
        <v>46051</v>
      </c>
      <c r="C3625" s="1" t="n">
        <v>46103</v>
      </c>
      <c r="D3625" t="inlineStr">
        <is>
          <t>KRONOBERGS LÄN</t>
        </is>
      </c>
      <c r="E3625" t="inlineStr">
        <is>
          <t>ALVESTA</t>
        </is>
      </c>
      <c r="F3625" t="inlineStr">
        <is>
          <t>Kyrkan</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18236-2025</t>
        </is>
      </c>
      <c r="B3626" s="1" t="n">
        <v>45761.93880787037</v>
      </c>
      <c r="C3626" s="1" t="n">
        <v>46103</v>
      </c>
      <c r="D3626" t="inlineStr">
        <is>
          <t>KRONOBERGS LÄN</t>
        </is>
      </c>
      <c r="E3626" t="inlineStr">
        <is>
          <t>UPPVIDINGE</t>
        </is>
      </c>
      <c r="F3626" t="inlineStr">
        <is>
          <t>Sveaskog</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64507-2023</t>
        </is>
      </c>
      <c r="B3627" s="1" t="n">
        <v>45281.29634259259</v>
      </c>
      <c r="C3627" s="1" t="n">
        <v>46103</v>
      </c>
      <c r="D3627" t="inlineStr">
        <is>
          <t>KRONOBERGS LÄN</t>
        </is>
      </c>
      <c r="E3627" t="inlineStr">
        <is>
          <t>MARKARYD</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12804-2026</t>
        </is>
      </c>
      <c r="B3628" s="1" t="n">
        <v>46092.37709490741</v>
      </c>
      <c r="C3628" s="1" t="n">
        <v>46103</v>
      </c>
      <c r="D3628" t="inlineStr">
        <is>
          <t>KRONOBERGS LÄN</t>
        </is>
      </c>
      <c r="E3628" t="inlineStr">
        <is>
          <t>ALVESTA</t>
        </is>
      </c>
      <c r="G3628" t="n">
        <v>7.3</v>
      </c>
      <c r="H3628" t="n">
        <v>0</v>
      </c>
      <c r="I3628" t="n">
        <v>0</v>
      </c>
      <c r="J3628" t="n">
        <v>0</v>
      </c>
      <c r="K3628" t="n">
        <v>0</v>
      </c>
      <c r="L3628" t="n">
        <v>0</v>
      </c>
      <c r="M3628" t="n">
        <v>0</v>
      </c>
      <c r="N3628" t="n">
        <v>0</v>
      </c>
      <c r="O3628" t="n">
        <v>0</v>
      </c>
      <c r="P3628" t="n">
        <v>0</v>
      </c>
      <c r="Q3628" t="n">
        <v>0</v>
      </c>
      <c r="R3628" s="2" t="inlineStr"/>
    </row>
    <row r="3629" ht="15" customHeight="1">
      <c r="A3629" t="inlineStr">
        <is>
          <t>A 64508-2023</t>
        </is>
      </c>
      <c r="B3629" s="1" t="n">
        <v>45281.29872685186</v>
      </c>
      <c r="C3629" s="1" t="n">
        <v>46103</v>
      </c>
      <c r="D3629" t="inlineStr">
        <is>
          <t>KRONOBERGS LÄN</t>
        </is>
      </c>
      <c r="E3629" t="inlineStr">
        <is>
          <t>MARKARYD</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17388-2025</t>
        </is>
      </c>
      <c r="B3630" s="1" t="n">
        <v>45757.31876157408</v>
      </c>
      <c r="C3630" s="1" t="n">
        <v>46103</v>
      </c>
      <c r="D3630" t="inlineStr">
        <is>
          <t>KRONOBERGS LÄN</t>
        </is>
      </c>
      <c r="E3630" t="inlineStr">
        <is>
          <t>ÄLMHULT</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17390-2025</t>
        </is>
      </c>
      <c r="B3631" s="1" t="n">
        <v>45757.32127314815</v>
      </c>
      <c r="C3631" s="1" t="n">
        <v>46103</v>
      </c>
      <c r="D3631" t="inlineStr">
        <is>
          <t>KRONOBERGS LÄN</t>
        </is>
      </c>
      <c r="E3631" t="inlineStr">
        <is>
          <t>TINGSRYD</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5531-2026</t>
        </is>
      </c>
      <c r="B3632" s="1" t="n">
        <v>46050.65660879629</v>
      </c>
      <c r="C3632" s="1" t="n">
        <v>46103</v>
      </c>
      <c r="D3632" t="inlineStr">
        <is>
          <t>KRONOBERGS LÄN</t>
        </is>
      </c>
      <c r="E3632" t="inlineStr">
        <is>
          <t>LJUNGBY</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19206-2024</t>
        </is>
      </c>
      <c r="B3633" s="1" t="n">
        <v>45428.53776620371</v>
      </c>
      <c r="C3633" s="1" t="n">
        <v>46103</v>
      </c>
      <c r="D3633" t="inlineStr">
        <is>
          <t>KRONOBERGS LÄN</t>
        </is>
      </c>
      <c r="E3633" t="inlineStr">
        <is>
          <t>UPPVIDINGE</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11724-2022</t>
        </is>
      </c>
      <c r="B3634" s="1" t="n">
        <v>44634</v>
      </c>
      <c r="C3634" s="1" t="n">
        <v>46103</v>
      </c>
      <c r="D3634" t="inlineStr">
        <is>
          <t>KRONOBERGS LÄN</t>
        </is>
      </c>
      <c r="E3634" t="inlineStr">
        <is>
          <t>TINGSRYD</t>
        </is>
      </c>
      <c r="G3634" t="n">
        <v>4.8</v>
      </c>
      <c r="H3634" t="n">
        <v>0</v>
      </c>
      <c r="I3634" t="n">
        <v>0</v>
      </c>
      <c r="J3634" t="n">
        <v>0</v>
      </c>
      <c r="K3634" t="n">
        <v>0</v>
      </c>
      <c r="L3634" t="n">
        <v>0</v>
      </c>
      <c r="M3634" t="n">
        <v>0</v>
      </c>
      <c r="N3634" t="n">
        <v>0</v>
      </c>
      <c r="O3634" t="n">
        <v>0</v>
      </c>
      <c r="P3634" t="n">
        <v>0</v>
      </c>
      <c r="Q3634" t="n">
        <v>0</v>
      </c>
      <c r="R3634" s="2" t="inlineStr"/>
    </row>
    <row r="3635" ht="15" customHeight="1">
      <c r="A3635" t="inlineStr">
        <is>
          <t>A 1813-2023</t>
        </is>
      </c>
      <c r="B3635" s="1" t="n">
        <v>44938</v>
      </c>
      <c r="C3635" s="1" t="n">
        <v>46103</v>
      </c>
      <c r="D3635" t="inlineStr">
        <is>
          <t>KRONOBERGS LÄN</t>
        </is>
      </c>
      <c r="E3635" t="inlineStr">
        <is>
          <t>VÄXJÖ</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13817-2021</t>
        </is>
      </c>
      <c r="B3636" s="1" t="n">
        <v>44276</v>
      </c>
      <c r="C3636" s="1" t="n">
        <v>46103</v>
      </c>
      <c r="D3636" t="inlineStr">
        <is>
          <t>KRONOBERGS LÄN</t>
        </is>
      </c>
      <c r="E3636" t="inlineStr">
        <is>
          <t>UPPVIDINGE</t>
        </is>
      </c>
      <c r="G3636" t="n">
        <v>0.2</v>
      </c>
      <c r="H3636" t="n">
        <v>0</v>
      </c>
      <c r="I3636" t="n">
        <v>0</v>
      </c>
      <c r="J3636" t="n">
        <v>0</v>
      </c>
      <c r="K3636" t="n">
        <v>0</v>
      </c>
      <c r="L3636" t="n">
        <v>0</v>
      </c>
      <c r="M3636" t="n">
        <v>0</v>
      </c>
      <c r="N3636" t="n">
        <v>0</v>
      </c>
      <c r="O3636" t="n">
        <v>0</v>
      </c>
      <c r="P3636" t="n">
        <v>0</v>
      </c>
      <c r="Q3636" t="n">
        <v>0</v>
      </c>
      <c r="R3636" s="2" t="inlineStr"/>
    </row>
    <row r="3637" ht="15" customHeight="1">
      <c r="A3637" t="inlineStr">
        <is>
          <t>A 57501-2024</t>
        </is>
      </c>
      <c r="B3637" s="1" t="n">
        <v>45630.3771412037</v>
      </c>
      <c r="C3637" s="1" t="n">
        <v>46103</v>
      </c>
      <c r="D3637" t="inlineStr">
        <is>
          <t>KRONOBERGS LÄN</t>
        </is>
      </c>
      <c r="E3637" t="inlineStr">
        <is>
          <t>ÄLMHULT</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25865-2025</t>
        </is>
      </c>
      <c r="B3638" s="1" t="n">
        <v>45804.4793287037</v>
      </c>
      <c r="C3638" s="1" t="n">
        <v>46103</v>
      </c>
      <c r="D3638" t="inlineStr">
        <is>
          <t>KRONOBERGS LÄN</t>
        </is>
      </c>
      <c r="E3638" t="inlineStr">
        <is>
          <t>ÄLMHULT</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16058-2025</t>
        </is>
      </c>
      <c r="B3639" s="1" t="n">
        <v>45749</v>
      </c>
      <c r="C3639" s="1" t="n">
        <v>46103</v>
      </c>
      <c r="D3639" t="inlineStr">
        <is>
          <t>KRONOBERGS LÄN</t>
        </is>
      </c>
      <c r="E3639" t="inlineStr">
        <is>
          <t>VÄXJÖ</t>
        </is>
      </c>
      <c r="F3639" t="inlineStr">
        <is>
          <t>Kyrkan</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17346-2023</t>
        </is>
      </c>
      <c r="B3640" s="1" t="n">
        <v>45035.58140046296</v>
      </c>
      <c r="C3640" s="1" t="n">
        <v>46103</v>
      </c>
      <c r="D3640" t="inlineStr">
        <is>
          <t>KRONOBERGS LÄN</t>
        </is>
      </c>
      <c r="E3640" t="inlineStr">
        <is>
          <t>TINGSRYD</t>
        </is>
      </c>
      <c r="G3640" t="n">
        <v>0</v>
      </c>
      <c r="H3640" t="n">
        <v>0</v>
      </c>
      <c r="I3640" t="n">
        <v>0</v>
      </c>
      <c r="J3640" t="n">
        <v>0</v>
      </c>
      <c r="K3640" t="n">
        <v>0</v>
      </c>
      <c r="L3640" t="n">
        <v>0</v>
      </c>
      <c r="M3640" t="n">
        <v>0</v>
      </c>
      <c r="N3640" t="n">
        <v>0</v>
      </c>
      <c r="O3640" t="n">
        <v>0</v>
      </c>
      <c r="P3640" t="n">
        <v>0</v>
      </c>
      <c r="Q3640" t="n">
        <v>0</v>
      </c>
      <c r="R3640" s="2" t="inlineStr"/>
    </row>
    <row r="3641" ht="15" customHeight="1">
      <c r="A3641" t="inlineStr">
        <is>
          <t>A 26064-2025</t>
        </is>
      </c>
      <c r="B3641" s="1" t="n">
        <v>45805.27659722222</v>
      </c>
      <c r="C3641" s="1" t="n">
        <v>46103</v>
      </c>
      <c r="D3641" t="inlineStr">
        <is>
          <t>KRONOBERGS LÄN</t>
        </is>
      </c>
      <c r="E3641" t="inlineStr">
        <is>
          <t>LJUNGBY</t>
        </is>
      </c>
      <c r="F3641" t="inlineStr">
        <is>
          <t>Sveaskog</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49766-2024</t>
        </is>
      </c>
      <c r="B3642" s="1" t="n">
        <v>45597.34225694444</v>
      </c>
      <c r="C3642" s="1" t="n">
        <v>46103</v>
      </c>
      <c r="D3642" t="inlineStr">
        <is>
          <t>KRONOBERGS LÄN</t>
        </is>
      </c>
      <c r="E3642" t="inlineStr">
        <is>
          <t>UPPVIDINGE</t>
        </is>
      </c>
      <c r="F3642" t="inlineStr">
        <is>
          <t>Sveaskog</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13227-2026</t>
        </is>
      </c>
      <c r="B3643" s="1" t="n">
        <v>46093.62960648148</v>
      </c>
      <c r="C3643" s="1" t="n">
        <v>46103</v>
      </c>
      <c r="D3643" t="inlineStr">
        <is>
          <t>KRONOBERGS LÄN</t>
        </is>
      </c>
      <c r="E3643" t="inlineStr">
        <is>
          <t>UPPVIDINGE</t>
        </is>
      </c>
      <c r="F3643" t="inlineStr">
        <is>
          <t>Sveaskog</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49806-2024</t>
        </is>
      </c>
      <c r="B3644" s="1" t="n">
        <v>45597.38799768518</v>
      </c>
      <c r="C3644" s="1" t="n">
        <v>46103</v>
      </c>
      <c r="D3644" t="inlineStr">
        <is>
          <t>KRONOBERGS LÄN</t>
        </is>
      </c>
      <c r="E3644" t="inlineStr">
        <is>
          <t>UPPVIDINGE</t>
        </is>
      </c>
      <c r="F3644" t="inlineStr">
        <is>
          <t>Sveaskog</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49812-2024</t>
        </is>
      </c>
      <c r="B3645" s="1" t="n">
        <v>45597.39101851852</v>
      </c>
      <c r="C3645" s="1" t="n">
        <v>46103</v>
      </c>
      <c r="D3645" t="inlineStr">
        <is>
          <t>KRONOBERGS LÄN</t>
        </is>
      </c>
      <c r="E3645" t="inlineStr">
        <is>
          <t>UPPVIDINGE</t>
        </is>
      </c>
      <c r="F3645" t="inlineStr">
        <is>
          <t>Sveaskog</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25889-2025</t>
        </is>
      </c>
      <c r="B3646" s="1" t="n">
        <v>45804</v>
      </c>
      <c r="C3646" s="1" t="n">
        <v>46103</v>
      </c>
      <c r="D3646" t="inlineStr">
        <is>
          <t>KRONOBERGS LÄN</t>
        </is>
      </c>
      <c r="E3646" t="inlineStr">
        <is>
          <t>UPPVIDINGE</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12916-2026</t>
        </is>
      </c>
      <c r="B3647" s="1" t="n">
        <v>46092.59259259259</v>
      </c>
      <c r="C3647" s="1" t="n">
        <v>46103</v>
      </c>
      <c r="D3647" t="inlineStr">
        <is>
          <t>KRONOBERGS LÄN</t>
        </is>
      </c>
      <c r="E3647" t="inlineStr">
        <is>
          <t>ÄLMHULT</t>
        </is>
      </c>
      <c r="G3647" t="n">
        <v>29.1</v>
      </c>
      <c r="H3647" t="n">
        <v>0</v>
      </c>
      <c r="I3647" t="n">
        <v>0</v>
      </c>
      <c r="J3647" t="n">
        <v>0</v>
      </c>
      <c r="K3647" t="n">
        <v>0</v>
      </c>
      <c r="L3647" t="n">
        <v>0</v>
      </c>
      <c r="M3647" t="n">
        <v>0</v>
      </c>
      <c r="N3647" t="n">
        <v>0</v>
      </c>
      <c r="O3647" t="n">
        <v>0</v>
      </c>
      <c r="P3647" t="n">
        <v>0</v>
      </c>
      <c r="Q3647" t="n">
        <v>0</v>
      </c>
      <c r="R3647" s="2" t="inlineStr"/>
    </row>
    <row r="3648" ht="15" customHeight="1">
      <c r="A3648" t="inlineStr">
        <is>
          <t>A 58831-2023</t>
        </is>
      </c>
      <c r="B3648" s="1" t="n">
        <v>45252.40496527778</v>
      </c>
      <c r="C3648" s="1" t="n">
        <v>46103</v>
      </c>
      <c r="D3648" t="inlineStr">
        <is>
          <t>KRONOBERGS LÄN</t>
        </is>
      </c>
      <c r="E3648" t="inlineStr">
        <is>
          <t>ÄLMHULT</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13136-2026</t>
        </is>
      </c>
      <c r="B3649" s="1" t="n">
        <v>46093.48878472222</v>
      </c>
      <c r="C3649" s="1" t="n">
        <v>46103</v>
      </c>
      <c r="D3649" t="inlineStr">
        <is>
          <t>KRONOBERGS LÄN</t>
        </is>
      </c>
      <c r="E3649" t="inlineStr">
        <is>
          <t>ALVESTA</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17610-2025</t>
        </is>
      </c>
      <c r="B3650" s="1" t="n">
        <v>45757.77708333333</v>
      </c>
      <c r="C3650" s="1" t="n">
        <v>46103</v>
      </c>
      <c r="D3650" t="inlineStr">
        <is>
          <t>KRONOBERGS LÄN</t>
        </is>
      </c>
      <c r="E3650" t="inlineStr">
        <is>
          <t>LESSEBO</t>
        </is>
      </c>
      <c r="F3650" t="inlineStr">
        <is>
          <t>Sveaskog</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21868-2022</t>
        </is>
      </c>
      <c r="B3651" s="1" t="n">
        <v>44711.38688657407</v>
      </c>
      <c r="C3651" s="1" t="n">
        <v>46103</v>
      </c>
      <c r="D3651" t="inlineStr">
        <is>
          <t>KRONOBERGS LÄN</t>
        </is>
      </c>
      <c r="E3651" t="inlineStr">
        <is>
          <t>UPPVIDINGE</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13180-2026</t>
        </is>
      </c>
      <c r="B3652" s="1" t="n">
        <v>46093.58622685185</v>
      </c>
      <c r="C3652" s="1" t="n">
        <v>46103</v>
      </c>
      <c r="D3652" t="inlineStr">
        <is>
          <t>KRONOBERGS LÄN</t>
        </is>
      </c>
      <c r="E3652" t="inlineStr">
        <is>
          <t>UPPVIDINGE</t>
        </is>
      </c>
      <c r="F3652" t="inlineStr">
        <is>
          <t>Sveaskog</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51652-2021</t>
        </is>
      </c>
      <c r="B3653" s="1" t="n">
        <v>44462</v>
      </c>
      <c r="C3653" s="1" t="n">
        <v>46103</v>
      </c>
      <c r="D3653" t="inlineStr">
        <is>
          <t>KRONOBERGS LÄN</t>
        </is>
      </c>
      <c r="E3653" t="inlineStr">
        <is>
          <t>TINGSRYD</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13299-2026</t>
        </is>
      </c>
      <c r="B3654" s="1" t="n">
        <v>46094.31792824074</v>
      </c>
      <c r="C3654" s="1" t="n">
        <v>46103</v>
      </c>
      <c r="D3654" t="inlineStr">
        <is>
          <t>KRONOBERGS LÄN</t>
        </is>
      </c>
      <c r="E3654" t="inlineStr">
        <is>
          <t>ALVESTA</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13797-2026</t>
        </is>
      </c>
      <c r="B3655" s="1" t="n">
        <v>46097.84951388889</v>
      </c>
      <c r="C3655" s="1" t="n">
        <v>46103</v>
      </c>
      <c r="D3655" t="inlineStr">
        <is>
          <t>KRONOBERGS LÄN</t>
        </is>
      </c>
      <c r="E3655" t="inlineStr">
        <is>
          <t>LJUNGBY</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13798-2026</t>
        </is>
      </c>
      <c r="B3656" s="1" t="n">
        <v>46097.85253472222</v>
      </c>
      <c r="C3656" s="1" t="n">
        <v>46103</v>
      </c>
      <c r="D3656" t="inlineStr">
        <is>
          <t>KRONOBERGS LÄN</t>
        </is>
      </c>
      <c r="E3656" t="inlineStr">
        <is>
          <t>LJUNGBY</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5837-2026</t>
        </is>
      </c>
      <c r="B3657" s="1" t="n">
        <v>46052.33907407407</v>
      </c>
      <c r="C3657" s="1" t="n">
        <v>46103</v>
      </c>
      <c r="D3657" t="inlineStr">
        <is>
          <t>KRONOBERGS LÄN</t>
        </is>
      </c>
      <c r="E3657" t="inlineStr">
        <is>
          <t>UPPVIDINGE</t>
        </is>
      </c>
      <c r="F3657" t="inlineStr">
        <is>
          <t>Sveaskog</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43899-2021</t>
        </is>
      </c>
      <c r="B3658" s="1" t="n">
        <v>44434</v>
      </c>
      <c r="C3658" s="1" t="n">
        <v>46103</v>
      </c>
      <c r="D3658" t="inlineStr">
        <is>
          <t>KRONOBERGS LÄN</t>
        </is>
      </c>
      <c r="E3658" t="inlineStr">
        <is>
          <t>VÄXJÖ</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10702-2023</t>
        </is>
      </c>
      <c r="B3659" s="1" t="n">
        <v>44984</v>
      </c>
      <c r="C3659" s="1" t="n">
        <v>46103</v>
      </c>
      <c r="D3659" t="inlineStr">
        <is>
          <t>KRONOBERGS LÄN</t>
        </is>
      </c>
      <c r="E3659" t="inlineStr">
        <is>
          <t>MARKARYD</t>
        </is>
      </c>
      <c r="G3659" t="n">
        <v>5.9</v>
      </c>
      <c r="H3659" t="n">
        <v>0</v>
      </c>
      <c r="I3659" t="n">
        <v>0</v>
      </c>
      <c r="J3659" t="n">
        <v>0</v>
      </c>
      <c r="K3659" t="n">
        <v>0</v>
      </c>
      <c r="L3659" t="n">
        <v>0</v>
      </c>
      <c r="M3659" t="n">
        <v>0</v>
      </c>
      <c r="N3659" t="n">
        <v>0</v>
      </c>
      <c r="O3659" t="n">
        <v>0</v>
      </c>
      <c r="P3659" t="n">
        <v>0</v>
      </c>
      <c r="Q3659" t="n">
        <v>0</v>
      </c>
      <c r="R3659" s="2" t="inlineStr"/>
    </row>
    <row r="3660" ht="15" customHeight="1">
      <c r="A3660" t="inlineStr">
        <is>
          <t>A 13606-2023</t>
        </is>
      </c>
      <c r="B3660" s="1" t="n">
        <v>45006</v>
      </c>
      <c r="C3660" s="1" t="n">
        <v>46103</v>
      </c>
      <c r="D3660" t="inlineStr">
        <is>
          <t>KRONOBERGS LÄN</t>
        </is>
      </c>
      <c r="E3660" t="inlineStr">
        <is>
          <t>ÄLMHULT</t>
        </is>
      </c>
      <c r="F3660" t="inlineStr">
        <is>
          <t>Kommuner</t>
        </is>
      </c>
      <c r="G3660" t="n">
        <v>4.6</v>
      </c>
      <c r="H3660" t="n">
        <v>0</v>
      </c>
      <c r="I3660" t="n">
        <v>0</v>
      </c>
      <c r="J3660" t="n">
        <v>0</v>
      </c>
      <c r="K3660" t="n">
        <v>0</v>
      </c>
      <c r="L3660" t="n">
        <v>0</v>
      </c>
      <c r="M3660" t="n">
        <v>0</v>
      </c>
      <c r="N3660" t="n">
        <v>0</v>
      </c>
      <c r="O3660" t="n">
        <v>0</v>
      </c>
      <c r="P3660" t="n">
        <v>0</v>
      </c>
      <c r="Q3660" t="n">
        <v>0</v>
      </c>
      <c r="R3660" s="2" t="inlineStr"/>
    </row>
    <row r="3661" ht="15" customHeight="1">
      <c r="A3661" t="inlineStr">
        <is>
          <t>A 13132-2025</t>
        </is>
      </c>
      <c r="B3661" s="1" t="n">
        <v>45734.93418981481</v>
      </c>
      <c r="C3661" s="1" t="n">
        <v>46103</v>
      </c>
      <c r="D3661" t="inlineStr">
        <is>
          <t>KRONOBERGS LÄN</t>
        </is>
      </c>
      <c r="E3661" t="inlineStr">
        <is>
          <t>LJUNGBY</t>
        </is>
      </c>
      <c r="G3661" t="n">
        <v>0</v>
      </c>
      <c r="H3661" t="n">
        <v>0</v>
      </c>
      <c r="I3661" t="n">
        <v>0</v>
      </c>
      <c r="J3661" t="n">
        <v>0</v>
      </c>
      <c r="K3661" t="n">
        <v>0</v>
      </c>
      <c r="L3661" t="n">
        <v>0</v>
      </c>
      <c r="M3661" t="n">
        <v>0</v>
      </c>
      <c r="N3661" t="n">
        <v>0</v>
      </c>
      <c r="O3661" t="n">
        <v>0</v>
      </c>
      <c r="P3661" t="n">
        <v>0</v>
      </c>
      <c r="Q3661" t="n">
        <v>0</v>
      </c>
      <c r="R3661" s="2" t="inlineStr"/>
    </row>
    <row r="3662" ht="15" customHeight="1">
      <c r="A3662" t="inlineStr">
        <is>
          <t>A 28972-2023</t>
        </is>
      </c>
      <c r="B3662" s="1" t="n">
        <v>45104.60564814815</v>
      </c>
      <c r="C3662" s="1" t="n">
        <v>46103</v>
      </c>
      <c r="D3662" t="inlineStr">
        <is>
          <t>KRONOBERGS LÄN</t>
        </is>
      </c>
      <c r="E3662" t="inlineStr">
        <is>
          <t>VÄXJÖ</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7266-2025</t>
        </is>
      </c>
      <c r="B3663" s="1" t="n">
        <v>45702.59452546296</v>
      </c>
      <c r="C3663" s="1" t="n">
        <v>46103</v>
      </c>
      <c r="D3663" t="inlineStr">
        <is>
          <t>KRONOBERGS LÄN</t>
        </is>
      </c>
      <c r="E3663" t="inlineStr">
        <is>
          <t>VÄXJÖ</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13533-2026</t>
        </is>
      </c>
      <c r="B3664" s="1" t="n">
        <v>46094.655</v>
      </c>
      <c r="C3664" s="1" t="n">
        <v>46103</v>
      </c>
      <c r="D3664" t="inlineStr">
        <is>
          <t>KRONOBERGS LÄN</t>
        </is>
      </c>
      <c r="E3664" t="inlineStr">
        <is>
          <t>LJUNGBY</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19239-2025</t>
        </is>
      </c>
      <c r="B3665" s="1" t="n">
        <v>45769.47380787037</v>
      </c>
      <c r="C3665" s="1" t="n">
        <v>46103</v>
      </c>
      <c r="D3665" t="inlineStr">
        <is>
          <t>KRONOBERGS LÄN</t>
        </is>
      </c>
      <c r="E3665" t="inlineStr">
        <is>
          <t>VÄXJÖ</t>
        </is>
      </c>
      <c r="G3665" t="n">
        <v>5.7</v>
      </c>
      <c r="H3665" t="n">
        <v>0</v>
      </c>
      <c r="I3665" t="n">
        <v>0</v>
      </c>
      <c r="J3665" t="n">
        <v>0</v>
      </c>
      <c r="K3665" t="n">
        <v>0</v>
      </c>
      <c r="L3665" t="n">
        <v>0</v>
      </c>
      <c r="M3665" t="n">
        <v>0</v>
      </c>
      <c r="N3665" t="n">
        <v>0</v>
      </c>
      <c r="O3665" t="n">
        <v>0</v>
      </c>
      <c r="P3665" t="n">
        <v>0</v>
      </c>
      <c r="Q3665" t="n">
        <v>0</v>
      </c>
      <c r="R3665" s="2" t="inlineStr"/>
    </row>
    <row r="3666" ht="15" customHeight="1">
      <c r="A3666" t="inlineStr">
        <is>
          <t>A 19247-2025</t>
        </is>
      </c>
      <c r="B3666" s="1" t="n">
        <v>45769.48512731482</v>
      </c>
      <c r="C3666" s="1" t="n">
        <v>46103</v>
      </c>
      <c r="D3666" t="inlineStr">
        <is>
          <t>KRONOBERGS LÄN</t>
        </is>
      </c>
      <c r="E3666" t="inlineStr">
        <is>
          <t>VÄXJÖ</t>
        </is>
      </c>
      <c r="G3666" t="n">
        <v>5</v>
      </c>
      <c r="H3666" t="n">
        <v>0</v>
      </c>
      <c r="I3666" t="n">
        <v>0</v>
      </c>
      <c r="J3666" t="n">
        <v>0</v>
      </c>
      <c r="K3666" t="n">
        <v>0</v>
      </c>
      <c r="L3666" t="n">
        <v>0</v>
      </c>
      <c r="M3666" t="n">
        <v>0</v>
      </c>
      <c r="N3666" t="n">
        <v>0</v>
      </c>
      <c r="O3666" t="n">
        <v>0</v>
      </c>
      <c r="P3666" t="n">
        <v>0</v>
      </c>
      <c r="Q3666" t="n">
        <v>0</v>
      </c>
      <c r="R3666" s="2" t="inlineStr"/>
    </row>
    <row r="3667" ht="15" customHeight="1">
      <c r="A3667" t="inlineStr">
        <is>
          <t>A 19256-2025</t>
        </is>
      </c>
      <c r="B3667" s="1" t="n">
        <v>45769.49739583334</v>
      </c>
      <c r="C3667" s="1" t="n">
        <v>46103</v>
      </c>
      <c r="D3667" t="inlineStr">
        <is>
          <t>KRONOBERGS LÄN</t>
        </is>
      </c>
      <c r="E3667" t="inlineStr">
        <is>
          <t>VÄXJÖ</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57582-2024</t>
        </is>
      </c>
      <c r="B3668" s="1" t="n">
        <v>45630.47969907407</v>
      </c>
      <c r="C3668" s="1" t="n">
        <v>46103</v>
      </c>
      <c r="D3668" t="inlineStr">
        <is>
          <t>KRONOBERGS LÄN</t>
        </is>
      </c>
      <c r="E3668" t="inlineStr">
        <is>
          <t>ALVESTA</t>
        </is>
      </c>
      <c r="G3668" t="n">
        <v>4.2</v>
      </c>
      <c r="H3668" t="n">
        <v>0</v>
      </c>
      <c r="I3668" t="n">
        <v>0</v>
      </c>
      <c r="J3668" t="n">
        <v>0</v>
      </c>
      <c r="K3668" t="n">
        <v>0</v>
      </c>
      <c r="L3668" t="n">
        <v>0</v>
      </c>
      <c r="M3668" t="n">
        <v>0</v>
      </c>
      <c r="N3668" t="n">
        <v>0</v>
      </c>
      <c r="O3668" t="n">
        <v>0</v>
      </c>
      <c r="P3668" t="n">
        <v>0</v>
      </c>
      <c r="Q3668" t="n">
        <v>0</v>
      </c>
      <c r="R3668" s="2" t="inlineStr"/>
    </row>
    <row r="3669" ht="15" customHeight="1">
      <c r="A3669" t="inlineStr">
        <is>
          <t>A 13347-2026</t>
        </is>
      </c>
      <c r="B3669" s="1" t="n">
        <v>46094.38188657408</v>
      </c>
      <c r="C3669" s="1" t="n">
        <v>46103</v>
      </c>
      <c r="D3669" t="inlineStr">
        <is>
          <t>KRONOBERGS LÄN</t>
        </is>
      </c>
      <c r="E3669" t="inlineStr">
        <is>
          <t>LESSEBO</t>
        </is>
      </c>
      <c r="F3669" t="inlineStr">
        <is>
          <t>Kommuner</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16259-2025</t>
        </is>
      </c>
      <c r="B3670" s="1" t="n">
        <v>45749</v>
      </c>
      <c r="C3670" s="1" t="n">
        <v>46103</v>
      </c>
      <c r="D3670" t="inlineStr">
        <is>
          <t>KRONOBERGS LÄN</t>
        </is>
      </c>
      <c r="E3670" t="inlineStr">
        <is>
          <t>UPPVIDINGE</t>
        </is>
      </c>
      <c r="F3670" t="inlineStr">
        <is>
          <t>Kyrkan</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3527-2022</t>
        </is>
      </c>
      <c r="B3671" s="1" t="n">
        <v>44585</v>
      </c>
      <c r="C3671" s="1" t="n">
        <v>46103</v>
      </c>
      <c r="D3671" t="inlineStr">
        <is>
          <t>KRONOBERGS LÄN</t>
        </is>
      </c>
      <c r="E3671" t="inlineStr">
        <is>
          <t>LJUNGBY</t>
        </is>
      </c>
      <c r="G3671" t="n">
        <v>0.2</v>
      </c>
      <c r="H3671" t="n">
        <v>0</v>
      </c>
      <c r="I3671" t="n">
        <v>0</v>
      </c>
      <c r="J3671" t="n">
        <v>0</v>
      </c>
      <c r="K3671" t="n">
        <v>0</v>
      </c>
      <c r="L3671" t="n">
        <v>0</v>
      </c>
      <c r="M3671" t="n">
        <v>0</v>
      </c>
      <c r="N3671" t="n">
        <v>0</v>
      </c>
      <c r="O3671" t="n">
        <v>0</v>
      </c>
      <c r="P3671" t="n">
        <v>0</v>
      </c>
      <c r="Q3671" t="n">
        <v>0</v>
      </c>
      <c r="R3671" s="2" t="inlineStr"/>
    </row>
    <row r="3672" ht="15" customHeight="1">
      <c r="A3672" t="inlineStr">
        <is>
          <t>A 13371-2024</t>
        </is>
      </c>
      <c r="B3672" s="1" t="n">
        <v>45387.36863425926</v>
      </c>
      <c r="C3672" s="1" t="n">
        <v>46103</v>
      </c>
      <c r="D3672" t="inlineStr">
        <is>
          <t>KRONOBERGS LÄN</t>
        </is>
      </c>
      <c r="E3672" t="inlineStr">
        <is>
          <t>VÄXJÖ</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19055-2025</t>
        </is>
      </c>
      <c r="B3673" s="1" t="n">
        <v>45764</v>
      </c>
      <c r="C3673" s="1" t="n">
        <v>46103</v>
      </c>
      <c r="D3673" t="inlineStr">
        <is>
          <t>KRONOBERGS LÄN</t>
        </is>
      </c>
      <c r="E3673" t="inlineStr">
        <is>
          <t>UPPVIDINGE</t>
        </is>
      </c>
      <c r="F3673" t="inlineStr">
        <is>
          <t>Sveaskog</t>
        </is>
      </c>
      <c r="G3673" t="n">
        <v>16.2</v>
      </c>
      <c r="H3673" t="n">
        <v>0</v>
      </c>
      <c r="I3673" t="n">
        <v>0</v>
      </c>
      <c r="J3673" t="n">
        <v>0</v>
      </c>
      <c r="K3673" t="n">
        <v>0</v>
      </c>
      <c r="L3673" t="n">
        <v>0</v>
      </c>
      <c r="M3673" t="n">
        <v>0</v>
      </c>
      <c r="N3673" t="n">
        <v>0</v>
      </c>
      <c r="O3673" t="n">
        <v>0</v>
      </c>
      <c r="P3673" t="n">
        <v>0</v>
      </c>
      <c r="Q3673" t="n">
        <v>0</v>
      </c>
      <c r="R3673" s="2" t="inlineStr"/>
    </row>
    <row r="3674" ht="15" customHeight="1">
      <c r="A3674" t="inlineStr">
        <is>
          <t>A 26470-2025</t>
        </is>
      </c>
      <c r="B3674" s="1" t="n">
        <v>45807.45759259259</v>
      </c>
      <c r="C3674" s="1" t="n">
        <v>46103</v>
      </c>
      <c r="D3674" t="inlineStr">
        <is>
          <t>KRONOBERGS LÄN</t>
        </is>
      </c>
      <c r="E3674" t="inlineStr">
        <is>
          <t>UPPVIDINGE</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13174-2026</t>
        </is>
      </c>
      <c r="B3675" s="1" t="n">
        <v>46093.58229166667</v>
      </c>
      <c r="C3675" s="1" t="n">
        <v>46103</v>
      </c>
      <c r="D3675" t="inlineStr">
        <is>
          <t>KRONOBERGS LÄN</t>
        </is>
      </c>
      <c r="E3675" t="inlineStr">
        <is>
          <t>UPPVIDINGE</t>
        </is>
      </c>
      <c r="F3675" t="inlineStr">
        <is>
          <t>Sveaskog</t>
        </is>
      </c>
      <c r="G3675" t="n">
        <v>5</v>
      </c>
      <c r="H3675" t="n">
        <v>0</v>
      </c>
      <c r="I3675" t="n">
        <v>0</v>
      </c>
      <c r="J3675" t="n">
        <v>0</v>
      </c>
      <c r="K3675" t="n">
        <v>0</v>
      </c>
      <c r="L3675" t="n">
        <v>0</v>
      </c>
      <c r="M3675" t="n">
        <v>0</v>
      </c>
      <c r="N3675" t="n">
        <v>0</v>
      </c>
      <c r="O3675" t="n">
        <v>0</v>
      </c>
      <c r="P3675" t="n">
        <v>0</v>
      </c>
      <c r="Q3675" t="n">
        <v>0</v>
      </c>
      <c r="R3675" s="2" t="inlineStr"/>
    </row>
    <row r="3676" ht="15" customHeight="1">
      <c r="A3676" t="inlineStr">
        <is>
          <t>A 25636-2023</t>
        </is>
      </c>
      <c r="B3676" s="1" t="n">
        <v>45089.71939814815</v>
      </c>
      <c r="C3676" s="1" t="n">
        <v>46103</v>
      </c>
      <c r="D3676" t="inlineStr">
        <is>
          <t>KRONOBERGS LÄN</t>
        </is>
      </c>
      <c r="E3676" t="inlineStr">
        <is>
          <t>ÄLMHULT</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6235-2026</t>
        </is>
      </c>
      <c r="B3677" s="1" t="n">
        <v>46055.45271990741</v>
      </c>
      <c r="C3677" s="1" t="n">
        <v>46103</v>
      </c>
      <c r="D3677" t="inlineStr">
        <is>
          <t>KRONOBERGS LÄN</t>
        </is>
      </c>
      <c r="E3677" t="inlineStr">
        <is>
          <t>UPPVIDINGE</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13534-2026</t>
        </is>
      </c>
      <c r="B3678" s="1" t="n">
        <v>46094.65765046296</v>
      </c>
      <c r="C3678" s="1" t="n">
        <v>46103</v>
      </c>
      <c r="D3678" t="inlineStr">
        <is>
          <t>KRONOBERGS LÄN</t>
        </is>
      </c>
      <c r="E3678" t="inlineStr">
        <is>
          <t>LJUNGBY</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52171-2024</t>
        </is>
      </c>
      <c r="B3679" s="1" t="n">
        <v>45608.54846064815</v>
      </c>
      <c r="C3679" s="1" t="n">
        <v>46103</v>
      </c>
      <c r="D3679" t="inlineStr">
        <is>
          <t>KRONOBERGS LÄN</t>
        </is>
      </c>
      <c r="E3679" t="inlineStr">
        <is>
          <t>ÄLMHULT</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18699-2025</t>
        </is>
      </c>
      <c r="B3680" s="1" t="n">
        <v>45763.61952546296</v>
      </c>
      <c r="C3680" s="1" t="n">
        <v>46103</v>
      </c>
      <c r="D3680" t="inlineStr">
        <is>
          <t>KRONOBERGS LÄN</t>
        </is>
      </c>
      <c r="E3680" t="inlineStr">
        <is>
          <t>VÄXJÖ</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40057-2024</t>
        </is>
      </c>
      <c r="B3681" s="1" t="n">
        <v>45553.89721064815</v>
      </c>
      <c r="C3681" s="1" t="n">
        <v>46103</v>
      </c>
      <c r="D3681" t="inlineStr">
        <is>
          <t>KRONOBERGS LÄN</t>
        </is>
      </c>
      <c r="E3681" t="inlineStr">
        <is>
          <t>TINGSRYD</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12405-2023</t>
        </is>
      </c>
      <c r="B3682" s="1" t="n">
        <v>44999.50461805556</v>
      </c>
      <c r="C3682" s="1" t="n">
        <v>46103</v>
      </c>
      <c r="D3682" t="inlineStr">
        <is>
          <t>KRONOBERGS LÄN</t>
        </is>
      </c>
      <c r="E3682" t="inlineStr">
        <is>
          <t>LJUNGBY</t>
        </is>
      </c>
      <c r="G3682" t="n">
        <v>6</v>
      </c>
      <c r="H3682" t="n">
        <v>0</v>
      </c>
      <c r="I3682" t="n">
        <v>0</v>
      </c>
      <c r="J3682" t="n">
        <v>0</v>
      </c>
      <c r="K3682" t="n">
        <v>0</v>
      </c>
      <c r="L3682" t="n">
        <v>0</v>
      </c>
      <c r="M3682" t="n">
        <v>0</v>
      </c>
      <c r="N3682" t="n">
        <v>0</v>
      </c>
      <c r="O3682" t="n">
        <v>0</v>
      </c>
      <c r="P3682" t="n">
        <v>0</v>
      </c>
      <c r="Q3682" t="n">
        <v>0</v>
      </c>
      <c r="R3682" s="2" t="inlineStr"/>
    </row>
    <row r="3683" ht="15" customHeight="1">
      <c r="A3683" t="inlineStr">
        <is>
          <t>A 9801-2025</t>
        </is>
      </c>
      <c r="B3683" s="1" t="n">
        <v>45715</v>
      </c>
      <c r="C3683" s="1" t="n">
        <v>46103</v>
      </c>
      <c r="D3683" t="inlineStr">
        <is>
          <t>KRONOBERGS LÄN</t>
        </is>
      </c>
      <c r="E3683" t="inlineStr">
        <is>
          <t>ALVESTA</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19057-2025</t>
        </is>
      </c>
      <c r="B3684" s="1" t="n">
        <v>45764</v>
      </c>
      <c r="C3684" s="1" t="n">
        <v>46103</v>
      </c>
      <c r="D3684" t="inlineStr">
        <is>
          <t>KRONOBERGS LÄN</t>
        </is>
      </c>
      <c r="E3684" t="inlineStr">
        <is>
          <t>UPPVIDINGE</t>
        </is>
      </c>
      <c r="F3684" t="inlineStr">
        <is>
          <t>Sveaskog</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26471-2025</t>
        </is>
      </c>
      <c r="B3685" s="1" t="n">
        <v>45807.45905092593</v>
      </c>
      <c r="C3685" s="1" t="n">
        <v>46103</v>
      </c>
      <c r="D3685" t="inlineStr">
        <is>
          <t>KRONOBERGS LÄN</t>
        </is>
      </c>
      <c r="E3685" t="inlineStr">
        <is>
          <t>UPPVIDINGE</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6330-2024</t>
        </is>
      </c>
      <c r="B3686" s="1" t="n">
        <v>45338</v>
      </c>
      <c r="C3686" s="1" t="n">
        <v>46103</v>
      </c>
      <c r="D3686" t="inlineStr">
        <is>
          <t>KRONOBERGS LÄN</t>
        </is>
      </c>
      <c r="E3686" t="inlineStr">
        <is>
          <t>UPPVIDINGE</t>
        </is>
      </c>
      <c r="F3686" t="inlineStr">
        <is>
          <t>Sveaskog</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22153-2024</t>
        </is>
      </c>
      <c r="B3687" s="1" t="n">
        <v>45445.42417824074</v>
      </c>
      <c r="C3687" s="1" t="n">
        <v>46103</v>
      </c>
      <c r="D3687" t="inlineStr">
        <is>
          <t>KRONOBERGS LÄN</t>
        </is>
      </c>
      <c r="E3687" t="inlineStr">
        <is>
          <t>TINGSRYD</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5929-2026</t>
        </is>
      </c>
      <c r="B3688" s="1" t="n">
        <v>46052.46678240741</v>
      </c>
      <c r="C3688" s="1" t="n">
        <v>46103</v>
      </c>
      <c r="D3688" t="inlineStr">
        <is>
          <t>KRONOBERGS LÄN</t>
        </is>
      </c>
      <c r="E3688" t="inlineStr">
        <is>
          <t>ÄLMHULT</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26472-2025</t>
        </is>
      </c>
      <c r="B3689" s="1" t="n">
        <v>45807.46021990741</v>
      </c>
      <c r="C3689" s="1" t="n">
        <v>46103</v>
      </c>
      <c r="D3689" t="inlineStr">
        <is>
          <t>KRONOBERGS LÄN</t>
        </is>
      </c>
      <c r="E3689" t="inlineStr">
        <is>
          <t>UPPVIDINGE</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20824-2023</t>
        </is>
      </c>
      <c r="B3690" s="1" t="n">
        <v>45058</v>
      </c>
      <c r="C3690" s="1" t="n">
        <v>46103</v>
      </c>
      <c r="D3690" t="inlineStr">
        <is>
          <t>KRONOBERGS LÄN</t>
        </is>
      </c>
      <c r="E3690" t="inlineStr">
        <is>
          <t>LESSEBO</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12947-2025</t>
        </is>
      </c>
      <c r="B3691" s="1" t="n">
        <v>45734.3918287037</v>
      </c>
      <c r="C3691" s="1" t="n">
        <v>46103</v>
      </c>
      <c r="D3691" t="inlineStr">
        <is>
          <t>KRONOBERGS LÄN</t>
        </is>
      </c>
      <c r="E3691" t="inlineStr">
        <is>
          <t>ÄLMHULT</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58781-2024</t>
        </is>
      </c>
      <c r="B3692" s="1" t="n">
        <v>45635.84936342593</v>
      </c>
      <c r="C3692" s="1" t="n">
        <v>46103</v>
      </c>
      <c r="D3692" t="inlineStr">
        <is>
          <t>KRONOBERGS LÄN</t>
        </is>
      </c>
      <c r="E3692" t="inlineStr">
        <is>
          <t>LJUNGBY</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5850-2026</t>
        </is>
      </c>
      <c r="B3693" s="1" t="n">
        <v>46052.35818287037</v>
      </c>
      <c r="C3693" s="1" t="n">
        <v>46103</v>
      </c>
      <c r="D3693" t="inlineStr">
        <is>
          <t>KRONOBERGS LÄN</t>
        </is>
      </c>
      <c r="E3693" t="inlineStr">
        <is>
          <t>UPPVIDINGE</t>
        </is>
      </c>
      <c r="F3693" t="inlineStr">
        <is>
          <t>Sveaskog</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93-2023</t>
        </is>
      </c>
      <c r="B3694" s="1" t="n">
        <v>44928.47056712963</v>
      </c>
      <c r="C3694" s="1" t="n">
        <v>46103</v>
      </c>
      <c r="D3694" t="inlineStr">
        <is>
          <t>KRONOBERGS LÄN</t>
        </is>
      </c>
      <c r="E3694" t="inlineStr">
        <is>
          <t>MARKARYD</t>
        </is>
      </c>
      <c r="G3694" t="n">
        <v>7.4</v>
      </c>
      <c r="H3694" t="n">
        <v>0</v>
      </c>
      <c r="I3694" t="n">
        <v>0</v>
      </c>
      <c r="J3694" t="n">
        <v>0</v>
      </c>
      <c r="K3694" t="n">
        <v>0</v>
      </c>
      <c r="L3694" t="n">
        <v>0</v>
      </c>
      <c r="M3694" t="n">
        <v>0</v>
      </c>
      <c r="N3694" t="n">
        <v>0</v>
      </c>
      <c r="O3694" t="n">
        <v>0</v>
      </c>
      <c r="P3694" t="n">
        <v>0</v>
      </c>
      <c r="Q3694" t="n">
        <v>0</v>
      </c>
      <c r="R3694" s="2" t="inlineStr"/>
    </row>
    <row r="3695" ht="15" customHeight="1">
      <c r="A3695" t="inlineStr">
        <is>
          <t>A 5847-2026</t>
        </is>
      </c>
      <c r="B3695" s="1" t="n">
        <v>46052.35028935185</v>
      </c>
      <c r="C3695" s="1" t="n">
        <v>46103</v>
      </c>
      <c r="D3695" t="inlineStr">
        <is>
          <t>KRONOBERGS LÄN</t>
        </is>
      </c>
      <c r="E3695" t="inlineStr">
        <is>
          <t>UPPVIDINGE</t>
        </is>
      </c>
      <c r="F3695" t="inlineStr">
        <is>
          <t>Sveaskog</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5852-2026</t>
        </is>
      </c>
      <c r="B3696" s="1" t="n">
        <v>46052.36130787037</v>
      </c>
      <c r="C3696" s="1" t="n">
        <v>46103</v>
      </c>
      <c r="D3696" t="inlineStr">
        <is>
          <t>KRONOBERGS LÄN</t>
        </is>
      </c>
      <c r="E3696" t="inlineStr">
        <is>
          <t>UPPVIDINGE</t>
        </is>
      </c>
      <c r="F3696" t="inlineStr">
        <is>
          <t>Sveaskog</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26420-2025</t>
        </is>
      </c>
      <c r="B3697" s="1" t="n">
        <v>45807.3696412037</v>
      </c>
      <c r="C3697" s="1" t="n">
        <v>46103</v>
      </c>
      <c r="D3697" t="inlineStr">
        <is>
          <t>KRONOBERGS LÄN</t>
        </is>
      </c>
      <c r="E3697" t="inlineStr">
        <is>
          <t>ALVESTA</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36817-2024</t>
        </is>
      </c>
      <c r="B3698" s="1" t="n">
        <v>45538</v>
      </c>
      <c r="C3698" s="1" t="n">
        <v>46103</v>
      </c>
      <c r="D3698" t="inlineStr">
        <is>
          <t>KRONOBERGS LÄN</t>
        </is>
      </c>
      <c r="E3698" t="inlineStr">
        <is>
          <t>ALVESTA</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49562-2023</t>
        </is>
      </c>
      <c r="B3699" s="1" t="n">
        <v>45211.64829861111</v>
      </c>
      <c r="C3699" s="1" t="n">
        <v>46103</v>
      </c>
      <c r="D3699" t="inlineStr">
        <is>
          <t>KRONOBERGS LÄN</t>
        </is>
      </c>
      <c r="E3699" t="inlineStr">
        <is>
          <t>ÄLMHULT</t>
        </is>
      </c>
      <c r="G3699" t="n">
        <v>4.1</v>
      </c>
      <c r="H3699" t="n">
        <v>0</v>
      </c>
      <c r="I3699" t="n">
        <v>0</v>
      </c>
      <c r="J3699" t="n">
        <v>0</v>
      </c>
      <c r="K3699" t="n">
        <v>0</v>
      </c>
      <c r="L3699" t="n">
        <v>0</v>
      </c>
      <c r="M3699" t="n">
        <v>0</v>
      </c>
      <c r="N3699" t="n">
        <v>0</v>
      </c>
      <c r="O3699" t="n">
        <v>0</v>
      </c>
      <c r="P3699" t="n">
        <v>0</v>
      </c>
      <c r="Q3699" t="n">
        <v>0</v>
      </c>
      <c r="R3699" s="2" t="inlineStr"/>
    </row>
    <row r="3700" ht="15" customHeight="1">
      <c r="A3700" t="inlineStr">
        <is>
          <t>A 6835-2024</t>
        </is>
      </c>
      <c r="B3700" s="1" t="n">
        <v>45342.61508101852</v>
      </c>
      <c r="C3700" s="1" t="n">
        <v>46103</v>
      </c>
      <c r="D3700" t="inlineStr">
        <is>
          <t>KRONOBERGS LÄN</t>
        </is>
      </c>
      <c r="E3700" t="inlineStr">
        <is>
          <t>ALVESTA</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6837-2024</t>
        </is>
      </c>
      <c r="B3701" s="1" t="n">
        <v>45342.61726851852</v>
      </c>
      <c r="C3701" s="1" t="n">
        <v>46103</v>
      </c>
      <c r="D3701" t="inlineStr">
        <is>
          <t>KRONOBERGS LÄN</t>
        </is>
      </c>
      <c r="E3701" t="inlineStr">
        <is>
          <t>TINGSRYD</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6840-2024</t>
        </is>
      </c>
      <c r="B3702" s="1" t="n">
        <v>45342.62074074074</v>
      </c>
      <c r="C3702" s="1" t="n">
        <v>46103</v>
      </c>
      <c r="D3702" t="inlineStr">
        <is>
          <t>KRONOBERGS LÄN</t>
        </is>
      </c>
      <c r="E3702" t="inlineStr">
        <is>
          <t>ALVESTA</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39307-2023</t>
        </is>
      </c>
      <c r="B3703" s="1" t="n">
        <v>45166</v>
      </c>
      <c r="C3703" s="1" t="n">
        <v>46103</v>
      </c>
      <c r="D3703" t="inlineStr">
        <is>
          <t>KRONOBERGS LÄN</t>
        </is>
      </c>
      <c r="E3703" t="inlineStr">
        <is>
          <t>ALVESTA</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39100-2024</t>
        </is>
      </c>
      <c r="B3704" s="1" t="n">
        <v>45548.5656712963</v>
      </c>
      <c r="C3704" s="1" t="n">
        <v>46103</v>
      </c>
      <c r="D3704" t="inlineStr">
        <is>
          <t>KRONOBERGS LÄN</t>
        </is>
      </c>
      <c r="E3704" t="inlineStr">
        <is>
          <t>ALVESTA</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62081-2023</t>
        </is>
      </c>
      <c r="B3705" s="1" t="n">
        <v>45266</v>
      </c>
      <c r="C3705" s="1" t="n">
        <v>46103</v>
      </c>
      <c r="D3705" t="inlineStr">
        <is>
          <t>KRONOBERGS LÄN</t>
        </is>
      </c>
      <c r="E3705" t="inlineStr">
        <is>
          <t>MARKARYD</t>
        </is>
      </c>
      <c r="G3705" t="n">
        <v>9.699999999999999</v>
      </c>
      <c r="H3705" t="n">
        <v>0</v>
      </c>
      <c r="I3705" t="n">
        <v>0</v>
      </c>
      <c r="J3705" t="n">
        <v>0</v>
      </c>
      <c r="K3705" t="n">
        <v>0</v>
      </c>
      <c r="L3705" t="n">
        <v>0</v>
      </c>
      <c r="M3705" t="n">
        <v>0</v>
      </c>
      <c r="N3705" t="n">
        <v>0</v>
      </c>
      <c r="O3705" t="n">
        <v>0</v>
      </c>
      <c r="P3705" t="n">
        <v>0</v>
      </c>
      <c r="Q3705" t="n">
        <v>0</v>
      </c>
      <c r="R3705" s="2" t="inlineStr"/>
    </row>
    <row r="3706" ht="15" customHeight="1">
      <c r="A3706" t="inlineStr">
        <is>
          <t>A 26844-2025</t>
        </is>
      </c>
      <c r="B3706" s="1" t="n">
        <v>45810.66274305555</v>
      </c>
      <c r="C3706" s="1" t="n">
        <v>46103</v>
      </c>
      <c r="D3706" t="inlineStr">
        <is>
          <t>KRONOBERGS LÄN</t>
        </is>
      </c>
      <c r="E3706" t="inlineStr">
        <is>
          <t>VÄXJÖ</t>
        </is>
      </c>
      <c r="F3706" t="inlineStr">
        <is>
          <t>Övriga Aktiebolag</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62169-2023</t>
        </is>
      </c>
      <c r="B3707" s="1" t="n">
        <v>45266</v>
      </c>
      <c r="C3707" s="1" t="n">
        <v>46103</v>
      </c>
      <c r="D3707" t="inlineStr">
        <is>
          <t>KRONOBERGS LÄN</t>
        </is>
      </c>
      <c r="E3707" t="inlineStr">
        <is>
          <t>TINGSRYD</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10849-2023</t>
        </is>
      </c>
      <c r="B3708" s="1" t="n">
        <v>44991.35916666667</v>
      </c>
      <c r="C3708" s="1" t="n">
        <v>46103</v>
      </c>
      <c r="D3708" t="inlineStr">
        <is>
          <t>KRONOBERGS LÄN</t>
        </is>
      </c>
      <c r="E3708" t="inlineStr">
        <is>
          <t>LJUNGBY</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10855-2023</t>
        </is>
      </c>
      <c r="B3709" s="1" t="n">
        <v>44991.37030092593</v>
      </c>
      <c r="C3709" s="1" t="n">
        <v>46103</v>
      </c>
      <c r="D3709" t="inlineStr">
        <is>
          <t>KRONOBERGS LÄN</t>
        </is>
      </c>
      <c r="E3709" t="inlineStr">
        <is>
          <t>TINGSRYD</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12092-2025</t>
        </is>
      </c>
      <c r="B3710" s="1" t="n">
        <v>45728</v>
      </c>
      <c r="C3710" s="1" t="n">
        <v>46103</v>
      </c>
      <c r="D3710" t="inlineStr">
        <is>
          <t>KRONOBERGS LÄN</t>
        </is>
      </c>
      <c r="E3710" t="inlineStr">
        <is>
          <t>ÄLMHULT</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12093-2025</t>
        </is>
      </c>
      <c r="B3711" s="1" t="n">
        <v>45728</v>
      </c>
      <c r="C3711" s="1" t="n">
        <v>46103</v>
      </c>
      <c r="D3711" t="inlineStr">
        <is>
          <t>KRONOBERGS LÄN</t>
        </is>
      </c>
      <c r="E3711" t="inlineStr">
        <is>
          <t>ÄLMHULT</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26965-2025</t>
        </is>
      </c>
      <c r="B3712" s="1" t="n">
        <v>45811.47126157407</v>
      </c>
      <c r="C3712" s="1" t="n">
        <v>46103</v>
      </c>
      <c r="D3712" t="inlineStr">
        <is>
          <t>KRONOBERGS LÄN</t>
        </is>
      </c>
      <c r="E3712" t="inlineStr">
        <is>
          <t>ALVESTA</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42188-2024</t>
        </is>
      </c>
      <c r="B3713" s="1" t="n">
        <v>45562.48428240741</v>
      </c>
      <c r="C3713" s="1" t="n">
        <v>46103</v>
      </c>
      <c r="D3713" t="inlineStr">
        <is>
          <t>KRONOBERGS LÄN</t>
        </is>
      </c>
      <c r="E3713" t="inlineStr">
        <is>
          <t>MARKARYD</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6147-2026</t>
        </is>
      </c>
      <c r="B3714" s="1" t="n">
        <v>46054</v>
      </c>
      <c r="C3714" s="1" t="n">
        <v>46103</v>
      </c>
      <c r="D3714" t="inlineStr">
        <is>
          <t>KRONOBERGS LÄN</t>
        </is>
      </c>
      <c r="E3714" t="inlineStr">
        <is>
          <t>LJUNGBY</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10925-2023</t>
        </is>
      </c>
      <c r="B3715" s="1" t="n">
        <v>44991</v>
      </c>
      <c r="C3715" s="1" t="n">
        <v>46103</v>
      </c>
      <c r="D3715" t="inlineStr">
        <is>
          <t>KRONOBERGS LÄN</t>
        </is>
      </c>
      <c r="E3715" t="inlineStr">
        <is>
          <t>LJUNGBY</t>
        </is>
      </c>
      <c r="G3715" t="n">
        <v>7.3</v>
      </c>
      <c r="H3715" t="n">
        <v>0</v>
      </c>
      <c r="I3715" t="n">
        <v>0</v>
      </c>
      <c r="J3715" t="n">
        <v>0</v>
      </c>
      <c r="K3715" t="n">
        <v>0</v>
      </c>
      <c r="L3715" t="n">
        <v>0</v>
      </c>
      <c r="M3715" t="n">
        <v>0</v>
      </c>
      <c r="N3715" t="n">
        <v>0</v>
      </c>
      <c r="O3715" t="n">
        <v>0</v>
      </c>
      <c r="P3715" t="n">
        <v>0</v>
      </c>
      <c r="Q3715" t="n">
        <v>0</v>
      </c>
      <c r="R3715" s="2" t="inlineStr"/>
    </row>
    <row r="3716" ht="15" customHeight="1">
      <c r="A3716" t="inlineStr">
        <is>
          <t>A 27012-2025</t>
        </is>
      </c>
      <c r="B3716" s="1" t="n">
        <v>45811.56310185185</v>
      </c>
      <c r="C3716" s="1" t="n">
        <v>46103</v>
      </c>
      <c r="D3716" t="inlineStr">
        <is>
          <t>KRONOBERGS LÄN</t>
        </is>
      </c>
      <c r="E3716" t="inlineStr">
        <is>
          <t>LJUNGBY</t>
        </is>
      </c>
      <c r="G3716" t="n">
        <v>3.5</v>
      </c>
      <c r="H3716" t="n">
        <v>0</v>
      </c>
      <c r="I3716" t="n">
        <v>0</v>
      </c>
      <c r="J3716" t="n">
        <v>0</v>
      </c>
      <c r="K3716" t="n">
        <v>0</v>
      </c>
      <c r="L3716" t="n">
        <v>0</v>
      </c>
      <c r="M3716" t="n">
        <v>0</v>
      </c>
      <c r="N3716" t="n">
        <v>0</v>
      </c>
      <c r="O3716" t="n">
        <v>0</v>
      </c>
      <c r="P3716" t="n">
        <v>0</v>
      </c>
      <c r="Q3716" t="n">
        <v>0</v>
      </c>
      <c r="R3716" s="2" t="inlineStr"/>
    </row>
    <row r="3717" ht="15" customHeight="1">
      <c r="A3717" t="inlineStr">
        <is>
          <t>A 17204-2025</t>
        </is>
      </c>
      <c r="B3717" s="1" t="n">
        <v>45756.42564814815</v>
      </c>
      <c r="C3717" s="1" t="n">
        <v>46103</v>
      </c>
      <c r="D3717" t="inlineStr">
        <is>
          <t>KRONOBERGS LÄN</t>
        </is>
      </c>
      <c r="E3717" t="inlineStr">
        <is>
          <t>LESSEBO</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31126-2023</t>
        </is>
      </c>
      <c r="B3718" s="1" t="n">
        <v>45113</v>
      </c>
      <c r="C3718" s="1" t="n">
        <v>46103</v>
      </c>
      <c r="D3718" t="inlineStr">
        <is>
          <t>KRONOBERGS LÄN</t>
        </is>
      </c>
      <c r="E3718" t="inlineStr">
        <is>
          <t>VÄXJÖ</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13609-2026</t>
        </is>
      </c>
      <c r="B3719" s="1" t="n">
        <v>46097.33388888889</v>
      </c>
      <c r="C3719" s="1" t="n">
        <v>46103</v>
      </c>
      <c r="D3719" t="inlineStr">
        <is>
          <t>KRONOBERGS LÄN</t>
        </is>
      </c>
      <c r="E3719" t="inlineStr">
        <is>
          <t>TINGSRYD</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16357-2024</t>
        </is>
      </c>
      <c r="B3720" s="1" t="n">
        <v>45407.5844212963</v>
      </c>
      <c r="C3720" s="1" t="n">
        <v>46103</v>
      </c>
      <c r="D3720" t="inlineStr">
        <is>
          <t>KRONOBERGS LÄN</t>
        </is>
      </c>
      <c r="E3720" t="inlineStr">
        <is>
          <t>ALVESTA</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16360-2024</t>
        </is>
      </c>
      <c r="B3721" s="1" t="n">
        <v>45407.58672453704</v>
      </c>
      <c r="C3721" s="1" t="n">
        <v>46103</v>
      </c>
      <c r="D3721" t="inlineStr">
        <is>
          <t>KRONOBERGS LÄN</t>
        </is>
      </c>
      <c r="E3721" t="inlineStr">
        <is>
          <t>ALVESTA</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5828-2026</t>
        </is>
      </c>
      <c r="B3722" s="1" t="n">
        <v>46052.32192129629</v>
      </c>
      <c r="C3722" s="1" t="n">
        <v>46103</v>
      </c>
      <c r="D3722" t="inlineStr">
        <is>
          <t>KRONOBERGS LÄN</t>
        </is>
      </c>
      <c r="E3722" t="inlineStr">
        <is>
          <t>UPPVIDINGE</t>
        </is>
      </c>
      <c r="F3722" t="inlineStr">
        <is>
          <t>Sveaskog</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19902-2025</t>
        </is>
      </c>
      <c r="B3723" s="1" t="n">
        <v>45771.59141203704</v>
      </c>
      <c r="C3723" s="1" t="n">
        <v>46103</v>
      </c>
      <c r="D3723" t="inlineStr">
        <is>
          <t>KRONOBERGS LÄN</t>
        </is>
      </c>
      <c r="E3723" t="inlineStr">
        <is>
          <t>MARKARYD</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19913-2025</t>
        </is>
      </c>
      <c r="B3724" s="1" t="n">
        <v>45771.61038194445</v>
      </c>
      <c r="C3724" s="1" t="n">
        <v>46103</v>
      </c>
      <c r="D3724" t="inlineStr">
        <is>
          <t>KRONOBERGS LÄN</t>
        </is>
      </c>
      <c r="E3724" t="inlineStr">
        <is>
          <t>VÄXJÖ</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13748-2026</t>
        </is>
      </c>
      <c r="B3725" s="1" t="n">
        <v>46097.63694444444</v>
      </c>
      <c r="C3725" s="1" t="n">
        <v>46103</v>
      </c>
      <c r="D3725" t="inlineStr">
        <is>
          <t>KRONOBERGS LÄN</t>
        </is>
      </c>
      <c r="E3725" t="inlineStr">
        <is>
          <t>LJUNGBY</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13781-2026</t>
        </is>
      </c>
      <c r="B3726" s="1" t="n">
        <v>46097.68540509259</v>
      </c>
      <c r="C3726" s="1" t="n">
        <v>46103</v>
      </c>
      <c r="D3726" t="inlineStr">
        <is>
          <t>KRONOBERGS LÄN</t>
        </is>
      </c>
      <c r="E3726" t="inlineStr">
        <is>
          <t>LJUNGBY</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55117-2023</t>
        </is>
      </c>
      <c r="B3727" s="1" t="n">
        <v>45230</v>
      </c>
      <c r="C3727" s="1" t="n">
        <v>46103</v>
      </c>
      <c r="D3727" t="inlineStr">
        <is>
          <t>KRONOBERGS LÄN</t>
        </is>
      </c>
      <c r="E3727" t="inlineStr">
        <is>
          <t>ALVESTA</t>
        </is>
      </c>
      <c r="F3727" t="inlineStr">
        <is>
          <t>Kyrkan</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16313-2021</t>
        </is>
      </c>
      <c r="B3728" s="1" t="n">
        <v>44292.71269675926</v>
      </c>
      <c r="C3728" s="1" t="n">
        <v>46103</v>
      </c>
      <c r="D3728" t="inlineStr">
        <is>
          <t>KRONOBERGS LÄN</t>
        </is>
      </c>
      <c r="E3728" t="inlineStr">
        <is>
          <t>ALVESTA</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10441-2024</t>
        </is>
      </c>
      <c r="B3729" s="1" t="n">
        <v>45366.32900462963</v>
      </c>
      <c r="C3729" s="1" t="n">
        <v>46103</v>
      </c>
      <c r="D3729" t="inlineStr">
        <is>
          <t>KRONOBERGS LÄN</t>
        </is>
      </c>
      <c r="E3729" t="inlineStr">
        <is>
          <t>LJUNGBY</t>
        </is>
      </c>
      <c r="G3729" t="n">
        <v>5.6</v>
      </c>
      <c r="H3729" t="n">
        <v>0</v>
      </c>
      <c r="I3729" t="n">
        <v>0</v>
      </c>
      <c r="J3729" t="n">
        <v>0</v>
      </c>
      <c r="K3729" t="n">
        <v>0</v>
      </c>
      <c r="L3729" t="n">
        <v>0</v>
      </c>
      <c r="M3729" t="n">
        <v>0</v>
      </c>
      <c r="N3729" t="n">
        <v>0</v>
      </c>
      <c r="O3729" t="n">
        <v>0</v>
      </c>
      <c r="P3729" t="n">
        <v>0</v>
      </c>
      <c r="Q3729" t="n">
        <v>0</v>
      </c>
      <c r="R3729" s="2" t="inlineStr"/>
    </row>
    <row r="3730" ht="15" customHeight="1">
      <c r="A3730" t="inlineStr">
        <is>
          <t>A 60539-2022</t>
        </is>
      </c>
      <c r="B3730" s="1" t="n">
        <v>44904</v>
      </c>
      <c r="C3730" s="1" t="n">
        <v>46103</v>
      </c>
      <c r="D3730" t="inlineStr">
        <is>
          <t>KRONOBERGS LÄN</t>
        </is>
      </c>
      <c r="E3730" t="inlineStr">
        <is>
          <t>TINGSRYD</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12290-2025</t>
        </is>
      </c>
      <c r="B3731" s="1" t="n">
        <v>45729.67947916667</v>
      </c>
      <c r="C3731" s="1" t="n">
        <v>46103</v>
      </c>
      <c r="D3731" t="inlineStr">
        <is>
          <t>KRONOBERGS LÄN</t>
        </is>
      </c>
      <c r="E3731" t="inlineStr">
        <is>
          <t>UPPVIDINGE</t>
        </is>
      </c>
      <c r="G3731" t="n">
        <v>5.6</v>
      </c>
      <c r="H3731" t="n">
        <v>0</v>
      </c>
      <c r="I3731" t="n">
        <v>0</v>
      </c>
      <c r="J3731" t="n">
        <v>0</v>
      </c>
      <c r="K3731" t="n">
        <v>0</v>
      </c>
      <c r="L3731" t="n">
        <v>0</v>
      </c>
      <c r="M3731" t="n">
        <v>0</v>
      </c>
      <c r="N3731" t="n">
        <v>0</v>
      </c>
      <c r="O3731" t="n">
        <v>0</v>
      </c>
      <c r="P3731" t="n">
        <v>0</v>
      </c>
      <c r="Q3731" t="n">
        <v>0</v>
      </c>
      <c r="R3731" s="2" t="inlineStr"/>
    </row>
    <row r="3732" ht="15" customHeight="1">
      <c r="A3732" t="inlineStr">
        <is>
          <t>A 45579-2024</t>
        </is>
      </c>
      <c r="B3732" s="1" t="n">
        <v>45579</v>
      </c>
      <c r="C3732" s="1" t="n">
        <v>46103</v>
      </c>
      <c r="D3732" t="inlineStr">
        <is>
          <t>KRONOBERGS LÄN</t>
        </is>
      </c>
      <c r="E3732" t="inlineStr">
        <is>
          <t>VÄXJÖ</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22153-2023</t>
        </is>
      </c>
      <c r="B3733" s="1" t="n">
        <v>45069.64322916666</v>
      </c>
      <c r="C3733" s="1" t="n">
        <v>46103</v>
      </c>
      <c r="D3733" t="inlineStr">
        <is>
          <t>KRONOBERGS LÄN</t>
        </is>
      </c>
      <c r="E3733" t="inlineStr">
        <is>
          <t>LJUNGBY</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18931-2025</t>
        </is>
      </c>
      <c r="B3734" s="1" t="n">
        <v>45764.48725694444</v>
      </c>
      <c r="C3734" s="1" t="n">
        <v>46103</v>
      </c>
      <c r="D3734" t="inlineStr">
        <is>
          <t>KRONOBERGS LÄN</t>
        </is>
      </c>
      <c r="E3734" t="inlineStr">
        <is>
          <t>LJUNGBY</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21161-2023</t>
        </is>
      </c>
      <c r="B3735" s="1" t="n">
        <v>45062.41892361111</v>
      </c>
      <c r="C3735" s="1" t="n">
        <v>46103</v>
      </c>
      <c r="D3735" t="inlineStr">
        <is>
          <t>KRONOBERGS LÄN</t>
        </is>
      </c>
      <c r="E3735" t="inlineStr">
        <is>
          <t>TINGSRYD</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6144-2023</t>
        </is>
      </c>
      <c r="B3736" s="1" t="n">
        <v>44964</v>
      </c>
      <c r="C3736" s="1" t="n">
        <v>46103</v>
      </c>
      <c r="D3736" t="inlineStr">
        <is>
          <t>KRONOBERGS LÄN</t>
        </is>
      </c>
      <c r="E3736" t="inlineStr">
        <is>
          <t>TINGSRYD</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22520-2024</t>
        </is>
      </c>
      <c r="B3737" s="1" t="n">
        <v>45447.41306712963</v>
      </c>
      <c r="C3737" s="1" t="n">
        <v>46103</v>
      </c>
      <c r="D3737" t="inlineStr">
        <is>
          <t>KRONOBERGS LÄN</t>
        </is>
      </c>
      <c r="E3737" t="inlineStr">
        <is>
          <t>VÄXJÖ</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13741-2026</t>
        </is>
      </c>
      <c r="B3738" s="1" t="n">
        <v>46097.63431712963</v>
      </c>
      <c r="C3738" s="1" t="n">
        <v>46103</v>
      </c>
      <c r="D3738" t="inlineStr">
        <is>
          <t>KRONOBERGS LÄN</t>
        </is>
      </c>
      <c r="E3738" t="inlineStr">
        <is>
          <t>LJUNGBY</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5833-2026</t>
        </is>
      </c>
      <c r="B3739" s="1" t="n">
        <v>46052.33186342593</v>
      </c>
      <c r="C3739" s="1" t="n">
        <v>46103</v>
      </c>
      <c r="D3739" t="inlineStr">
        <is>
          <t>KRONOBERGS LÄN</t>
        </is>
      </c>
      <c r="E3739" t="inlineStr">
        <is>
          <t>ALVESTA</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17752-2025</t>
        </is>
      </c>
      <c r="B3740" s="1" t="n">
        <v>45758.48525462963</v>
      </c>
      <c r="C3740" s="1" t="n">
        <v>46103</v>
      </c>
      <c r="D3740" t="inlineStr">
        <is>
          <t>KRONOBERGS LÄN</t>
        </is>
      </c>
      <c r="E3740" t="inlineStr">
        <is>
          <t>VÄXJÖ</t>
        </is>
      </c>
      <c r="F3740" t="inlineStr">
        <is>
          <t>Sveaskog</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15847-2025</t>
        </is>
      </c>
      <c r="B3741" s="1" t="n">
        <v>45748.90723379629</v>
      </c>
      <c r="C3741" s="1" t="n">
        <v>46103</v>
      </c>
      <c r="D3741" t="inlineStr">
        <is>
          <t>KRONOBERGS LÄN</t>
        </is>
      </c>
      <c r="E3741" t="inlineStr">
        <is>
          <t>LJUNGBY</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58694-2022</t>
        </is>
      </c>
      <c r="B3742" s="1" t="n">
        <v>44902</v>
      </c>
      <c r="C3742" s="1" t="n">
        <v>46103</v>
      </c>
      <c r="D3742" t="inlineStr">
        <is>
          <t>KRONOBERGS LÄN</t>
        </is>
      </c>
      <c r="E3742" t="inlineStr">
        <is>
          <t>MARKARYD</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27191-2022</t>
        </is>
      </c>
      <c r="B3743" s="1" t="n">
        <v>44741.58899305556</v>
      </c>
      <c r="C3743" s="1" t="n">
        <v>46103</v>
      </c>
      <c r="D3743" t="inlineStr">
        <is>
          <t>KRONOBERGS LÄN</t>
        </is>
      </c>
      <c r="E3743" t="inlineStr">
        <is>
          <t>LESSEBO</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13777-2026</t>
        </is>
      </c>
      <c r="B3744" s="1" t="n">
        <v>46097.67653935185</v>
      </c>
      <c r="C3744" s="1" t="n">
        <v>46103</v>
      </c>
      <c r="D3744" t="inlineStr">
        <is>
          <t>KRONOBERGS LÄN</t>
        </is>
      </c>
      <c r="E3744" t="inlineStr">
        <is>
          <t>LJUNGBY</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15386-2022</t>
        </is>
      </c>
      <c r="B3745" s="1" t="n">
        <v>44659.58702546296</v>
      </c>
      <c r="C3745" s="1" t="n">
        <v>46103</v>
      </c>
      <c r="D3745" t="inlineStr">
        <is>
          <t>KRONOBERGS LÄN</t>
        </is>
      </c>
      <c r="E3745" t="inlineStr">
        <is>
          <t>UPPVIDINGE</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32490-2024</t>
        </is>
      </c>
      <c r="B3746" s="1" t="n">
        <v>45513.4027199074</v>
      </c>
      <c r="C3746" s="1" t="n">
        <v>46103</v>
      </c>
      <c r="D3746" t="inlineStr">
        <is>
          <t>KRONOBERGS LÄN</t>
        </is>
      </c>
      <c r="E3746" t="inlineStr">
        <is>
          <t>VÄXJÖ</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26969-2025</t>
        </is>
      </c>
      <c r="B3747" s="1" t="n">
        <v>45811</v>
      </c>
      <c r="C3747" s="1" t="n">
        <v>46103</v>
      </c>
      <c r="D3747" t="inlineStr">
        <is>
          <t>KRONOBERGS LÄN</t>
        </is>
      </c>
      <c r="E3747" t="inlineStr">
        <is>
          <t>ALVESTA</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14636-2023</t>
        </is>
      </c>
      <c r="B3748" s="1" t="n">
        <v>45012</v>
      </c>
      <c r="C3748" s="1" t="n">
        <v>46103</v>
      </c>
      <c r="D3748" t="inlineStr">
        <is>
          <t>KRONOBERGS LÄN</t>
        </is>
      </c>
      <c r="E3748" t="inlineStr">
        <is>
          <t>TINGSRYD</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14640-2023</t>
        </is>
      </c>
      <c r="B3749" s="1" t="n">
        <v>45013</v>
      </c>
      <c r="C3749" s="1" t="n">
        <v>46103</v>
      </c>
      <c r="D3749" t="inlineStr">
        <is>
          <t>KRONOBERGS LÄN</t>
        </is>
      </c>
      <c r="E3749" t="inlineStr">
        <is>
          <t>UPPVIDINGE</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3744-2025</t>
        </is>
      </c>
      <c r="B3750" s="1" t="n">
        <v>45681.57925925926</v>
      </c>
      <c r="C3750" s="1" t="n">
        <v>46103</v>
      </c>
      <c r="D3750" t="inlineStr">
        <is>
          <t>KRONOBERGS LÄN</t>
        </is>
      </c>
      <c r="E3750" t="inlineStr">
        <is>
          <t>TINGSRYD</t>
        </is>
      </c>
      <c r="G3750" t="n">
        <v>3.4</v>
      </c>
      <c r="H3750" t="n">
        <v>0</v>
      </c>
      <c r="I3750" t="n">
        <v>0</v>
      </c>
      <c r="J3750" t="n">
        <v>0</v>
      </c>
      <c r="K3750" t="n">
        <v>0</v>
      </c>
      <c r="L3750" t="n">
        <v>0</v>
      </c>
      <c r="M3750" t="n">
        <v>0</v>
      </c>
      <c r="N3750" t="n">
        <v>0</v>
      </c>
      <c r="O3750" t="n">
        <v>0</v>
      </c>
      <c r="P3750" t="n">
        <v>0</v>
      </c>
      <c r="Q3750" t="n">
        <v>0</v>
      </c>
      <c r="R3750" s="2" t="inlineStr"/>
    </row>
    <row r="3751" ht="15" customHeight="1">
      <c r="A3751" t="inlineStr">
        <is>
          <t>A 49934-2023</t>
        </is>
      </c>
      <c r="B3751" s="1" t="n">
        <v>45215</v>
      </c>
      <c r="C3751" s="1" t="n">
        <v>46103</v>
      </c>
      <c r="D3751" t="inlineStr">
        <is>
          <t>KRONOBERGS LÄN</t>
        </is>
      </c>
      <c r="E3751" t="inlineStr">
        <is>
          <t>ÄLMHULT</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49961-2023</t>
        </is>
      </c>
      <c r="B3752" s="1" t="n">
        <v>45215</v>
      </c>
      <c r="C3752" s="1" t="n">
        <v>46103</v>
      </c>
      <c r="D3752" t="inlineStr">
        <is>
          <t>KRONOBERGS LÄN</t>
        </is>
      </c>
      <c r="E3752" t="inlineStr">
        <is>
          <t>VÄXJÖ</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6146-2026</t>
        </is>
      </c>
      <c r="B3753" s="1" t="n">
        <v>46054.87530092592</v>
      </c>
      <c r="C3753" s="1" t="n">
        <v>46103</v>
      </c>
      <c r="D3753" t="inlineStr">
        <is>
          <t>KRONOBERGS LÄN</t>
        </is>
      </c>
      <c r="E3753" t="inlineStr">
        <is>
          <t>LJUNGBY</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45918-2023</t>
        </is>
      </c>
      <c r="B3754" s="1" t="n">
        <v>45195.85546296297</v>
      </c>
      <c r="C3754" s="1" t="n">
        <v>46103</v>
      </c>
      <c r="D3754" t="inlineStr">
        <is>
          <t>KRONOBERGS LÄN</t>
        </is>
      </c>
      <c r="E3754" t="inlineStr">
        <is>
          <t>LJUNGBY</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6149-2026</t>
        </is>
      </c>
      <c r="B3755" s="1" t="n">
        <v>46054.8884837963</v>
      </c>
      <c r="C3755" s="1" t="n">
        <v>46103</v>
      </c>
      <c r="D3755" t="inlineStr">
        <is>
          <t>KRONOBERGS LÄN</t>
        </is>
      </c>
      <c r="E3755" t="inlineStr">
        <is>
          <t>LJUNGBY</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5998-2026</t>
        </is>
      </c>
      <c r="B3756" s="1" t="n">
        <v>46052.57960648148</v>
      </c>
      <c r="C3756" s="1" t="n">
        <v>46103</v>
      </c>
      <c r="D3756" t="inlineStr">
        <is>
          <t>KRONOBERGS LÄN</t>
        </is>
      </c>
      <c r="E3756" t="inlineStr">
        <is>
          <t>UPPVIDINGE</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69752-2021</t>
        </is>
      </c>
      <c r="B3757" s="1" t="n">
        <v>44532</v>
      </c>
      <c r="C3757" s="1" t="n">
        <v>46103</v>
      </c>
      <c r="D3757" t="inlineStr">
        <is>
          <t>KRONOBERGS LÄN</t>
        </is>
      </c>
      <c r="E3757" t="inlineStr">
        <is>
          <t>VÄXJÖ</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49121-2024</t>
        </is>
      </c>
      <c r="B3758" s="1" t="n">
        <v>45594.66606481482</v>
      </c>
      <c r="C3758" s="1" t="n">
        <v>46103</v>
      </c>
      <c r="D3758" t="inlineStr">
        <is>
          <t>KRONOBERGS LÄN</t>
        </is>
      </c>
      <c r="E3758" t="inlineStr">
        <is>
          <t>LESSEBO</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3893-2025</t>
        </is>
      </c>
      <c r="B3759" s="1" t="n">
        <v>45684.37877314815</v>
      </c>
      <c r="C3759" s="1" t="n">
        <v>46103</v>
      </c>
      <c r="D3759" t="inlineStr">
        <is>
          <t>KRONOBERGS LÄN</t>
        </is>
      </c>
      <c r="E3759" t="inlineStr">
        <is>
          <t>VÄXJÖ</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42360-2021</t>
        </is>
      </c>
      <c r="B3760" s="1" t="n">
        <v>44427</v>
      </c>
      <c r="C3760" s="1" t="n">
        <v>46103</v>
      </c>
      <c r="D3760" t="inlineStr">
        <is>
          <t>KRONOBERGS LÄN</t>
        </is>
      </c>
      <c r="E3760" t="inlineStr">
        <is>
          <t>VÄXJÖ</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11938-2024</t>
        </is>
      </c>
      <c r="B3761" s="1" t="n">
        <v>45376.66356481481</v>
      </c>
      <c r="C3761" s="1" t="n">
        <v>46103</v>
      </c>
      <c r="D3761" t="inlineStr">
        <is>
          <t>KRONOBERGS LÄN</t>
        </is>
      </c>
      <c r="E3761" t="inlineStr">
        <is>
          <t>ÄLMHULT</t>
        </is>
      </c>
      <c r="G3761" t="n">
        <v>5</v>
      </c>
      <c r="H3761" t="n">
        <v>0</v>
      </c>
      <c r="I3761" t="n">
        <v>0</v>
      </c>
      <c r="J3761" t="n">
        <v>0</v>
      </c>
      <c r="K3761" t="n">
        <v>0</v>
      </c>
      <c r="L3761" t="n">
        <v>0</v>
      </c>
      <c r="M3761" t="n">
        <v>0</v>
      </c>
      <c r="N3761" t="n">
        <v>0</v>
      </c>
      <c r="O3761" t="n">
        <v>0</v>
      </c>
      <c r="P3761" t="n">
        <v>0</v>
      </c>
      <c r="Q3761" t="n">
        <v>0</v>
      </c>
      <c r="R3761" s="2" t="inlineStr"/>
    </row>
    <row r="3762" ht="15" customHeight="1">
      <c r="A3762" t="inlineStr">
        <is>
          <t>A 13734-2026</t>
        </is>
      </c>
      <c r="B3762" s="1" t="n">
        <v>46097.62454861111</v>
      </c>
      <c r="C3762" s="1" t="n">
        <v>46103</v>
      </c>
      <c r="D3762" t="inlineStr">
        <is>
          <t>KRONOBERGS LÄN</t>
        </is>
      </c>
      <c r="E3762" t="inlineStr">
        <is>
          <t>LJUNGBY</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65581-2021</t>
        </is>
      </c>
      <c r="B3763" s="1" t="n">
        <v>44516</v>
      </c>
      <c r="C3763" s="1" t="n">
        <v>46103</v>
      </c>
      <c r="D3763" t="inlineStr">
        <is>
          <t>KRONOBERGS LÄN</t>
        </is>
      </c>
      <c r="E3763" t="inlineStr">
        <is>
          <t>MARKARYD</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13738-2026</t>
        </is>
      </c>
      <c r="B3764" s="1" t="n">
        <v>46097.62869212963</v>
      </c>
      <c r="C3764" s="1" t="n">
        <v>46103</v>
      </c>
      <c r="D3764" t="inlineStr">
        <is>
          <t>KRONOBERGS LÄN</t>
        </is>
      </c>
      <c r="E3764" t="inlineStr">
        <is>
          <t>LJUNGBY</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38476-2023</t>
        </is>
      </c>
      <c r="B3765" s="1" t="n">
        <v>45162.46358796296</v>
      </c>
      <c r="C3765" s="1" t="n">
        <v>46103</v>
      </c>
      <c r="D3765" t="inlineStr">
        <is>
          <t>KRONOBERGS LÄN</t>
        </is>
      </c>
      <c r="E3765" t="inlineStr">
        <is>
          <t>TINGSRYD</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13772-2026</t>
        </is>
      </c>
      <c r="B3766" s="1" t="n">
        <v>46097.66864583334</v>
      </c>
      <c r="C3766" s="1" t="n">
        <v>46103</v>
      </c>
      <c r="D3766" t="inlineStr">
        <is>
          <t>KRONOBERGS LÄN</t>
        </is>
      </c>
      <c r="E3766" t="inlineStr">
        <is>
          <t>LJUNGBY</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33944-2023</t>
        </is>
      </c>
      <c r="B3767" s="1" t="n">
        <v>45134</v>
      </c>
      <c r="C3767" s="1" t="n">
        <v>46103</v>
      </c>
      <c r="D3767" t="inlineStr">
        <is>
          <t>KRONOBERGS LÄN</t>
        </is>
      </c>
      <c r="E3767" t="inlineStr">
        <is>
          <t>ÄLMHULT</t>
        </is>
      </c>
      <c r="G3767" t="n">
        <v>0.2</v>
      </c>
      <c r="H3767" t="n">
        <v>0</v>
      </c>
      <c r="I3767" t="n">
        <v>0</v>
      </c>
      <c r="J3767" t="n">
        <v>0</v>
      </c>
      <c r="K3767" t="n">
        <v>0</v>
      </c>
      <c r="L3767" t="n">
        <v>0</v>
      </c>
      <c r="M3767" t="n">
        <v>0</v>
      </c>
      <c r="N3767" t="n">
        <v>0</v>
      </c>
      <c r="O3767" t="n">
        <v>0</v>
      </c>
      <c r="P3767" t="n">
        <v>0</v>
      </c>
      <c r="Q3767" t="n">
        <v>0</v>
      </c>
      <c r="R3767" s="2" t="inlineStr"/>
    </row>
    <row r="3768" ht="15" customHeight="1">
      <c r="A3768" t="inlineStr">
        <is>
          <t>A 5867-2026</t>
        </is>
      </c>
      <c r="B3768" s="1" t="n">
        <v>46052.31791666667</v>
      </c>
      <c r="C3768" s="1" t="n">
        <v>46103</v>
      </c>
      <c r="D3768" t="inlineStr">
        <is>
          <t>KRONOBERGS LÄN</t>
        </is>
      </c>
      <c r="E3768" t="inlineStr">
        <is>
          <t>UPPVIDINGE</t>
        </is>
      </c>
      <c r="F3768" t="inlineStr">
        <is>
          <t>Sveaskog</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17136-2022</t>
        </is>
      </c>
      <c r="B3769" s="1" t="n">
        <v>44677.52666666666</v>
      </c>
      <c r="C3769" s="1" t="n">
        <v>46103</v>
      </c>
      <c r="D3769" t="inlineStr">
        <is>
          <t>KRONOBERGS LÄN</t>
        </is>
      </c>
      <c r="E3769" t="inlineStr">
        <is>
          <t>MARKARYD</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19379-2024</t>
        </is>
      </c>
      <c r="B3770" s="1" t="n">
        <v>45428</v>
      </c>
      <c r="C3770" s="1" t="n">
        <v>46103</v>
      </c>
      <c r="D3770" t="inlineStr">
        <is>
          <t>KRONOBERGS LÄN</t>
        </is>
      </c>
      <c r="E3770" t="inlineStr">
        <is>
          <t>VÄXJÖ</t>
        </is>
      </c>
      <c r="F3770" t="inlineStr">
        <is>
          <t>Kyrkan</t>
        </is>
      </c>
      <c r="G3770" t="n">
        <v>9.4</v>
      </c>
      <c r="H3770" t="n">
        <v>0</v>
      </c>
      <c r="I3770" t="n">
        <v>0</v>
      </c>
      <c r="J3770" t="n">
        <v>0</v>
      </c>
      <c r="K3770" t="n">
        <v>0</v>
      </c>
      <c r="L3770" t="n">
        <v>0</v>
      </c>
      <c r="M3770" t="n">
        <v>0</v>
      </c>
      <c r="N3770" t="n">
        <v>0</v>
      </c>
      <c r="O3770" t="n">
        <v>0</v>
      </c>
      <c r="P3770" t="n">
        <v>0</v>
      </c>
      <c r="Q3770" t="n">
        <v>0</v>
      </c>
      <c r="R3770" s="2" t="inlineStr"/>
    </row>
    <row r="3771" ht="15" customHeight="1">
      <c r="A3771" t="inlineStr">
        <is>
          <t>A 5903-2026</t>
        </is>
      </c>
      <c r="B3771" s="1" t="n">
        <v>46052.43711805555</v>
      </c>
      <c r="C3771" s="1" t="n">
        <v>46103</v>
      </c>
      <c r="D3771" t="inlineStr">
        <is>
          <t>KRONOBERGS LÄN</t>
        </is>
      </c>
      <c r="E3771" t="inlineStr">
        <is>
          <t>ÄLMHULT</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26762-2025</t>
        </is>
      </c>
      <c r="B3772" s="1" t="n">
        <v>45810.56395833333</v>
      </c>
      <c r="C3772" s="1" t="n">
        <v>46103</v>
      </c>
      <c r="D3772" t="inlineStr">
        <is>
          <t>KRONOBERGS LÄN</t>
        </is>
      </c>
      <c r="E3772" t="inlineStr">
        <is>
          <t>VÄXJÖ</t>
        </is>
      </c>
      <c r="F3772" t="inlineStr">
        <is>
          <t>Övriga Aktiebolag</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26926-2025</t>
        </is>
      </c>
      <c r="B3773" s="1" t="n">
        <v>45811.39115740741</v>
      </c>
      <c r="C3773" s="1" t="n">
        <v>46103</v>
      </c>
      <c r="D3773" t="inlineStr">
        <is>
          <t>KRONOBERGS LÄN</t>
        </is>
      </c>
      <c r="E3773" t="inlineStr">
        <is>
          <t>LJUNGBY</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26928-2025</t>
        </is>
      </c>
      <c r="B3774" s="1" t="n">
        <v>45811.39695601852</v>
      </c>
      <c r="C3774" s="1" t="n">
        <v>46103</v>
      </c>
      <c r="D3774" t="inlineStr">
        <is>
          <t>KRONOBERGS LÄN</t>
        </is>
      </c>
      <c r="E3774" t="inlineStr">
        <is>
          <t>LJUNGBY</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26936-2025</t>
        </is>
      </c>
      <c r="B3775" s="1" t="n">
        <v>45811.40674768519</v>
      </c>
      <c r="C3775" s="1" t="n">
        <v>46103</v>
      </c>
      <c r="D3775" t="inlineStr">
        <is>
          <t>KRONOBERGS LÄN</t>
        </is>
      </c>
      <c r="E3775" t="inlineStr">
        <is>
          <t>LJUNGBY</t>
        </is>
      </c>
      <c r="G3775" t="n">
        <v>0.3</v>
      </c>
      <c r="H3775" t="n">
        <v>0</v>
      </c>
      <c r="I3775" t="n">
        <v>0</v>
      </c>
      <c r="J3775" t="n">
        <v>0</v>
      </c>
      <c r="K3775" t="n">
        <v>0</v>
      </c>
      <c r="L3775" t="n">
        <v>0</v>
      </c>
      <c r="M3775" t="n">
        <v>0</v>
      </c>
      <c r="N3775" t="n">
        <v>0</v>
      </c>
      <c r="O3775" t="n">
        <v>0</v>
      </c>
      <c r="P3775" t="n">
        <v>0</v>
      </c>
      <c r="Q3775" t="n">
        <v>0</v>
      </c>
      <c r="R3775" s="2" t="inlineStr"/>
    </row>
    <row r="3776" ht="15" customHeight="1">
      <c r="A3776" t="inlineStr">
        <is>
          <t>A 9395-2024</t>
        </is>
      </c>
      <c r="B3776" s="1" t="n">
        <v>45359.41657407407</v>
      </c>
      <c r="C3776" s="1" t="n">
        <v>46103</v>
      </c>
      <c r="D3776" t="inlineStr">
        <is>
          <t>KRONOBERGS LÄN</t>
        </is>
      </c>
      <c r="E3776" t="inlineStr">
        <is>
          <t>ALVESTA</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16992-2024</t>
        </is>
      </c>
      <c r="B3777" s="1" t="n">
        <v>45412.33401620371</v>
      </c>
      <c r="C3777" s="1" t="n">
        <v>46103</v>
      </c>
      <c r="D3777" t="inlineStr">
        <is>
          <t>KRONOBERGS LÄN</t>
        </is>
      </c>
      <c r="E3777" t="inlineStr">
        <is>
          <t>TINGSRYD</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26971-2025</t>
        </is>
      </c>
      <c r="B3778" s="1" t="n">
        <v>45811</v>
      </c>
      <c r="C3778" s="1" t="n">
        <v>46103</v>
      </c>
      <c r="D3778" t="inlineStr">
        <is>
          <t>KRONOBERGS LÄN</t>
        </is>
      </c>
      <c r="E3778" t="inlineStr">
        <is>
          <t>ALVESTA</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26974-2025</t>
        </is>
      </c>
      <c r="B3779" s="1" t="n">
        <v>45811</v>
      </c>
      <c r="C3779" s="1" t="n">
        <v>46103</v>
      </c>
      <c r="D3779" t="inlineStr">
        <is>
          <t>KRONOBERGS LÄN</t>
        </is>
      </c>
      <c r="E3779" t="inlineStr">
        <is>
          <t>ALVESTA</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60069-2022</t>
        </is>
      </c>
      <c r="B3780" s="1" t="n">
        <v>44909.56182870371</v>
      </c>
      <c r="C3780" s="1" t="n">
        <v>46103</v>
      </c>
      <c r="D3780" t="inlineStr">
        <is>
          <t>KRONOBERGS LÄN</t>
        </is>
      </c>
      <c r="E3780" t="inlineStr">
        <is>
          <t>TINGSRYD</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41-2023</t>
        </is>
      </c>
      <c r="B3781" s="1" t="n">
        <v>44928.37655092592</v>
      </c>
      <c r="C3781" s="1" t="n">
        <v>46103</v>
      </c>
      <c r="D3781" t="inlineStr">
        <is>
          <t>KRONOBERGS LÄN</t>
        </is>
      </c>
      <c r="E3781" t="inlineStr">
        <is>
          <t>TINGSRYD</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7504-2023</t>
        </is>
      </c>
      <c r="B3782" s="1" t="n">
        <v>44971.76994212963</v>
      </c>
      <c r="C3782" s="1" t="n">
        <v>46103</v>
      </c>
      <c r="D3782" t="inlineStr">
        <is>
          <t>KRONOBERGS LÄN</t>
        </is>
      </c>
      <c r="E3782" t="inlineStr">
        <is>
          <t>UPPVIDINGE</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22444-2023</t>
        </is>
      </c>
      <c r="B3783" s="1" t="n">
        <v>45070</v>
      </c>
      <c r="C3783" s="1" t="n">
        <v>46103</v>
      </c>
      <c r="D3783" t="inlineStr">
        <is>
          <t>KRONOBERGS LÄN</t>
        </is>
      </c>
      <c r="E3783" t="inlineStr">
        <is>
          <t>LJUNGBY</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13757-2026</t>
        </is>
      </c>
      <c r="B3784" s="1" t="n">
        <v>46097.64215277778</v>
      </c>
      <c r="C3784" s="1" t="n">
        <v>46103</v>
      </c>
      <c r="D3784" t="inlineStr">
        <is>
          <t>KRONOBERGS LÄN</t>
        </is>
      </c>
      <c r="E3784" t="inlineStr">
        <is>
          <t>LJUNGBY</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58717-2024</t>
        </is>
      </c>
      <c r="B3785" s="1" t="n">
        <v>45635.65861111111</v>
      </c>
      <c r="C3785" s="1" t="n">
        <v>46103</v>
      </c>
      <c r="D3785" t="inlineStr">
        <is>
          <t>KRONOBERGS LÄN</t>
        </is>
      </c>
      <c r="E3785" t="inlineStr">
        <is>
          <t>ÄLMHULT</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26983-2025</t>
        </is>
      </c>
      <c r="B3786" s="1" t="n">
        <v>45811.49784722222</v>
      </c>
      <c r="C3786" s="1" t="n">
        <v>46103</v>
      </c>
      <c r="D3786" t="inlineStr">
        <is>
          <t>KRONOBERGS LÄN</t>
        </is>
      </c>
      <c r="E3786" t="inlineStr">
        <is>
          <t>TINGSRYD</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26808-2025</t>
        </is>
      </c>
      <c r="B3787" s="1" t="n">
        <v>45810.61635416667</v>
      </c>
      <c r="C3787" s="1" t="n">
        <v>46103</v>
      </c>
      <c r="D3787" t="inlineStr">
        <is>
          <t>KRONOBERGS LÄN</t>
        </is>
      </c>
      <c r="E3787" t="inlineStr">
        <is>
          <t>ALVESTA</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11784-2022</t>
        </is>
      </c>
      <c r="B3788" s="1" t="n">
        <v>44634.60929398148</v>
      </c>
      <c r="C3788" s="1" t="n">
        <v>46103</v>
      </c>
      <c r="D3788" t="inlineStr">
        <is>
          <t>KRONOBERGS LÄN</t>
        </is>
      </c>
      <c r="E3788" t="inlineStr">
        <is>
          <t>LJUNGBY</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26972-2025</t>
        </is>
      </c>
      <c r="B3789" s="1" t="n">
        <v>45811.48321759259</v>
      </c>
      <c r="C3789" s="1" t="n">
        <v>46103</v>
      </c>
      <c r="D3789" t="inlineStr">
        <is>
          <t>KRONOBERGS LÄN</t>
        </is>
      </c>
      <c r="E3789" t="inlineStr">
        <is>
          <t>LJUNGBY</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27127-2025</t>
        </is>
      </c>
      <c r="B3790" s="1" t="n">
        <v>45811</v>
      </c>
      <c r="C3790" s="1" t="n">
        <v>46103</v>
      </c>
      <c r="D3790" t="inlineStr">
        <is>
          <t>KRONOBERGS LÄN</t>
        </is>
      </c>
      <c r="E3790" t="inlineStr">
        <is>
          <t>MARKARYD</t>
        </is>
      </c>
      <c r="F3790" t="inlineStr">
        <is>
          <t>Kyrkan</t>
        </is>
      </c>
      <c r="G3790" t="n">
        <v>7.2</v>
      </c>
      <c r="H3790" t="n">
        <v>0</v>
      </c>
      <c r="I3790" t="n">
        <v>0</v>
      </c>
      <c r="J3790" t="n">
        <v>0</v>
      </c>
      <c r="K3790" t="n">
        <v>0</v>
      </c>
      <c r="L3790" t="n">
        <v>0</v>
      </c>
      <c r="M3790" t="n">
        <v>0</v>
      </c>
      <c r="N3790" t="n">
        <v>0</v>
      </c>
      <c r="O3790" t="n">
        <v>0</v>
      </c>
      <c r="P3790" t="n">
        <v>0</v>
      </c>
      <c r="Q3790" t="n">
        <v>0</v>
      </c>
      <c r="R3790" s="2" t="inlineStr"/>
    </row>
    <row r="3791" ht="15" customHeight="1">
      <c r="A3791" t="inlineStr">
        <is>
          <t>A 53844-2023</t>
        </is>
      </c>
      <c r="B3791" s="1" t="n">
        <v>45224</v>
      </c>
      <c r="C3791" s="1" t="n">
        <v>46103</v>
      </c>
      <c r="D3791" t="inlineStr">
        <is>
          <t>KRONOBERGS LÄN</t>
        </is>
      </c>
      <c r="E3791" t="inlineStr">
        <is>
          <t>VÄXJÖ</t>
        </is>
      </c>
      <c r="F3791" t="inlineStr">
        <is>
          <t>Kyrkan</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53851-2023</t>
        </is>
      </c>
      <c r="B3792" s="1" t="n">
        <v>45231</v>
      </c>
      <c r="C3792" s="1" t="n">
        <v>46103</v>
      </c>
      <c r="D3792" t="inlineStr">
        <is>
          <t>KRONOBERGS LÄN</t>
        </is>
      </c>
      <c r="E3792" t="inlineStr">
        <is>
          <t>LJUNGBY</t>
        </is>
      </c>
      <c r="G3792" t="n">
        <v>4.4</v>
      </c>
      <c r="H3792" t="n">
        <v>0</v>
      </c>
      <c r="I3792" t="n">
        <v>0</v>
      </c>
      <c r="J3792" t="n">
        <v>0</v>
      </c>
      <c r="K3792" t="n">
        <v>0</v>
      </c>
      <c r="L3792" t="n">
        <v>0</v>
      </c>
      <c r="M3792" t="n">
        <v>0</v>
      </c>
      <c r="N3792" t="n">
        <v>0</v>
      </c>
      <c r="O3792" t="n">
        <v>0</v>
      </c>
      <c r="P3792" t="n">
        <v>0</v>
      </c>
      <c r="Q3792" t="n">
        <v>0</v>
      </c>
      <c r="R3792" s="2" t="inlineStr"/>
    </row>
    <row r="3793" ht="15" customHeight="1">
      <c r="A3793" t="inlineStr">
        <is>
          <t>A 60080-2022</t>
        </is>
      </c>
      <c r="B3793" s="1" t="n">
        <v>44909</v>
      </c>
      <c r="C3793" s="1" t="n">
        <v>46103</v>
      </c>
      <c r="D3793" t="inlineStr">
        <is>
          <t>KRONOBERGS LÄN</t>
        </is>
      </c>
      <c r="E3793" t="inlineStr">
        <is>
          <t>ALVESTA</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7500-2023</t>
        </is>
      </c>
      <c r="B3794" s="1" t="n">
        <v>44971.75834490741</v>
      </c>
      <c r="C3794" s="1" t="n">
        <v>46103</v>
      </c>
      <c r="D3794" t="inlineStr">
        <is>
          <t>KRONOBERGS LÄN</t>
        </is>
      </c>
      <c r="E3794" t="inlineStr">
        <is>
          <t>UPPVIDINGE</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45755-2024</t>
        </is>
      </c>
      <c r="B3795" s="1" t="n">
        <v>45579</v>
      </c>
      <c r="C3795" s="1" t="n">
        <v>46103</v>
      </c>
      <c r="D3795" t="inlineStr">
        <is>
          <t>KRONOBERGS LÄN</t>
        </is>
      </c>
      <c r="E3795" t="inlineStr">
        <is>
          <t>UPPVIDINGE</t>
        </is>
      </c>
      <c r="F3795" t="inlineStr">
        <is>
          <t>Sveaskog</t>
        </is>
      </c>
      <c r="G3795" t="n">
        <v>4.9</v>
      </c>
      <c r="H3795" t="n">
        <v>0</v>
      </c>
      <c r="I3795" t="n">
        <v>0</v>
      </c>
      <c r="J3795" t="n">
        <v>0</v>
      </c>
      <c r="K3795" t="n">
        <v>0</v>
      </c>
      <c r="L3795" t="n">
        <v>0</v>
      </c>
      <c r="M3795" t="n">
        <v>0</v>
      </c>
      <c r="N3795" t="n">
        <v>0</v>
      </c>
      <c r="O3795" t="n">
        <v>0</v>
      </c>
      <c r="P3795" t="n">
        <v>0</v>
      </c>
      <c r="Q3795" t="n">
        <v>0</v>
      </c>
      <c r="R3795" s="2" t="inlineStr"/>
    </row>
    <row r="3796" ht="15" customHeight="1">
      <c r="A3796" t="inlineStr">
        <is>
          <t>A 20626-2021</t>
        </is>
      </c>
      <c r="B3796" s="1" t="n">
        <v>44316</v>
      </c>
      <c r="C3796" s="1" t="n">
        <v>46103</v>
      </c>
      <c r="D3796" t="inlineStr">
        <is>
          <t>KRONOBERGS LÄN</t>
        </is>
      </c>
      <c r="E3796" t="inlineStr">
        <is>
          <t>ÄLMHULT</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26977-2025</t>
        </is>
      </c>
      <c r="B3797" s="1" t="n">
        <v>45811</v>
      </c>
      <c r="C3797" s="1" t="n">
        <v>46103</v>
      </c>
      <c r="D3797" t="inlineStr">
        <is>
          <t>KRONOBERGS LÄN</t>
        </is>
      </c>
      <c r="E3797" t="inlineStr">
        <is>
          <t>ALVESTA</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49352-2023</t>
        </is>
      </c>
      <c r="B3798" s="1" t="n">
        <v>45211</v>
      </c>
      <c r="C3798" s="1" t="n">
        <v>46103</v>
      </c>
      <c r="D3798" t="inlineStr">
        <is>
          <t>KRONOBERGS LÄN</t>
        </is>
      </c>
      <c r="E3798" t="inlineStr">
        <is>
          <t>TINGSRYD</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49357-2023</t>
        </is>
      </c>
      <c r="B3799" s="1" t="n">
        <v>45211</v>
      </c>
      <c r="C3799" s="1" t="n">
        <v>46103</v>
      </c>
      <c r="D3799" t="inlineStr">
        <is>
          <t>KRONOBERGS LÄN</t>
        </is>
      </c>
      <c r="E3799" t="inlineStr">
        <is>
          <t>UPPVIDINGE</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48123-2023</t>
        </is>
      </c>
      <c r="B3800" s="1" t="n">
        <v>45205.35776620371</v>
      </c>
      <c r="C3800" s="1" t="n">
        <v>46103</v>
      </c>
      <c r="D3800" t="inlineStr">
        <is>
          <t>KRONOBERGS LÄN</t>
        </is>
      </c>
      <c r="E3800" t="inlineStr">
        <is>
          <t>UPPVIDINGE</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69941-2021</t>
        </is>
      </c>
      <c r="B3801" s="1" t="n">
        <v>44533.35804398148</v>
      </c>
      <c r="C3801" s="1" t="n">
        <v>46103</v>
      </c>
      <c r="D3801" t="inlineStr">
        <is>
          <t>KRONOBERGS LÄN</t>
        </is>
      </c>
      <c r="E3801" t="inlineStr">
        <is>
          <t>UPPVIDINGE</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26848-2025</t>
        </is>
      </c>
      <c r="B3802" s="1" t="n">
        <v>45810.66587962963</v>
      </c>
      <c r="C3802" s="1" t="n">
        <v>46103</v>
      </c>
      <c r="D3802" t="inlineStr">
        <is>
          <t>KRONOBERGS LÄN</t>
        </is>
      </c>
      <c r="E3802" t="inlineStr">
        <is>
          <t>VÄXJÖ</t>
        </is>
      </c>
      <c r="F3802" t="inlineStr">
        <is>
          <t>Övriga Aktiebolag</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27037-2025</t>
        </is>
      </c>
      <c r="B3803" s="1" t="n">
        <v>45811.59519675926</v>
      </c>
      <c r="C3803" s="1" t="n">
        <v>46103</v>
      </c>
      <c r="D3803" t="inlineStr">
        <is>
          <t>KRONOBERGS LÄN</t>
        </is>
      </c>
      <c r="E3803" t="inlineStr">
        <is>
          <t>UPPVIDINGE</t>
        </is>
      </c>
      <c r="G3803" t="n">
        <v>4.9</v>
      </c>
      <c r="H3803" t="n">
        <v>0</v>
      </c>
      <c r="I3803" t="n">
        <v>0</v>
      </c>
      <c r="J3803" t="n">
        <v>0</v>
      </c>
      <c r="K3803" t="n">
        <v>0</v>
      </c>
      <c r="L3803" t="n">
        <v>0</v>
      </c>
      <c r="M3803" t="n">
        <v>0</v>
      </c>
      <c r="N3803" t="n">
        <v>0</v>
      </c>
      <c r="O3803" t="n">
        <v>0</v>
      </c>
      <c r="P3803" t="n">
        <v>0</v>
      </c>
      <c r="Q3803" t="n">
        <v>0</v>
      </c>
      <c r="R3803" s="2" t="inlineStr"/>
    </row>
    <row r="3804" ht="15" customHeight="1">
      <c r="A3804" t="inlineStr">
        <is>
          <t>A 11302-2024</t>
        </is>
      </c>
      <c r="B3804" s="1" t="n">
        <v>45371.85761574074</v>
      </c>
      <c r="C3804" s="1" t="n">
        <v>46103</v>
      </c>
      <c r="D3804" t="inlineStr">
        <is>
          <t>KRONOBERGS LÄN</t>
        </is>
      </c>
      <c r="E3804" t="inlineStr">
        <is>
          <t>LJUNGBY</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12618-2022</t>
        </is>
      </c>
      <c r="B3805" s="1" t="n">
        <v>44641</v>
      </c>
      <c r="C3805" s="1" t="n">
        <v>46103</v>
      </c>
      <c r="D3805" t="inlineStr">
        <is>
          <t>KRONOBERGS LÄN</t>
        </is>
      </c>
      <c r="E3805" t="inlineStr">
        <is>
          <t>VÄXJÖ</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29133-2023</t>
        </is>
      </c>
      <c r="B3806" s="1" t="n">
        <v>45105</v>
      </c>
      <c r="C3806" s="1" t="n">
        <v>46103</v>
      </c>
      <c r="D3806" t="inlineStr">
        <is>
          <t>KRONOBERGS LÄN</t>
        </is>
      </c>
      <c r="E3806" t="inlineStr">
        <is>
          <t>ALVESTA</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36816-2023</t>
        </is>
      </c>
      <c r="B3807" s="1" t="n">
        <v>45154.441875</v>
      </c>
      <c r="C3807" s="1" t="n">
        <v>46103</v>
      </c>
      <c r="D3807" t="inlineStr">
        <is>
          <t>KRONOBERGS LÄN</t>
        </is>
      </c>
      <c r="E3807" t="inlineStr">
        <is>
          <t>ÄLMHULT</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10927-2023</t>
        </is>
      </c>
      <c r="B3808" s="1" t="n">
        <v>44991.51193287037</v>
      </c>
      <c r="C3808" s="1" t="n">
        <v>46103</v>
      </c>
      <c r="D3808" t="inlineStr">
        <is>
          <t>KRONOBERGS LÄN</t>
        </is>
      </c>
      <c r="E3808" t="inlineStr">
        <is>
          <t>LJUNGBY</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10929-2023</t>
        </is>
      </c>
      <c r="B3809" s="1" t="n">
        <v>44991</v>
      </c>
      <c r="C3809" s="1" t="n">
        <v>46103</v>
      </c>
      <c r="D3809" t="inlineStr">
        <is>
          <t>KRONOBERGS LÄN</t>
        </is>
      </c>
      <c r="E3809" t="inlineStr">
        <is>
          <t>LJUNGBY</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6322-2023</t>
        </is>
      </c>
      <c r="B3810" s="1" t="n">
        <v>44965.48167824074</v>
      </c>
      <c r="C3810" s="1" t="n">
        <v>46103</v>
      </c>
      <c r="D3810" t="inlineStr">
        <is>
          <t>KRONOBERGS LÄN</t>
        </is>
      </c>
      <c r="E3810" t="inlineStr">
        <is>
          <t>TINGSRYD</t>
        </is>
      </c>
      <c r="F3810" t="inlineStr">
        <is>
          <t>Kommuner</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22241-2023</t>
        </is>
      </c>
      <c r="B3811" s="1" t="n">
        <v>45070.29650462963</v>
      </c>
      <c r="C3811" s="1" t="n">
        <v>46103</v>
      </c>
      <c r="D3811" t="inlineStr">
        <is>
          <t>KRONOBERGS LÄN</t>
        </is>
      </c>
      <c r="E3811" t="inlineStr">
        <is>
          <t>VÄXJÖ</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13804-2026</t>
        </is>
      </c>
      <c r="B3812" s="1" t="n">
        <v>46097.90431712963</v>
      </c>
      <c r="C3812" s="1" t="n">
        <v>46103</v>
      </c>
      <c r="D3812" t="inlineStr">
        <is>
          <t>KRONOBERGS LÄN</t>
        </is>
      </c>
      <c r="E3812" t="inlineStr">
        <is>
          <t>VÄXJÖ</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23784-2024</t>
        </is>
      </c>
      <c r="B3813" s="1" t="n">
        <v>45455</v>
      </c>
      <c r="C3813" s="1" t="n">
        <v>46103</v>
      </c>
      <c r="D3813" t="inlineStr">
        <is>
          <t>KRONOBERGS LÄN</t>
        </is>
      </c>
      <c r="E3813" t="inlineStr">
        <is>
          <t>UPPVIDINGE</t>
        </is>
      </c>
      <c r="F3813" t="inlineStr">
        <is>
          <t>Kyrkan</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26204-2023</t>
        </is>
      </c>
      <c r="B3814" s="1" t="n">
        <v>45091</v>
      </c>
      <c r="C3814" s="1" t="n">
        <v>46103</v>
      </c>
      <c r="D3814" t="inlineStr">
        <is>
          <t>KRONOBERGS LÄN</t>
        </is>
      </c>
      <c r="E3814" t="inlineStr">
        <is>
          <t>UPPVIDINGE</t>
        </is>
      </c>
      <c r="F3814" t="inlineStr">
        <is>
          <t>Sveaskog</t>
        </is>
      </c>
      <c r="G3814" t="n">
        <v>6.8</v>
      </c>
      <c r="H3814" t="n">
        <v>0</v>
      </c>
      <c r="I3814" t="n">
        <v>0</v>
      </c>
      <c r="J3814" t="n">
        <v>0</v>
      </c>
      <c r="K3814" t="n">
        <v>0</v>
      </c>
      <c r="L3814" t="n">
        <v>0</v>
      </c>
      <c r="M3814" t="n">
        <v>0</v>
      </c>
      <c r="N3814" t="n">
        <v>0</v>
      </c>
      <c r="O3814" t="n">
        <v>0</v>
      </c>
      <c r="P3814" t="n">
        <v>0</v>
      </c>
      <c r="Q3814" t="n">
        <v>0</v>
      </c>
      <c r="R3814" s="2" t="inlineStr"/>
    </row>
    <row r="3815" ht="15" customHeight="1">
      <c r="A3815" t="inlineStr">
        <is>
          <t>A 3230-2025</t>
        </is>
      </c>
      <c r="B3815" s="1" t="n">
        <v>45679.48483796296</v>
      </c>
      <c r="C3815" s="1" t="n">
        <v>46103</v>
      </c>
      <c r="D3815" t="inlineStr">
        <is>
          <t>KRONOBERGS LÄN</t>
        </is>
      </c>
      <c r="E3815" t="inlineStr">
        <is>
          <t>LJUNGBY</t>
        </is>
      </c>
      <c r="G3815" t="n">
        <v>7.3</v>
      </c>
      <c r="H3815" t="n">
        <v>0</v>
      </c>
      <c r="I3815" t="n">
        <v>0</v>
      </c>
      <c r="J3815" t="n">
        <v>0</v>
      </c>
      <c r="K3815" t="n">
        <v>0</v>
      </c>
      <c r="L3815" t="n">
        <v>0</v>
      </c>
      <c r="M3815" t="n">
        <v>0</v>
      </c>
      <c r="N3815" t="n">
        <v>0</v>
      </c>
      <c r="O3815" t="n">
        <v>0</v>
      </c>
      <c r="P3815" t="n">
        <v>0</v>
      </c>
      <c r="Q3815" t="n">
        <v>0</v>
      </c>
      <c r="R3815" s="2" t="inlineStr"/>
    </row>
    <row r="3816" ht="15" customHeight="1">
      <c r="A3816" t="inlineStr">
        <is>
          <t>A 5401-2023</t>
        </is>
      </c>
      <c r="B3816" s="1" t="n">
        <v>44959</v>
      </c>
      <c r="C3816" s="1" t="n">
        <v>46103</v>
      </c>
      <c r="D3816" t="inlineStr">
        <is>
          <t>KRONOBERGS LÄN</t>
        </is>
      </c>
      <c r="E3816" t="inlineStr">
        <is>
          <t>LJUNGBY</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5405-2023</t>
        </is>
      </c>
      <c r="B3817" s="1" t="n">
        <v>44959</v>
      </c>
      <c r="C3817" s="1" t="n">
        <v>46103</v>
      </c>
      <c r="D3817" t="inlineStr">
        <is>
          <t>KRONOBERGS LÄN</t>
        </is>
      </c>
      <c r="E3817" t="inlineStr">
        <is>
          <t>LJUNGBY</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11286-2024</t>
        </is>
      </c>
      <c r="B3818" s="1" t="n">
        <v>45371.73100694444</v>
      </c>
      <c r="C3818" s="1" t="n">
        <v>46103</v>
      </c>
      <c r="D3818" t="inlineStr">
        <is>
          <t>KRONOBERGS LÄN</t>
        </is>
      </c>
      <c r="E3818" t="inlineStr">
        <is>
          <t>LESSEBO</t>
        </is>
      </c>
      <c r="F3818" t="inlineStr">
        <is>
          <t>Sveaskog</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43876-2021</t>
        </is>
      </c>
      <c r="B3819" s="1" t="n">
        <v>44434</v>
      </c>
      <c r="C3819" s="1" t="n">
        <v>46103</v>
      </c>
      <c r="D3819" t="inlineStr">
        <is>
          <t>KRONOBERGS LÄN</t>
        </is>
      </c>
      <c r="E3819" t="inlineStr">
        <is>
          <t>ÄLMHULT</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43844-2023</t>
        </is>
      </c>
      <c r="B3820" s="1" t="n">
        <v>45187.59305555555</v>
      </c>
      <c r="C3820" s="1" t="n">
        <v>46103</v>
      </c>
      <c r="D3820" t="inlineStr">
        <is>
          <t>KRONOBERGS LÄN</t>
        </is>
      </c>
      <c r="E3820" t="inlineStr">
        <is>
          <t>LJUNGBY</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42592-2023</t>
        </is>
      </c>
      <c r="B3821" s="1" t="n">
        <v>45176</v>
      </c>
      <c r="C3821" s="1" t="n">
        <v>46103</v>
      </c>
      <c r="D3821" t="inlineStr">
        <is>
          <t>KRONOBERGS LÄN</t>
        </is>
      </c>
      <c r="E3821" t="inlineStr">
        <is>
          <t>LJUNGBY</t>
        </is>
      </c>
      <c r="F3821" t="inlineStr">
        <is>
          <t>Kyrkan</t>
        </is>
      </c>
      <c r="G3821" t="n">
        <v>4</v>
      </c>
      <c r="H3821" t="n">
        <v>0</v>
      </c>
      <c r="I3821" t="n">
        <v>0</v>
      </c>
      <c r="J3821" t="n">
        <v>0</v>
      </c>
      <c r="K3821" t="n">
        <v>0</v>
      </c>
      <c r="L3821" t="n">
        <v>0</v>
      </c>
      <c r="M3821" t="n">
        <v>0</v>
      </c>
      <c r="N3821" t="n">
        <v>0</v>
      </c>
      <c r="O3821" t="n">
        <v>0</v>
      </c>
      <c r="P3821" t="n">
        <v>0</v>
      </c>
      <c r="Q3821" t="n">
        <v>0</v>
      </c>
      <c r="R3821" s="2" t="inlineStr"/>
    </row>
    <row r="3822" ht="15" customHeight="1">
      <c r="A3822" t="inlineStr">
        <is>
          <t>A 42611-2023</t>
        </is>
      </c>
      <c r="B3822" s="1" t="n">
        <v>45181</v>
      </c>
      <c r="C3822" s="1" t="n">
        <v>46103</v>
      </c>
      <c r="D3822" t="inlineStr">
        <is>
          <t>KRONOBERGS LÄN</t>
        </is>
      </c>
      <c r="E3822" t="inlineStr">
        <is>
          <t>LJUNGBY</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2139-2022</t>
        </is>
      </c>
      <c r="B3823" s="1" t="n">
        <v>44578.39456018519</v>
      </c>
      <c r="C3823" s="1" t="n">
        <v>46103</v>
      </c>
      <c r="D3823" t="inlineStr">
        <is>
          <t>KRONOBERGS LÄN</t>
        </is>
      </c>
      <c r="E3823" t="inlineStr">
        <is>
          <t>MARKARYD</t>
        </is>
      </c>
      <c r="F3823" t="inlineStr">
        <is>
          <t>Övriga Aktiebolag</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47396-2024</t>
        </is>
      </c>
      <c r="B3824" s="1" t="n">
        <v>45587</v>
      </c>
      <c r="C3824" s="1" t="n">
        <v>46103</v>
      </c>
      <c r="D3824" t="inlineStr">
        <is>
          <t>KRONOBERGS LÄN</t>
        </is>
      </c>
      <c r="E3824" t="inlineStr">
        <is>
          <t>LESSEBO</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27266-2025</t>
        </is>
      </c>
      <c r="B3825" s="1" t="n">
        <v>45812.48452546296</v>
      </c>
      <c r="C3825" s="1" t="n">
        <v>46103</v>
      </c>
      <c r="D3825" t="inlineStr">
        <is>
          <t>KRONOBERGS LÄN</t>
        </is>
      </c>
      <c r="E3825" t="inlineStr">
        <is>
          <t>VÄXJÖ</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27318-2025</t>
        </is>
      </c>
      <c r="B3826" s="1" t="n">
        <v>45812.59082175926</v>
      </c>
      <c r="C3826" s="1" t="n">
        <v>46103</v>
      </c>
      <c r="D3826" t="inlineStr">
        <is>
          <t>KRONOBERGS LÄN</t>
        </is>
      </c>
      <c r="E3826" t="inlineStr">
        <is>
          <t>LJUNGBY</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9334-2025</t>
        </is>
      </c>
      <c r="B3827" s="1" t="n">
        <v>45714.80385416667</v>
      </c>
      <c r="C3827" s="1" t="n">
        <v>46103</v>
      </c>
      <c r="D3827" t="inlineStr">
        <is>
          <t>KRONOBERGS LÄN</t>
        </is>
      </c>
      <c r="E3827" t="inlineStr">
        <is>
          <t>LJUNGBY</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33393-2023</t>
        </is>
      </c>
      <c r="B3828" s="1" t="n">
        <v>45128</v>
      </c>
      <c r="C3828" s="1" t="n">
        <v>46103</v>
      </c>
      <c r="D3828" t="inlineStr">
        <is>
          <t>KRONOBERGS LÄN</t>
        </is>
      </c>
      <c r="E3828" t="inlineStr">
        <is>
          <t>VÄXJÖ</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13928-2026</t>
        </is>
      </c>
      <c r="B3829" s="1" t="n">
        <v>46098.49912037037</v>
      </c>
      <c r="C3829" s="1" t="n">
        <v>46103</v>
      </c>
      <c r="D3829" t="inlineStr">
        <is>
          <t>KRONOBERGS LÄN</t>
        </is>
      </c>
      <c r="E3829" t="inlineStr">
        <is>
          <t>TINGSRYD</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6512-2026</t>
        </is>
      </c>
      <c r="B3830" s="1" t="n">
        <v>46056.39016203704</v>
      </c>
      <c r="C3830" s="1" t="n">
        <v>46103</v>
      </c>
      <c r="D3830" t="inlineStr">
        <is>
          <t>KRONOBERGS LÄN</t>
        </is>
      </c>
      <c r="E3830" t="inlineStr">
        <is>
          <t>TINGSRYD</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67204-2021</t>
        </is>
      </c>
      <c r="B3831" s="1" t="n">
        <v>44523.46746527778</v>
      </c>
      <c r="C3831" s="1" t="n">
        <v>46103</v>
      </c>
      <c r="D3831" t="inlineStr">
        <is>
          <t>KRONOBERGS LÄN</t>
        </is>
      </c>
      <c r="E3831" t="inlineStr">
        <is>
          <t>LJUNGBY</t>
        </is>
      </c>
      <c r="G3831" t="n">
        <v>5</v>
      </c>
      <c r="H3831" t="n">
        <v>0</v>
      </c>
      <c r="I3831" t="n">
        <v>0</v>
      </c>
      <c r="J3831" t="n">
        <v>0</v>
      </c>
      <c r="K3831" t="n">
        <v>0</v>
      </c>
      <c r="L3831" t="n">
        <v>0</v>
      </c>
      <c r="M3831" t="n">
        <v>0</v>
      </c>
      <c r="N3831" t="n">
        <v>0</v>
      </c>
      <c r="O3831" t="n">
        <v>0</v>
      </c>
      <c r="P3831" t="n">
        <v>0</v>
      </c>
      <c r="Q3831" t="n">
        <v>0</v>
      </c>
      <c r="R3831" s="2" t="inlineStr"/>
    </row>
    <row r="3832" ht="15" customHeight="1">
      <c r="A3832" t="inlineStr">
        <is>
          <t>A 39835-2023</t>
        </is>
      </c>
      <c r="B3832" s="1" t="n">
        <v>45168.33265046297</v>
      </c>
      <c r="C3832" s="1" t="n">
        <v>46103</v>
      </c>
      <c r="D3832" t="inlineStr">
        <is>
          <t>KRONOBERGS LÄN</t>
        </is>
      </c>
      <c r="E3832" t="inlineStr">
        <is>
          <t>LJUNGBY</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13811-2026</t>
        </is>
      </c>
      <c r="B3833" s="1" t="n">
        <v>46098.29684027778</v>
      </c>
      <c r="C3833" s="1" t="n">
        <v>46103</v>
      </c>
      <c r="D3833" t="inlineStr">
        <is>
          <t>KRONOBERGS LÄN</t>
        </is>
      </c>
      <c r="E3833" t="inlineStr">
        <is>
          <t>ALVESTA</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60411-2023</t>
        </is>
      </c>
      <c r="B3834" s="1" t="n">
        <v>45259</v>
      </c>
      <c r="C3834" s="1" t="n">
        <v>46103</v>
      </c>
      <c r="D3834" t="inlineStr">
        <is>
          <t>KRONOBERGS LÄN</t>
        </is>
      </c>
      <c r="E3834" t="inlineStr">
        <is>
          <t>VÄXJÖ</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52363-2023</t>
        </is>
      </c>
      <c r="B3835" s="1" t="n">
        <v>45224.70244212963</v>
      </c>
      <c r="C3835" s="1" t="n">
        <v>46103</v>
      </c>
      <c r="D3835" t="inlineStr">
        <is>
          <t>KRONOBERGS LÄN</t>
        </is>
      </c>
      <c r="E3835" t="inlineStr">
        <is>
          <t>LJUNGBY</t>
        </is>
      </c>
      <c r="G3835" t="n">
        <v>0.3</v>
      </c>
      <c r="H3835" t="n">
        <v>0</v>
      </c>
      <c r="I3835" t="n">
        <v>0</v>
      </c>
      <c r="J3835" t="n">
        <v>0</v>
      </c>
      <c r="K3835" t="n">
        <v>0</v>
      </c>
      <c r="L3835" t="n">
        <v>0</v>
      </c>
      <c r="M3835" t="n">
        <v>0</v>
      </c>
      <c r="N3835" t="n">
        <v>0</v>
      </c>
      <c r="O3835" t="n">
        <v>0</v>
      </c>
      <c r="P3835" t="n">
        <v>0</v>
      </c>
      <c r="Q3835" t="n">
        <v>0</v>
      </c>
      <c r="R3835" s="2" t="inlineStr"/>
    </row>
    <row r="3836" ht="15" customHeight="1">
      <c r="A3836" t="inlineStr">
        <is>
          <t>A 27626-2023</t>
        </is>
      </c>
      <c r="B3836" s="1" t="n">
        <v>45097</v>
      </c>
      <c r="C3836" s="1" t="n">
        <v>46103</v>
      </c>
      <c r="D3836" t="inlineStr">
        <is>
          <t>KRONOBERGS LÄN</t>
        </is>
      </c>
      <c r="E3836" t="inlineStr">
        <is>
          <t>LJUNGBY</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61311-2025</t>
        </is>
      </c>
      <c r="B3837" s="1" t="n">
        <v>46000</v>
      </c>
      <c r="C3837" s="1" t="n">
        <v>46103</v>
      </c>
      <c r="D3837" t="inlineStr">
        <is>
          <t>KRONOBERGS LÄN</t>
        </is>
      </c>
      <c r="E3837" t="inlineStr">
        <is>
          <t>TINGSRYD</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40059-2021</t>
        </is>
      </c>
      <c r="B3838" s="1" t="n">
        <v>44418</v>
      </c>
      <c r="C3838" s="1" t="n">
        <v>46103</v>
      </c>
      <c r="D3838" t="inlineStr">
        <is>
          <t>KRONOBERGS LÄN</t>
        </is>
      </c>
      <c r="E3838" t="inlineStr">
        <is>
          <t>MARKARYD</t>
        </is>
      </c>
      <c r="F3838" t="inlineStr">
        <is>
          <t>Kommuner</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2107-2024</t>
        </is>
      </c>
      <c r="B3839" s="1" t="n">
        <v>45309.47016203704</v>
      </c>
      <c r="C3839" s="1" t="n">
        <v>46103</v>
      </c>
      <c r="D3839" t="inlineStr">
        <is>
          <t>KRONOBERGS LÄN</t>
        </is>
      </c>
      <c r="E3839" t="inlineStr">
        <is>
          <t>VÄXJÖ</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2115-2024</t>
        </is>
      </c>
      <c r="B3840" s="1" t="n">
        <v>45309.48903935185</v>
      </c>
      <c r="C3840" s="1" t="n">
        <v>46103</v>
      </c>
      <c r="D3840" t="inlineStr">
        <is>
          <t>KRONOBERGS LÄN</t>
        </is>
      </c>
      <c r="E3840" t="inlineStr">
        <is>
          <t>VÄXJÖ</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6950-2026</t>
        </is>
      </c>
      <c r="B3841" s="1" t="n">
        <v>46057.57069444445</v>
      </c>
      <c r="C3841" s="1" t="n">
        <v>46103</v>
      </c>
      <c r="D3841" t="inlineStr">
        <is>
          <t>KRONOBERGS LÄN</t>
        </is>
      </c>
      <c r="E3841" t="inlineStr">
        <is>
          <t>VÄXJÖ</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33817-2022</t>
        </is>
      </c>
      <c r="B3842" s="1" t="n">
        <v>44790</v>
      </c>
      <c r="C3842" s="1" t="n">
        <v>46103</v>
      </c>
      <c r="D3842" t="inlineStr">
        <is>
          <t>KRONOBERGS LÄN</t>
        </is>
      </c>
      <c r="E3842" t="inlineStr">
        <is>
          <t>TINGSRYD</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29923-2024</t>
        </is>
      </c>
      <c r="B3843" s="1" t="n">
        <v>45488.29020833333</v>
      </c>
      <c r="C3843" s="1" t="n">
        <v>46103</v>
      </c>
      <c r="D3843" t="inlineStr">
        <is>
          <t>KRONOBERGS LÄN</t>
        </is>
      </c>
      <c r="E3843" t="inlineStr">
        <is>
          <t>VÄXJÖ</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1894-2025</t>
        </is>
      </c>
      <c r="B3844" s="1" t="n">
        <v>45671.63806712963</v>
      </c>
      <c r="C3844" s="1" t="n">
        <v>46103</v>
      </c>
      <c r="D3844" t="inlineStr">
        <is>
          <t>KRONOBERGS LÄN</t>
        </is>
      </c>
      <c r="E3844" t="inlineStr">
        <is>
          <t>LESSEBO</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1897-2025</t>
        </is>
      </c>
      <c r="B3845" s="1" t="n">
        <v>45671.64002314815</v>
      </c>
      <c r="C3845" s="1" t="n">
        <v>46103</v>
      </c>
      <c r="D3845" t="inlineStr">
        <is>
          <t>KRONOBERGS LÄN</t>
        </is>
      </c>
      <c r="E3845" t="inlineStr">
        <is>
          <t>LESSEBO</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1384-2022</t>
        </is>
      </c>
      <c r="B3846" s="1" t="n">
        <v>44573</v>
      </c>
      <c r="C3846" s="1" t="n">
        <v>46103</v>
      </c>
      <c r="D3846" t="inlineStr">
        <is>
          <t>KRONOBERGS LÄN</t>
        </is>
      </c>
      <c r="E3846" t="inlineStr">
        <is>
          <t>LJUNGBY</t>
        </is>
      </c>
      <c r="F3846" t="inlineStr">
        <is>
          <t>Kommuner</t>
        </is>
      </c>
      <c r="G3846" t="n">
        <v>5.1</v>
      </c>
      <c r="H3846" t="n">
        <v>0</v>
      </c>
      <c r="I3846" t="n">
        <v>0</v>
      </c>
      <c r="J3846" t="n">
        <v>0</v>
      </c>
      <c r="K3846" t="n">
        <v>0</v>
      </c>
      <c r="L3846" t="n">
        <v>0</v>
      </c>
      <c r="M3846" t="n">
        <v>0</v>
      </c>
      <c r="N3846" t="n">
        <v>0</v>
      </c>
      <c r="O3846" t="n">
        <v>0</v>
      </c>
      <c r="P3846" t="n">
        <v>0</v>
      </c>
      <c r="Q3846" t="n">
        <v>0</v>
      </c>
      <c r="R3846" s="2" t="inlineStr"/>
    </row>
    <row r="3847" ht="15" customHeight="1">
      <c r="A3847" t="inlineStr">
        <is>
          <t>A 14427-2023</t>
        </is>
      </c>
      <c r="B3847" s="1" t="n">
        <v>45009</v>
      </c>
      <c r="C3847" s="1" t="n">
        <v>46103</v>
      </c>
      <c r="D3847" t="inlineStr">
        <is>
          <t>KRONOBERGS LÄN</t>
        </is>
      </c>
      <c r="E3847" t="inlineStr">
        <is>
          <t>VÄXJÖ</t>
        </is>
      </c>
      <c r="F3847" t="inlineStr">
        <is>
          <t>Kyrkan</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7010-2026</t>
        </is>
      </c>
      <c r="B3848" s="1" t="n">
        <v>46057.64059027778</v>
      </c>
      <c r="C3848" s="1" t="n">
        <v>46103</v>
      </c>
      <c r="D3848" t="inlineStr">
        <is>
          <t>KRONOBERGS LÄN</t>
        </is>
      </c>
      <c r="E3848" t="inlineStr">
        <is>
          <t>LJUNGBY</t>
        </is>
      </c>
      <c r="G3848" t="n">
        <v>4.5</v>
      </c>
      <c r="H3848" t="n">
        <v>0</v>
      </c>
      <c r="I3848" t="n">
        <v>0</v>
      </c>
      <c r="J3848" t="n">
        <v>0</v>
      </c>
      <c r="K3848" t="n">
        <v>0</v>
      </c>
      <c r="L3848" t="n">
        <v>0</v>
      </c>
      <c r="M3848" t="n">
        <v>0</v>
      </c>
      <c r="N3848" t="n">
        <v>0</v>
      </c>
      <c r="O3848" t="n">
        <v>0</v>
      </c>
      <c r="P3848" t="n">
        <v>0</v>
      </c>
      <c r="Q3848" t="n">
        <v>0</v>
      </c>
      <c r="R3848" s="2" t="inlineStr"/>
    </row>
    <row r="3849" ht="15" customHeight="1">
      <c r="A3849" t="inlineStr">
        <is>
          <t>A 13175-2026</t>
        </is>
      </c>
      <c r="B3849" s="1" t="n">
        <v>46093.58336805556</v>
      </c>
      <c r="C3849" s="1" t="n">
        <v>46103</v>
      </c>
      <c r="D3849" t="inlineStr">
        <is>
          <t>KRONOBERGS LÄN</t>
        </is>
      </c>
      <c r="E3849" t="inlineStr">
        <is>
          <t>UPPVIDINGE</t>
        </is>
      </c>
      <c r="F3849" t="inlineStr">
        <is>
          <t>Sveaskog</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25439-2024</t>
        </is>
      </c>
      <c r="B3850" s="1" t="n">
        <v>45463.39309027778</v>
      </c>
      <c r="C3850" s="1" t="n">
        <v>46103</v>
      </c>
      <c r="D3850" t="inlineStr">
        <is>
          <t>KRONOBERGS LÄN</t>
        </is>
      </c>
      <c r="E3850" t="inlineStr">
        <is>
          <t>LJUNGBY</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51521-2024</t>
        </is>
      </c>
      <c r="B3851" s="1" t="n">
        <v>45604.5687962963</v>
      </c>
      <c r="C3851" s="1" t="n">
        <v>46103</v>
      </c>
      <c r="D3851" t="inlineStr">
        <is>
          <t>KRONOBERGS LÄN</t>
        </is>
      </c>
      <c r="E3851" t="inlineStr">
        <is>
          <t>UPPVIDINGE</t>
        </is>
      </c>
      <c r="F3851" t="inlineStr">
        <is>
          <t>Sveaskog</t>
        </is>
      </c>
      <c r="G3851" t="n">
        <v>3.7</v>
      </c>
      <c r="H3851" t="n">
        <v>0</v>
      </c>
      <c r="I3851" t="n">
        <v>0</v>
      </c>
      <c r="J3851" t="n">
        <v>0</v>
      </c>
      <c r="K3851" t="n">
        <v>0</v>
      </c>
      <c r="L3851" t="n">
        <v>0</v>
      </c>
      <c r="M3851" t="n">
        <v>0</v>
      </c>
      <c r="N3851" t="n">
        <v>0</v>
      </c>
      <c r="O3851" t="n">
        <v>0</v>
      </c>
      <c r="P3851" t="n">
        <v>0</v>
      </c>
      <c r="Q3851" t="n">
        <v>0</v>
      </c>
      <c r="R3851" s="2" t="inlineStr"/>
    </row>
    <row r="3852" ht="15" customHeight="1">
      <c r="A3852" t="inlineStr">
        <is>
          <t>A 33002-2022</t>
        </is>
      </c>
      <c r="B3852" s="1" t="n">
        <v>44784</v>
      </c>
      <c r="C3852" s="1" t="n">
        <v>46103</v>
      </c>
      <c r="D3852" t="inlineStr">
        <is>
          <t>KRONOBERGS LÄN</t>
        </is>
      </c>
      <c r="E3852" t="inlineStr">
        <is>
          <t>ÄLMHULT</t>
        </is>
      </c>
      <c r="F3852" t="inlineStr">
        <is>
          <t>Kyrkan</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62223-2023</t>
        </is>
      </c>
      <c r="B3853" s="1" t="n">
        <v>45267.54905092593</v>
      </c>
      <c r="C3853" s="1" t="n">
        <v>46103</v>
      </c>
      <c r="D3853" t="inlineStr">
        <is>
          <t>KRONOBERGS LÄN</t>
        </is>
      </c>
      <c r="E3853" t="inlineStr">
        <is>
          <t>TINGSRYD</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53539-2024</t>
        </is>
      </c>
      <c r="B3854" s="1" t="n">
        <v>45614.63012731481</v>
      </c>
      <c r="C3854" s="1" t="n">
        <v>46103</v>
      </c>
      <c r="D3854" t="inlineStr">
        <is>
          <t>KRONOBERGS LÄN</t>
        </is>
      </c>
      <c r="E3854" t="inlineStr">
        <is>
          <t>LJUNGBY</t>
        </is>
      </c>
      <c r="F3854" t="inlineStr">
        <is>
          <t>Sveaskog</t>
        </is>
      </c>
      <c r="G3854" t="n">
        <v>5.1</v>
      </c>
      <c r="H3854" t="n">
        <v>0</v>
      </c>
      <c r="I3854" t="n">
        <v>0</v>
      </c>
      <c r="J3854" t="n">
        <v>0</v>
      </c>
      <c r="K3854" t="n">
        <v>0</v>
      </c>
      <c r="L3854" t="n">
        <v>0</v>
      </c>
      <c r="M3854" t="n">
        <v>0</v>
      </c>
      <c r="N3854" t="n">
        <v>0</v>
      </c>
      <c r="O3854" t="n">
        <v>0</v>
      </c>
      <c r="P3854" t="n">
        <v>0</v>
      </c>
      <c r="Q3854" t="n">
        <v>0</v>
      </c>
      <c r="R3854" s="2" t="inlineStr"/>
    </row>
    <row r="3855" ht="15" customHeight="1">
      <c r="A3855" t="inlineStr">
        <is>
          <t>A 54094-2022</t>
        </is>
      </c>
      <c r="B3855" s="1" t="n">
        <v>44881.54231481482</v>
      </c>
      <c r="C3855" s="1" t="n">
        <v>46103</v>
      </c>
      <c r="D3855" t="inlineStr">
        <is>
          <t>KRONOBERGS LÄN</t>
        </is>
      </c>
      <c r="E3855" t="inlineStr">
        <is>
          <t>UPPVIDINGE</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53214-2024</t>
        </is>
      </c>
      <c r="B3856" s="1" t="n">
        <v>45612.66797453703</v>
      </c>
      <c r="C3856" s="1" t="n">
        <v>46103</v>
      </c>
      <c r="D3856" t="inlineStr">
        <is>
          <t>KRONOBERGS LÄN</t>
        </is>
      </c>
      <c r="E3856" t="inlineStr">
        <is>
          <t>ÄLMHULT</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62235-2023</t>
        </is>
      </c>
      <c r="B3857" s="1" t="n">
        <v>45267.59138888889</v>
      </c>
      <c r="C3857" s="1" t="n">
        <v>46103</v>
      </c>
      <c r="D3857" t="inlineStr">
        <is>
          <t>KRONOBERGS LÄN</t>
        </is>
      </c>
      <c r="E3857" t="inlineStr">
        <is>
          <t>ALVESTA</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6513-2026</t>
        </is>
      </c>
      <c r="B3858" s="1" t="n">
        <v>46056.39130787037</v>
      </c>
      <c r="C3858" s="1" t="n">
        <v>46103</v>
      </c>
      <c r="D3858" t="inlineStr">
        <is>
          <t>KRONOBERGS LÄN</t>
        </is>
      </c>
      <c r="E3858" t="inlineStr">
        <is>
          <t>TINGSRYD</t>
        </is>
      </c>
      <c r="G3858" t="n">
        <v>4.6</v>
      </c>
      <c r="H3858" t="n">
        <v>0</v>
      </c>
      <c r="I3858" t="n">
        <v>0</v>
      </c>
      <c r="J3858" t="n">
        <v>0</v>
      </c>
      <c r="K3858" t="n">
        <v>0</v>
      </c>
      <c r="L3858" t="n">
        <v>0</v>
      </c>
      <c r="M3858" t="n">
        <v>0</v>
      </c>
      <c r="N3858" t="n">
        <v>0</v>
      </c>
      <c r="O3858" t="n">
        <v>0</v>
      </c>
      <c r="P3858" t="n">
        <v>0</v>
      </c>
      <c r="Q3858" t="n">
        <v>0</v>
      </c>
      <c r="R3858" s="2" t="inlineStr"/>
    </row>
    <row r="3859" ht="15" customHeight="1">
      <c r="A3859" t="inlineStr">
        <is>
          <t>A 8411-2025</t>
        </is>
      </c>
      <c r="B3859" s="1" t="n">
        <v>45709.39251157407</v>
      </c>
      <c r="C3859" s="1" t="n">
        <v>46103</v>
      </c>
      <c r="D3859" t="inlineStr">
        <is>
          <t>KRONOBERGS LÄN</t>
        </is>
      </c>
      <c r="E3859" t="inlineStr">
        <is>
          <t>UPPVIDINGE</t>
        </is>
      </c>
      <c r="F3859" t="inlineStr">
        <is>
          <t>Sveaskog</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7046-2026</t>
        </is>
      </c>
      <c r="B3860" s="1" t="n">
        <v>46057.71226851852</v>
      </c>
      <c r="C3860" s="1" t="n">
        <v>46103</v>
      </c>
      <c r="D3860" t="inlineStr">
        <is>
          <t>KRONOBERGS LÄN</t>
        </is>
      </c>
      <c r="E3860" t="inlineStr">
        <is>
          <t>UPPVIDINGE</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13892-2026</t>
        </is>
      </c>
      <c r="B3861" s="1" t="n">
        <v>46098.46090277778</v>
      </c>
      <c r="C3861" s="1" t="n">
        <v>46103</v>
      </c>
      <c r="D3861" t="inlineStr">
        <is>
          <t>KRONOBERGS LÄN</t>
        </is>
      </c>
      <c r="E3861" t="inlineStr">
        <is>
          <t>LJUNGBY</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4362-2025</t>
        </is>
      </c>
      <c r="B3862" s="1" t="n">
        <v>45686.33597222222</v>
      </c>
      <c r="C3862" s="1" t="n">
        <v>46103</v>
      </c>
      <c r="D3862" t="inlineStr">
        <is>
          <t>KRONOBERGS LÄN</t>
        </is>
      </c>
      <c r="E3862" t="inlineStr">
        <is>
          <t>VÄXJÖ</t>
        </is>
      </c>
      <c r="G3862" t="n">
        <v>5.7</v>
      </c>
      <c r="H3862" t="n">
        <v>0</v>
      </c>
      <c r="I3862" t="n">
        <v>0</v>
      </c>
      <c r="J3862" t="n">
        <v>0</v>
      </c>
      <c r="K3862" t="n">
        <v>0</v>
      </c>
      <c r="L3862" t="n">
        <v>0</v>
      </c>
      <c r="M3862" t="n">
        <v>0</v>
      </c>
      <c r="N3862" t="n">
        <v>0</v>
      </c>
      <c r="O3862" t="n">
        <v>0</v>
      </c>
      <c r="P3862" t="n">
        <v>0</v>
      </c>
      <c r="Q3862" t="n">
        <v>0</v>
      </c>
      <c r="R3862" s="2" t="inlineStr"/>
    </row>
    <row r="3863" ht="15" customHeight="1">
      <c r="A3863" t="inlineStr">
        <is>
          <t>A 13810-2026</t>
        </is>
      </c>
      <c r="B3863" s="1" t="n">
        <v>46098.29543981481</v>
      </c>
      <c r="C3863" s="1" t="n">
        <v>46103</v>
      </c>
      <c r="D3863" t="inlineStr">
        <is>
          <t>KRONOBERGS LÄN</t>
        </is>
      </c>
      <c r="E3863" t="inlineStr">
        <is>
          <t>ALVESTA</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37624-2023</t>
        </is>
      </c>
      <c r="B3864" s="1" t="n">
        <v>45159.45591435185</v>
      </c>
      <c r="C3864" s="1" t="n">
        <v>46103</v>
      </c>
      <c r="D3864" t="inlineStr">
        <is>
          <t>KRONOBERGS LÄN</t>
        </is>
      </c>
      <c r="E3864" t="inlineStr">
        <is>
          <t>ALVESTA</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11594-2024</t>
        </is>
      </c>
      <c r="B3865" s="1" t="n">
        <v>45373.37761574074</v>
      </c>
      <c r="C3865" s="1" t="n">
        <v>46103</v>
      </c>
      <c r="D3865" t="inlineStr">
        <is>
          <t>KRONOBERGS LÄN</t>
        </is>
      </c>
      <c r="E3865" t="inlineStr">
        <is>
          <t>ÄLMHULT</t>
        </is>
      </c>
      <c r="F3865" t="inlineStr">
        <is>
          <t>Sveaskog</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11597-2024</t>
        </is>
      </c>
      <c r="B3866" s="1" t="n">
        <v>45373.38342592592</v>
      </c>
      <c r="C3866" s="1" t="n">
        <v>46103</v>
      </c>
      <c r="D3866" t="inlineStr">
        <is>
          <t>KRONOBERGS LÄN</t>
        </is>
      </c>
      <c r="E3866" t="inlineStr">
        <is>
          <t>ÄLMHULT</t>
        </is>
      </c>
      <c r="F3866" t="inlineStr">
        <is>
          <t>Sveaskog</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51175-2023</t>
        </is>
      </c>
      <c r="B3867" s="1" t="n">
        <v>45219.38962962963</v>
      </c>
      <c r="C3867" s="1" t="n">
        <v>46103</v>
      </c>
      <c r="D3867" t="inlineStr">
        <is>
          <t>KRONOBERGS LÄN</t>
        </is>
      </c>
      <c r="E3867" t="inlineStr">
        <is>
          <t>LESSEBO</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61194-2023</t>
        </is>
      </c>
      <c r="B3868" s="1" t="n">
        <v>45264</v>
      </c>
      <c r="C3868" s="1" t="n">
        <v>46103</v>
      </c>
      <c r="D3868" t="inlineStr">
        <is>
          <t>KRONOBERGS LÄN</t>
        </is>
      </c>
      <c r="E3868" t="inlineStr">
        <is>
          <t>TINGSRYD</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6580-2026</t>
        </is>
      </c>
      <c r="B3869" s="1" t="n">
        <v>46056.45358796296</v>
      </c>
      <c r="C3869" s="1" t="n">
        <v>46103</v>
      </c>
      <c r="D3869" t="inlineStr">
        <is>
          <t>KRONOBERGS LÄN</t>
        </is>
      </c>
      <c r="E3869" t="inlineStr">
        <is>
          <t>VÄXJÖ</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28570-2023</t>
        </is>
      </c>
      <c r="B3870" s="1" t="n">
        <v>45103</v>
      </c>
      <c r="C3870" s="1" t="n">
        <v>46103</v>
      </c>
      <c r="D3870" t="inlineStr">
        <is>
          <t>KRONOBERGS LÄN</t>
        </is>
      </c>
      <c r="E3870" t="inlineStr">
        <is>
          <t>VÄXJÖ</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8415-2025</t>
        </is>
      </c>
      <c r="B3871" s="1" t="n">
        <v>45709.39515046297</v>
      </c>
      <c r="C3871" s="1" t="n">
        <v>46103</v>
      </c>
      <c r="D3871" t="inlineStr">
        <is>
          <t>KRONOBERGS LÄN</t>
        </is>
      </c>
      <c r="E3871" t="inlineStr">
        <is>
          <t>UPPVIDINGE</t>
        </is>
      </c>
      <c r="F3871" t="inlineStr">
        <is>
          <t>Sveaskog</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55652-2022</t>
        </is>
      </c>
      <c r="B3872" s="1" t="n">
        <v>44888.47229166667</v>
      </c>
      <c r="C3872" s="1" t="n">
        <v>46103</v>
      </c>
      <c r="D3872" t="inlineStr">
        <is>
          <t>KRONOBERGS LÄN</t>
        </is>
      </c>
      <c r="E3872" t="inlineStr">
        <is>
          <t>TINGSRYD</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27115-2023</t>
        </is>
      </c>
      <c r="B3873" s="1" t="n">
        <v>45093</v>
      </c>
      <c r="C3873" s="1" t="n">
        <v>46103</v>
      </c>
      <c r="D3873" t="inlineStr">
        <is>
          <t>KRONOBERGS LÄN</t>
        </is>
      </c>
      <c r="E3873" t="inlineStr">
        <is>
          <t>TINGSRYD</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8418-2025</t>
        </is>
      </c>
      <c r="B3874" s="1" t="n">
        <v>45709.40043981482</v>
      </c>
      <c r="C3874" s="1" t="n">
        <v>46103</v>
      </c>
      <c r="D3874" t="inlineStr">
        <is>
          <t>KRONOBERGS LÄN</t>
        </is>
      </c>
      <c r="E3874" t="inlineStr">
        <is>
          <t>UPPVIDINGE</t>
        </is>
      </c>
      <c r="F3874" t="inlineStr">
        <is>
          <t>Sveaskog</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11980-2025</t>
        </is>
      </c>
      <c r="B3875" s="1" t="n">
        <v>45728</v>
      </c>
      <c r="C3875" s="1" t="n">
        <v>46103</v>
      </c>
      <c r="D3875" t="inlineStr">
        <is>
          <t>KRONOBERGS LÄN</t>
        </is>
      </c>
      <c r="E3875" t="inlineStr">
        <is>
          <t>UPPVIDINGE</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6948-2026</t>
        </is>
      </c>
      <c r="B3876" s="1" t="n">
        <v>46057.56871527778</v>
      </c>
      <c r="C3876" s="1" t="n">
        <v>46103</v>
      </c>
      <c r="D3876" t="inlineStr">
        <is>
          <t>KRONOBERGS LÄN</t>
        </is>
      </c>
      <c r="E3876" t="inlineStr">
        <is>
          <t>VÄXJÖ</t>
        </is>
      </c>
      <c r="G3876" t="n">
        <v>5</v>
      </c>
      <c r="H3876" t="n">
        <v>0</v>
      </c>
      <c r="I3876" t="n">
        <v>0</v>
      </c>
      <c r="J3876" t="n">
        <v>0</v>
      </c>
      <c r="K3876" t="n">
        <v>0</v>
      </c>
      <c r="L3876" t="n">
        <v>0</v>
      </c>
      <c r="M3876" t="n">
        <v>0</v>
      </c>
      <c r="N3876" t="n">
        <v>0</v>
      </c>
      <c r="O3876" t="n">
        <v>0</v>
      </c>
      <c r="P3876" t="n">
        <v>0</v>
      </c>
      <c r="Q3876" t="n">
        <v>0</v>
      </c>
      <c r="R3876" s="2" t="inlineStr"/>
    </row>
    <row r="3877" ht="15" customHeight="1">
      <c r="A3877" t="inlineStr">
        <is>
          <t>A 5003-2024</t>
        </is>
      </c>
      <c r="B3877" s="1" t="n">
        <v>45329</v>
      </c>
      <c r="C3877" s="1" t="n">
        <v>46103</v>
      </c>
      <c r="D3877" t="inlineStr">
        <is>
          <t>KRONOBERGS LÄN</t>
        </is>
      </c>
      <c r="E3877" t="inlineStr">
        <is>
          <t>VÄXJÖ</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53260-2023</t>
        </is>
      </c>
      <c r="B3878" s="1" t="n">
        <v>45229.53780092593</v>
      </c>
      <c r="C3878" s="1" t="n">
        <v>46103</v>
      </c>
      <c r="D3878" t="inlineStr">
        <is>
          <t>KRONOBERGS LÄN</t>
        </is>
      </c>
      <c r="E3878" t="inlineStr">
        <is>
          <t>UPPVIDINGE</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6583-2026</t>
        </is>
      </c>
      <c r="B3879" s="1" t="n">
        <v>46056.45521990741</v>
      </c>
      <c r="C3879" s="1" t="n">
        <v>46103</v>
      </c>
      <c r="D3879" t="inlineStr">
        <is>
          <t>KRONOBERGS LÄN</t>
        </is>
      </c>
      <c r="E3879" t="inlineStr">
        <is>
          <t>VÄXJÖ</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27846-2025</t>
        </is>
      </c>
      <c r="B3880" s="1" t="n">
        <v>45817.39133101852</v>
      </c>
      <c r="C3880" s="1" t="n">
        <v>46103</v>
      </c>
      <c r="D3880" t="inlineStr">
        <is>
          <t>KRONOBERGS LÄN</t>
        </is>
      </c>
      <c r="E3880" t="inlineStr">
        <is>
          <t>LJUNGBY</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11422-2026</t>
        </is>
      </c>
      <c r="B3881" s="1" t="n">
        <v>46083</v>
      </c>
      <c r="C3881" s="1" t="n">
        <v>46103</v>
      </c>
      <c r="D3881" t="inlineStr">
        <is>
          <t>KRONOBERGS LÄN</t>
        </is>
      </c>
      <c r="E3881" t="inlineStr">
        <is>
          <t>VÄXJÖ</t>
        </is>
      </c>
      <c r="G3881" t="n">
        <v>4.5</v>
      </c>
      <c r="H3881" t="n">
        <v>0</v>
      </c>
      <c r="I3881" t="n">
        <v>0</v>
      </c>
      <c r="J3881" t="n">
        <v>0</v>
      </c>
      <c r="K3881" t="n">
        <v>0</v>
      </c>
      <c r="L3881" t="n">
        <v>0</v>
      </c>
      <c r="M3881" t="n">
        <v>0</v>
      </c>
      <c r="N3881" t="n">
        <v>0</v>
      </c>
      <c r="O3881" t="n">
        <v>0</v>
      </c>
      <c r="P3881" t="n">
        <v>0</v>
      </c>
      <c r="Q3881" t="n">
        <v>0</v>
      </c>
      <c r="R3881" s="2" t="inlineStr"/>
    </row>
    <row r="3882" ht="15" customHeight="1">
      <c r="A3882" t="inlineStr">
        <is>
          <t>A 6942-2026</t>
        </is>
      </c>
      <c r="B3882" s="1" t="n">
        <v>46057.5653587963</v>
      </c>
      <c r="C3882" s="1" t="n">
        <v>46103</v>
      </c>
      <c r="D3882" t="inlineStr">
        <is>
          <t>KRONOBERGS LÄN</t>
        </is>
      </c>
      <c r="E3882" t="inlineStr">
        <is>
          <t>VÄXJÖ</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27942-2025</t>
        </is>
      </c>
      <c r="B3883" s="1" t="n">
        <v>45817.50908564815</v>
      </c>
      <c r="C3883" s="1" t="n">
        <v>46103</v>
      </c>
      <c r="D3883" t="inlineStr">
        <is>
          <t>KRONOBERGS LÄN</t>
        </is>
      </c>
      <c r="E3883" t="inlineStr">
        <is>
          <t>ÄLMHULT</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6606-2026</t>
        </is>
      </c>
      <c r="B3884" s="1" t="n">
        <v>46056.4805324074</v>
      </c>
      <c r="C3884" s="1" t="n">
        <v>46103</v>
      </c>
      <c r="D3884" t="inlineStr">
        <is>
          <t>KRONOBERGS LÄN</t>
        </is>
      </c>
      <c r="E3884" t="inlineStr">
        <is>
          <t>LJUNGBY</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28035-2025</t>
        </is>
      </c>
      <c r="B3885" s="1" t="n">
        <v>45817.63480324074</v>
      </c>
      <c r="C3885" s="1" t="n">
        <v>46103</v>
      </c>
      <c r="D3885" t="inlineStr">
        <is>
          <t>KRONOBERGS LÄN</t>
        </is>
      </c>
      <c r="E3885" t="inlineStr">
        <is>
          <t>ÄLMHULT</t>
        </is>
      </c>
      <c r="G3885" t="n">
        <v>6.2</v>
      </c>
      <c r="H3885" t="n">
        <v>0</v>
      </c>
      <c r="I3885" t="n">
        <v>0</v>
      </c>
      <c r="J3885" t="n">
        <v>0</v>
      </c>
      <c r="K3885" t="n">
        <v>0</v>
      </c>
      <c r="L3885" t="n">
        <v>0</v>
      </c>
      <c r="M3885" t="n">
        <v>0</v>
      </c>
      <c r="N3885" t="n">
        <v>0</v>
      </c>
      <c r="O3885" t="n">
        <v>0</v>
      </c>
      <c r="P3885" t="n">
        <v>0</v>
      </c>
      <c r="Q3885" t="n">
        <v>0</v>
      </c>
      <c r="R3885" s="2" t="inlineStr"/>
    </row>
    <row r="3886" ht="15" customHeight="1">
      <c r="A3886" t="inlineStr">
        <is>
          <t>A 4437-2025</t>
        </is>
      </c>
      <c r="B3886" s="1" t="n">
        <v>45686.51583333333</v>
      </c>
      <c r="C3886" s="1" t="n">
        <v>46103</v>
      </c>
      <c r="D3886" t="inlineStr">
        <is>
          <t>KRONOBERGS LÄN</t>
        </is>
      </c>
      <c r="E3886" t="inlineStr">
        <is>
          <t>LJUNGBY</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6597-2026</t>
        </is>
      </c>
      <c r="B3887" s="1" t="n">
        <v>46056.46550925926</v>
      </c>
      <c r="C3887" s="1" t="n">
        <v>46103</v>
      </c>
      <c r="D3887" t="inlineStr">
        <is>
          <t>KRONOBERGS LÄN</t>
        </is>
      </c>
      <c r="E3887" t="inlineStr">
        <is>
          <t>VÄXJÖ</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14139-2026</t>
        </is>
      </c>
      <c r="B3888" s="1" t="n">
        <v>46099.45767361111</v>
      </c>
      <c r="C3888" s="1" t="n">
        <v>46103</v>
      </c>
      <c r="D3888" t="inlineStr">
        <is>
          <t>KRONOBERGS LÄN</t>
        </is>
      </c>
      <c r="E3888" t="inlineStr">
        <is>
          <t>VÄXJÖ</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8416-2025</t>
        </is>
      </c>
      <c r="B3889" s="1" t="n">
        <v>45709.39714120371</v>
      </c>
      <c r="C3889" s="1" t="n">
        <v>46103</v>
      </c>
      <c r="D3889" t="inlineStr">
        <is>
          <t>KRONOBERGS LÄN</t>
        </is>
      </c>
      <c r="E3889" t="inlineStr">
        <is>
          <t>UPPVIDINGE</t>
        </is>
      </c>
      <c r="F3889" t="inlineStr">
        <is>
          <t>Sveaskog</t>
        </is>
      </c>
      <c r="G3889" t="n">
        <v>7.2</v>
      </c>
      <c r="H3889" t="n">
        <v>0</v>
      </c>
      <c r="I3889" t="n">
        <v>0</v>
      </c>
      <c r="J3889" t="n">
        <v>0</v>
      </c>
      <c r="K3889" t="n">
        <v>0</v>
      </c>
      <c r="L3889" t="n">
        <v>0</v>
      </c>
      <c r="M3889" t="n">
        <v>0</v>
      </c>
      <c r="N3889" t="n">
        <v>0</v>
      </c>
      <c r="O3889" t="n">
        <v>0</v>
      </c>
      <c r="P3889" t="n">
        <v>0</v>
      </c>
      <c r="Q3889" t="n">
        <v>0</v>
      </c>
      <c r="R3889" s="2" t="inlineStr"/>
    </row>
    <row r="3890" ht="15" customHeight="1">
      <c r="A3890" t="inlineStr">
        <is>
          <t>A 48236-2022</t>
        </is>
      </c>
      <c r="B3890" s="1" t="n">
        <v>44858</v>
      </c>
      <c r="C3890" s="1" t="n">
        <v>46103</v>
      </c>
      <c r="D3890" t="inlineStr">
        <is>
          <t>KRONOBERGS LÄN</t>
        </is>
      </c>
      <c r="E3890" t="inlineStr">
        <is>
          <t>VÄXJÖ</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27849-2025</t>
        </is>
      </c>
      <c r="B3891" s="1" t="n">
        <v>45817.39481481481</v>
      </c>
      <c r="C3891" s="1" t="n">
        <v>46103</v>
      </c>
      <c r="D3891" t="inlineStr">
        <is>
          <t>KRONOBERGS LÄN</t>
        </is>
      </c>
      <c r="E3891" t="inlineStr">
        <is>
          <t>LJUNGBY</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58859-2022</t>
        </is>
      </c>
      <c r="B3892" s="1" t="n">
        <v>44895</v>
      </c>
      <c r="C3892" s="1" t="n">
        <v>46103</v>
      </c>
      <c r="D3892" t="inlineStr">
        <is>
          <t>KRONOBERGS LÄN</t>
        </is>
      </c>
      <c r="E3892" t="inlineStr">
        <is>
          <t>TINGSRYD</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12746-2024</t>
        </is>
      </c>
      <c r="B3893" s="1" t="n">
        <v>45384.54230324074</v>
      </c>
      <c r="C3893" s="1" t="n">
        <v>46103</v>
      </c>
      <c r="D3893" t="inlineStr">
        <is>
          <t>KRONOBERGS LÄN</t>
        </is>
      </c>
      <c r="E3893" t="inlineStr">
        <is>
          <t>ÄLMHULT</t>
        </is>
      </c>
      <c r="F3893" t="inlineStr">
        <is>
          <t>Sveaskog</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59298-2023</t>
        </is>
      </c>
      <c r="B3894" s="1" t="n">
        <v>45253.58075231482</v>
      </c>
      <c r="C3894" s="1" t="n">
        <v>46103</v>
      </c>
      <c r="D3894" t="inlineStr">
        <is>
          <t>KRONOBERGS LÄN</t>
        </is>
      </c>
      <c r="E3894" t="inlineStr">
        <is>
          <t>VÄXJÖ</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27972-2025</t>
        </is>
      </c>
      <c r="B3895" s="1" t="n">
        <v>45817</v>
      </c>
      <c r="C3895" s="1" t="n">
        <v>46103</v>
      </c>
      <c r="D3895" t="inlineStr">
        <is>
          <t>KRONOBERGS LÄN</t>
        </is>
      </c>
      <c r="E3895" t="inlineStr">
        <is>
          <t>LJUNGBY</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24808-2023</t>
        </is>
      </c>
      <c r="B3896" s="1" t="n">
        <v>45084</v>
      </c>
      <c r="C3896" s="1" t="n">
        <v>46103</v>
      </c>
      <c r="D3896" t="inlineStr">
        <is>
          <t>KRONOBERGS LÄN</t>
        </is>
      </c>
      <c r="E3896" t="inlineStr">
        <is>
          <t>ÄLMHULT</t>
        </is>
      </c>
      <c r="G3896" t="n">
        <v>7.9</v>
      </c>
      <c r="H3896" t="n">
        <v>0</v>
      </c>
      <c r="I3896" t="n">
        <v>0</v>
      </c>
      <c r="J3896" t="n">
        <v>0</v>
      </c>
      <c r="K3896" t="n">
        <v>0</v>
      </c>
      <c r="L3896" t="n">
        <v>0</v>
      </c>
      <c r="M3896" t="n">
        <v>0</v>
      </c>
      <c r="N3896" t="n">
        <v>0</v>
      </c>
      <c r="O3896" t="n">
        <v>0</v>
      </c>
      <c r="P3896" t="n">
        <v>0</v>
      </c>
      <c r="Q3896" t="n">
        <v>0</v>
      </c>
      <c r="R3896" s="2" t="inlineStr"/>
    </row>
    <row r="3897" ht="15" customHeight="1">
      <c r="A3897" t="inlineStr">
        <is>
          <t>A 14582-2026</t>
        </is>
      </c>
      <c r="B3897" s="1" t="n">
        <v>46101.33832175926</v>
      </c>
      <c r="C3897" s="1" t="n">
        <v>46103</v>
      </c>
      <c r="D3897" t="inlineStr">
        <is>
          <t>KRONOBERGS LÄN</t>
        </is>
      </c>
      <c r="E3897" t="inlineStr">
        <is>
          <t>UPPVIDINGE</t>
        </is>
      </c>
      <c r="F3897" t="inlineStr">
        <is>
          <t>Sveaskog</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14370-2026</t>
        </is>
      </c>
      <c r="B3898" s="1" t="n">
        <v>46100.36679398148</v>
      </c>
      <c r="C3898" s="1" t="n">
        <v>46103</v>
      </c>
      <c r="D3898" t="inlineStr">
        <is>
          <t>KRONOBERGS LÄN</t>
        </is>
      </c>
      <c r="E3898" t="inlineStr">
        <is>
          <t>VÄXJÖ</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14349-2026</t>
        </is>
      </c>
      <c r="B3899" s="1" t="n">
        <v>46100.34387731482</v>
      </c>
      <c r="C3899" s="1" t="n">
        <v>46103</v>
      </c>
      <c r="D3899" t="inlineStr">
        <is>
          <t>KRONOBERGS LÄN</t>
        </is>
      </c>
      <c r="E3899" t="inlineStr">
        <is>
          <t>VÄXJÖ</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14280-2023</t>
        </is>
      </c>
      <c r="B3900" s="1" t="n">
        <v>45010.41703703703</v>
      </c>
      <c r="C3900" s="1" t="n">
        <v>46103</v>
      </c>
      <c r="D3900" t="inlineStr">
        <is>
          <t>KRONOBERGS LÄN</t>
        </is>
      </c>
      <c r="E3900" t="inlineStr">
        <is>
          <t>ÄLMHULT</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14376-2026</t>
        </is>
      </c>
      <c r="B3901" s="1" t="n">
        <v>46100.36998842593</v>
      </c>
      <c r="C3901" s="1" t="n">
        <v>46103</v>
      </c>
      <c r="D3901" t="inlineStr">
        <is>
          <t>KRONOBERGS LÄN</t>
        </is>
      </c>
      <c r="E3901" t="inlineStr">
        <is>
          <t>MARKARYD</t>
        </is>
      </c>
      <c r="G3901" t="n">
        <v>4.3</v>
      </c>
      <c r="H3901" t="n">
        <v>0</v>
      </c>
      <c r="I3901" t="n">
        <v>0</v>
      </c>
      <c r="J3901" t="n">
        <v>0</v>
      </c>
      <c r="K3901" t="n">
        <v>0</v>
      </c>
      <c r="L3901" t="n">
        <v>0</v>
      </c>
      <c r="M3901" t="n">
        <v>0</v>
      </c>
      <c r="N3901" t="n">
        <v>0</v>
      </c>
      <c r="O3901" t="n">
        <v>0</v>
      </c>
      <c r="P3901" t="n">
        <v>0</v>
      </c>
      <c r="Q3901" t="n">
        <v>0</v>
      </c>
      <c r="R3901" s="2" t="inlineStr"/>
    </row>
    <row r="3902" ht="15" customHeight="1">
      <c r="A3902" t="inlineStr">
        <is>
          <t>A 1461-2025</t>
        </is>
      </c>
      <c r="B3902" s="1" t="n">
        <v>45670.35832175926</v>
      </c>
      <c r="C3902" s="1" t="n">
        <v>46103</v>
      </c>
      <c r="D3902" t="inlineStr">
        <is>
          <t>KRONOBERGS LÄN</t>
        </is>
      </c>
      <c r="E3902" t="inlineStr">
        <is>
          <t>MARKARYD</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19056-2025</t>
        </is>
      </c>
      <c r="B3903" s="1" t="n">
        <v>45764</v>
      </c>
      <c r="C3903" s="1" t="n">
        <v>46103</v>
      </c>
      <c r="D3903" t="inlineStr">
        <is>
          <t>KRONOBERGS LÄN</t>
        </is>
      </c>
      <c r="E3903" t="inlineStr">
        <is>
          <t>UPPVIDINGE</t>
        </is>
      </c>
      <c r="F3903" t="inlineStr">
        <is>
          <t>Sveaskog</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38875-2022</t>
        </is>
      </c>
      <c r="B3904" s="1" t="n">
        <v>44816</v>
      </c>
      <c r="C3904" s="1" t="n">
        <v>46103</v>
      </c>
      <c r="D3904" t="inlineStr">
        <is>
          <t>KRONOBERGS LÄN</t>
        </is>
      </c>
      <c r="E3904" t="inlineStr">
        <is>
          <t>ALVESTA</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14743-2026</t>
        </is>
      </c>
      <c r="B3905" s="1" t="n">
        <v>46101</v>
      </c>
      <c r="C3905" s="1" t="n">
        <v>46103</v>
      </c>
      <c r="D3905" t="inlineStr">
        <is>
          <t>KRONOBERGS LÄN</t>
        </is>
      </c>
      <c r="E3905" t="inlineStr">
        <is>
          <t>TINGSRYD</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7382-2026</t>
        </is>
      </c>
      <c r="B3906" s="1" t="n">
        <v>46059.36255787037</v>
      </c>
      <c r="C3906" s="1" t="n">
        <v>46103</v>
      </c>
      <c r="D3906" t="inlineStr">
        <is>
          <t>KRONOBERGS LÄN</t>
        </is>
      </c>
      <c r="E3906" t="inlineStr">
        <is>
          <t>ÄLMHULT</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7140-2026</t>
        </is>
      </c>
      <c r="B3907" s="1" t="n">
        <v>46058.40996527778</v>
      </c>
      <c r="C3907" s="1" t="n">
        <v>46103</v>
      </c>
      <c r="D3907" t="inlineStr">
        <is>
          <t>KRONOBERGS LÄN</t>
        </is>
      </c>
      <c r="E3907" t="inlineStr">
        <is>
          <t>UPPVIDINGE</t>
        </is>
      </c>
      <c r="F3907" t="inlineStr">
        <is>
          <t>Sveaskog</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3140-2025</t>
        </is>
      </c>
      <c r="B3908" s="1" t="n">
        <v>45678.7609375</v>
      </c>
      <c r="C3908" s="1" t="n">
        <v>46103</v>
      </c>
      <c r="D3908" t="inlineStr">
        <is>
          <t>KRONOBERGS LÄN</t>
        </is>
      </c>
      <c r="E3908" t="inlineStr">
        <is>
          <t>MARKARYD</t>
        </is>
      </c>
      <c r="G3908" t="n">
        <v>9.4</v>
      </c>
      <c r="H3908" t="n">
        <v>0</v>
      </c>
      <c r="I3908" t="n">
        <v>0</v>
      </c>
      <c r="J3908" t="n">
        <v>0</v>
      </c>
      <c r="K3908" t="n">
        <v>0</v>
      </c>
      <c r="L3908" t="n">
        <v>0</v>
      </c>
      <c r="M3908" t="n">
        <v>0</v>
      </c>
      <c r="N3908" t="n">
        <v>0</v>
      </c>
      <c r="O3908" t="n">
        <v>0</v>
      </c>
      <c r="P3908" t="n">
        <v>0</v>
      </c>
      <c r="Q3908" t="n">
        <v>0</v>
      </c>
      <c r="R3908" s="2" t="inlineStr"/>
    </row>
    <row r="3909" ht="15" customHeight="1">
      <c r="A3909" t="inlineStr">
        <is>
          <t>A 3141-2025</t>
        </is>
      </c>
      <c r="B3909" s="1" t="n">
        <v>45678.76287037037</v>
      </c>
      <c r="C3909" s="1" t="n">
        <v>46103</v>
      </c>
      <c r="D3909" t="inlineStr">
        <is>
          <t>KRONOBERGS LÄN</t>
        </is>
      </c>
      <c r="E3909" t="inlineStr">
        <is>
          <t>MARKARYD</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3145-2025</t>
        </is>
      </c>
      <c r="B3910" s="1" t="n">
        <v>45678.77015046297</v>
      </c>
      <c r="C3910" s="1" t="n">
        <v>46103</v>
      </c>
      <c r="D3910" t="inlineStr">
        <is>
          <t>KRONOBERGS LÄN</t>
        </is>
      </c>
      <c r="E3910" t="inlineStr">
        <is>
          <t>MARKARYD</t>
        </is>
      </c>
      <c r="G3910" t="n">
        <v>3.4</v>
      </c>
      <c r="H3910" t="n">
        <v>0</v>
      </c>
      <c r="I3910" t="n">
        <v>0</v>
      </c>
      <c r="J3910" t="n">
        <v>0</v>
      </c>
      <c r="K3910" t="n">
        <v>0</v>
      </c>
      <c r="L3910" t="n">
        <v>0</v>
      </c>
      <c r="M3910" t="n">
        <v>0</v>
      </c>
      <c r="N3910" t="n">
        <v>0</v>
      </c>
      <c r="O3910" t="n">
        <v>0</v>
      </c>
      <c r="P3910" t="n">
        <v>0</v>
      </c>
      <c r="Q3910" t="n">
        <v>0</v>
      </c>
      <c r="R3910" s="2" t="inlineStr"/>
    </row>
    <row r="3911" ht="15" customHeight="1">
      <c r="A3911" t="inlineStr">
        <is>
          <t>A 3937-2025</t>
        </is>
      </c>
      <c r="B3911" s="1" t="n">
        <v>45684.46309027778</v>
      </c>
      <c r="C3911" s="1" t="n">
        <v>46103</v>
      </c>
      <c r="D3911" t="inlineStr">
        <is>
          <t>KRONOBERGS LÄN</t>
        </is>
      </c>
      <c r="E3911" t="inlineStr">
        <is>
          <t>ALVESTA</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52449-2023</t>
        </is>
      </c>
      <c r="B3912" s="1" t="n">
        <v>45225</v>
      </c>
      <c r="C3912" s="1" t="n">
        <v>46103</v>
      </c>
      <c r="D3912" t="inlineStr">
        <is>
          <t>KRONOBERGS LÄN</t>
        </is>
      </c>
      <c r="E3912" t="inlineStr">
        <is>
          <t>UPPVIDINGE</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40092-2022</t>
        </is>
      </c>
      <c r="B3913" s="1" t="n">
        <v>44820</v>
      </c>
      <c r="C3913" s="1" t="n">
        <v>46103</v>
      </c>
      <c r="D3913" t="inlineStr">
        <is>
          <t>KRONOBERGS LÄN</t>
        </is>
      </c>
      <c r="E3913" t="inlineStr">
        <is>
          <t>LJUNGBY</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18403-2025</t>
        </is>
      </c>
      <c r="B3914" s="1" t="n">
        <v>45762.60217592592</v>
      </c>
      <c r="C3914" s="1" t="n">
        <v>46103</v>
      </c>
      <c r="D3914" t="inlineStr">
        <is>
          <t>KRONOBERGS LÄN</t>
        </is>
      </c>
      <c r="E3914" t="inlineStr">
        <is>
          <t>LJUNGBY</t>
        </is>
      </c>
      <c r="G3914" t="n">
        <v>4.9</v>
      </c>
      <c r="H3914" t="n">
        <v>0</v>
      </c>
      <c r="I3914" t="n">
        <v>0</v>
      </c>
      <c r="J3914" t="n">
        <v>0</v>
      </c>
      <c r="K3914" t="n">
        <v>0</v>
      </c>
      <c r="L3914" t="n">
        <v>0</v>
      </c>
      <c r="M3914" t="n">
        <v>0</v>
      </c>
      <c r="N3914" t="n">
        <v>0</v>
      </c>
      <c r="O3914" t="n">
        <v>0</v>
      </c>
      <c r="P3914" t="n">
        <v>0</v>
      </c>
      <c r="Q3914" t="n">
        <v>0</v>
      </c>
      <c r="R3914" s="2" t="inlineStr"/>
    </row>
    <row r="3915" ht="15" customHeight="1">
      <c r="A3915" t="inlineStr">
        <is>
          <t>A 58134-2023</t>
        </is>
      </c>
      <c r="B3915" s="1" t="n">
        <v>45250.30325231481</v>
      </c>
      <c r="C3915" s="1" t="n">
        <v>46103</v>
      </c>
      <c r="D3915" t="inlineStr">
        <is>
          <t>KRONOBERGS LÄN</t>
        </is>
      </c>
      <c r="E3915" t="inlineStr">
        <is>
          <t>VÄXJÖ</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33176-2024</t>
        </is>
      </c>
      <c r="B3916" s="1" t="n">
        <v>45518</v>
      </c>
      <c r="C3916" s="1" t="n">
        <v>46103</v>
      </c>
      <c r="D3916" t="inlineStr">
        <is>
          <t>KRONOBERGS LÄN</t>
        </is>
      </c>
      <c r="E3916" t="inlineStr">
        <is>
          <t>LJUNGBY</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28081-2025</t>
        </is>
      </c>
      <c r="B3917" s="1" t="n">
        <v>45817.70034722222</v>
      </c>
      <c r="C3917" s="1" t="n">
        <v>46103</v>
      </c>
      <c r="D3917" t="inlineStr">
        <is>
          <t>KRONOBERGS LÄN</t>
        </is>
      </c>
      <c r="E3917" t="inlineStr">
        <is>
          <t>VÄXJÖ</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61995-2022</t>
        </is>
      </c>
      <c r="B3918" s="1" t="n">
        <v>44918.41686342593</v>
      </c>
      <c r="C3918" s="1" t="n">
        <v>46103</v>
      </c>
      <c r="D3918" t="inlineStr">
        <is>
          <t>KRONOBERGS LÄN</t>
        </is>
      </c>
      <c r="E3918" t="inlineStr">
        <is>
          <t>LESSEBO</t>
        </is>
      </c>
      <c r="F3918" t="inlineStr">
        <is>
          <t>Kommuner</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3094-2025</t>
        </is>
      </c>
      <c r="B3919" s="1" t="n">
        <v>45678</v>
      </c>
      <c r="C3919" s="1" t="n">
        <v>46103</v>
      </c>
      <c r="D3919" t="inlineStr">
        <is>
          <t>KRONOBERGS LÄN</t>
        </is>
      </c>
      <c r="E3919" t="inlineStr">
        <is>
          <t>VÄXJÖ</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7251-2026</t>
        </is>
      </c>
      <c r="B3920" s="1" t="n">
        <v>46058.59554398148</v>
      </c>
      <c r="C3920" s="1" t="n">
        <v>46103</v>
      </c>
      <c r="D3920" t="inlineStr">
        <is>
          <t>KRONOBERGS LÄN</t>
        </is>
      </c>
      <c r="E3920" t="inlineStr">
        <is>
          <t>UPPVIDINGE</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28176-2025</t>
        </is>
      </c>
      <c r="B3921" s="1" t="n">
        <v>45818</v>
      </c>
      <c r="C3921" s="1" t="n">
        <v>46103</v>
      </c>
      <c r="D3921" t="inlineStr">
        <is>
          <t>KRONOBERGS LÄN</t>
        </is>
      </c>
      <c r="E3921" t="inlineStr">
        <is>
          <t>VÄXJÖ</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7267-2026</t>
        </is>
      </c>
      <c r="B3922" s="1" t="n">
        <v>46058.6093287037</v>
      </c>
      <c r="C3922" s="1" t="n">
        <v>46103</v>
      </c>
      <c r="D3922" t="inlineStr">
        <is>
          <t>KRONOBERGS LÄN</t>
        </is>
      </c>
      <c r="E3922" t="inlineStr">
        <is>
          <t>TINGSRYD</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15175-2023</t>
        </is>
      </c>
      <c r="B3923" s="1" t="n">
        <v>45016.62603009259</v>
      </c>
      <c r="C3923" s="1" t="n">
        <v>46103</v>
      </c>
      <c r="D3923" t="inlineStr">
        <is>
          <t>KRONOBERGS LÄN</t>
        </is>
      </c>
      <c r="E3923" t="inlineStr">
        <is>
          <t>VÄXJÖ</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14651-2026</t>
        </is>
      </c>
      <c r="B3924" s="1" t="n">
        <v>46101.42790509259</v>
      </c>
      <c r="C3924" s="1" t="n">
        <v>46103</v>
      </c>
      <c r="D3924" t="inlineStr">
        <is>
          <t>KRONOBERGS LÄN</t>
        </is>
      </c>
      <c r="E3924" t="inlineStr">
        <is>
          <t>TINGSRYD</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29661-2023</t>
        </is>
      </c>
      <c r="B3925" s="1" t="n">
        <v>45107.30564814815</v>
      </c>
      <c r="C3925" s="1" t="n">
        <v>46103</v>
      </c>
      <c r="D3925" t="inlineStr">
        <is>
          <t>KRONOBERGS LÄN</t>
        </is>
      </c>
      <c r="E3925" t="inlineStr">
        <is>
          <t>TINGSRYD</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14170-2026</t>
        </is>
      </c>
      <c r="B3926" s="1" t="n">
        <v>46099.48590277778</v>
      </c>
      <c r="C3926" s="1" t="n">
        <v>46103</v>
      </c>
      <c r="D3926" t="inlineStr">
        <is>
          <t>KRONOBERGS LÄN</t>
        </is>
      </c>
      <c r="E3926" t="inlineStr">
        <is>
          <t>VÄXJÖ</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1704-2025</t>
        </is>
      </c>
      <c r="B3927" s="1" t="n">
        <v>45670</v>
      </c>
      <c r="C3927" s="1" t="n">
        <v>46103</v>
      </c>
      <c r="D3927" t="inlineStr">
        <is>
          <t>KRONOBERGS LÄN</t>
        </is>
      </c>
      <c r="E3927" t="inlineStr">
        <is>
          <t>VÄXJÖ</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28334-2025</t>
        </is>
      </c>
      <c r="B3928" s="1" t="n">
        <v>45818.66446759259</v>
      </c>
      <c r="C3928" s="1" t="n">
        <v>46103</v>
      </c>
      <c r="D3928" t="inlineStr">
        <is>
          <t>KRONOBERGS LÄN</t>
        </is>
      </c>
      <c r="E3928" t="inlineStr">
        <is>
          <t>LJUNGBY</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3225-2025</t>
        </is>
      </c>
      <c r="B3929" s="1" t="n">
        <v>45679.47949074074</v>
      </c>
      <c r="C3929" s="1" t="n">
        <v>46103</v>
      </c>
      <c r="D3929" t="inlineStr">
        <is>
          <t>KRONOBERGS LÄN</t>
        </is>
      </c>
      <c r="E3929" t="inlineStr">
        <is>
          <t>LJUNGBY</t>
        </is>
      </c>
      <c r="G3929" t="n">
        <v>20.8</v>
      </c>
      <c r="H3929" t="n">
        <v>0</v>
      </c>
      <c r="I3929" t="n">
        <v>0</v>
      </c>
      <c r="J3929" t="n">
        <v>0</v>
      </c>
      <c r="K3929" t="n">
        <v>0</v>
      </c>
      <c r="L3929" t="n">
        <v>0</v>
      </c>
      <c r="M3929" t="n">
        <v>0</v>
      </c>
      <c r="N3929" t="n">
        <v>0</v>
      </c>
      <c r="O3929" t="n">
        <v>0</v>
      </c>
      <c r="P3929" t="n">
        <v>0</v>
      </c>
      <c r="Q3929" t="n">
        <v>0</v>
      </c>
      <c r="R3929" s="2" t="inlineStr"/>
    </row>
    <row r="3930" ht="15" customHeight="1">
      <c r="A3930" t="inlineStr">
        <is>
          <t>A 3243-2025</t>
        </is>
      </c>
      <c r="B3930" s="1" t="n">
        <v>45679.50844907408</v>
      </c>
      <c r="C3930" s="1" t="n">
        <v>46103</v>
      </c>
      <c r="D3930" t="inlineStr">
        <is>
          <t>KRONOBERGS LÄN</t>
        </is>
      </c>
      <c r="E3930" t="inlineStr">
        <is>
          <t>UPPVIDINGE</t>
        </is>
      </c>
      <c r="G3930" t="n">
        <v>4.8</v>
      </c>
      <c r="H3930" t="n">
        <v>0</v>
      </c>
      <c r="I3930" t="n">
        <v>0</v>
      </c>
      <c r="J3930" t="n">
        <v>0</v>
      </c>
      <c r="K3930" t="n">
        <v>0</v>
      </c>
      <c r="L3930" t="n">
        <v>0</v>
      </c>
      <c r="M3930" t="n">
        <v>0</v>
      </c>
      <c r="N3930" t="n">
        <v>0</v>
      </c>
      <c r="O3930" t="n">
        <v>0</v>
      </c>
      <c r="P3930" t="n">
        <v>0</v>
      </c>
      <c r="Q3930" t="n">
        <v>0</v>
      </c>
      <c r="R3930" s="2" t="inlineStr"/>
    </row>
    <row r="3931" ht="15" customHeight="1">
      <c r="A3931" t="inlineStr">
        <is>
          <t>A 28038-2024</t>
        </is>
      </c>
      <c r="B3931" s="1" t="n">
        <v>45476.50119212963</v>
      </c>
      <c r="C3931" s="1" t="n">
        <v>46103</v>
      </c>
      <c r="D3931" t="inlineStr">
        <is>
          <t>KRONOBERGS LÄN</t>
        </is>
      </c>
      <c r="E3931" t="inlineStr">
        <is>
          <t>LJUNGBY</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28039-2024</t>
        </is>
      </c>
      <c r="B3932" s="1" t="n">
        <v>45476.50480324074</v>
      </c>
      <c r="C3932" s="1" t="n">
        <v>46103</v>
      </c>
      <c r="D3932" t="inlineStr">
        <is>
          <t>KRONOBERGS LÄN</t>
        </is>
      </c>
      <c r="E3932" t="inlineStr">
        <is>
          <t>LJUNGBY</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13176-2026</t>
        </is>
      </c>
      <c r="B3933" s="1" t="n">
        <v>46093.58458333334</v>
      </c>
      <c r="C3933" s="1" t="n">
        <v>46103</v>
      </c>
      <c r="D3933" t="inlineStr">
        <is>
          <t>KRONOBERGS LÄN</t>
        </is>
      </c>
      <c r="E3933" t="inlineStr">
        <is>
          <t>UPPVIDINGE</t>
        </is>
      </c>
      <c r="F3933" t="inlineStr">
        <is>
          <t>Sveaskog</t>
        </is>
      </c>
      <c r="G3933" t="n">
        <v>5.2</v>
      </c>
      <c r="H3933" t="n">
        <v>0</v>
      </c>
      <c r="I3933" t="n">
        <v>0</v>
      </c>
      <c r="J3933" t="n">
        <v>0</v>
      </c>
      <c r="K3933" t="n">
        <v>0</v>
      </c>
      <c r="L3933" t="n">
        <v>0</v>
      </c>
      <c r="M3933" t="n">
        <v>0</v>
      </c>
      <c r="N3933" t="n">
        <v>0</v>
      </c>
      <c r="O3933" t="n">
        <v>0</v>
      </c>
      <c r="P3933" t="n">
        <v>0</v>
      </c>
      <c r="Q3933" t="n">
        <v>0</v>
      </c>
      <c r="R3933" s="2" t="inlineStr"/>
    </row>
    <row r="3934" ht="15" customHeight="1">
      <c r="A3934" t="inlineStr">
        <is>
          <t>A 14382-2026</t>
        </is>
      </c>
      <c r="B3934" s="1" t="n">
        <v>46100.37842592593</v>
      </c>
      <c r="C3934" s="1" t="n">
        <v>46103</v>
      </c>
      <c r="D3934" t="inlineStr">
        <is>
          <t>KRONOBERGS LÄN</t>
        </is>
      </c>
      <c r="E3934" t="inlineStr">
        <is>
          <t>MARKARYD</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20178-2021</t>
        </is>
      </c>
      <c r="B3935" s="1" t="n">
        <v>44314</v>
      </c>
      <c r="C3935" s="1" t="n">
        <v>46103</v>
      </c>
      <c r="D3935" t="inlineStr">
        <is>
          <t>KRONOBERGS LÄN</t>
        </is>
      </c>
      <c r="E3935" t="inlineStr">
        <is>
          <t>LESSEBO</t>
        </is>
      </c>
      <c r="F3935" t="inlineStr">
        <is>
          <t>Kommuner</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14510-2026</t>
        </is>
      </c>
      <c r="B3936" s="1" t="n">
        <v>46100.63233796296</v>
      </c>
      <c r="C3936" s="1" t="n">
        <v>46103</v>
      </c>
      <c r="D3936" t="inlineStr">
        <is>
          <t>KRONOBERGS LÄN</t>
        </is>
      </c>
      <c r="E3936" t="inlineStr">
        <is>
          <t>VÄXJÖ</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19349-2025</t>
        </is>
      </c>
      <c r="B3937" s="1" t="n">
        <v>45769.6050462963</v>
      </c>
      <c r="C3937" s="1" t="n">
        <v>46103</v>
      </c>
      <c r="D3937" t="inlineStr">
        <is>
          <t>KRONOBERGS LÄN</t>
        </is>
      </c>
      <c r="E3937" t="inlineStr">
        <is>
          <t>VÄXJÖ</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21668-2025</t>
        </is>
      </c>
      <c r="B3938" s="1" t="n">
        <v>45783.46728009259</v>
      </c>
      <c r="C3938" s="1" t="n">
        <v>46103</v>
      </c>
      <c r="D3938" t="inlineStr">
        <is>
          <t>KRONOBERGS LÄN</t>
        </is>
      </c>
      <c r="E3938" t="inlineStr">
        <is>
          <t>VÄXJÖ</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28171-2025</t>
        </is>
      </c>
      <c r="B3939" s="1" t="n">
        <v>45818</v>
      </c>
      <c r="C3939" s="1" t="n">
        <v>46103</v>
      </c>
      <c r="D3939" t="inlineStr">
        <is>
          <t>KRONOBERGS LÄN</t>
        </is>
      </c>
      <c r="E3939" t="inlineStr">
        <is>
          <t>VÄXJÖ</t>
        </is>
      </c>
      <c r="G3939" t="n">
        <v>19.3</v>
      </c>
      <c r="H3939" t="n">
        <v>0</v>
      </c>
      <c r="I3939" t="n">
        <v>0</v>
      </c>
      <c r="J3939" t="n">
        <v>0</v>
      </c>
      <c r="K3939" t="n">
        <v>0</v>
      </c>
      <c r="L3939" t="n">
        <v>0</v>
      </c>
      <c r="M3939" t="n">
        <v>0</v>
      </c>
      <c r="N3939" t="n">
        <v>0</v>
      </c>
      <c r="O3939" t="n">
        <v>0</v>
      </c>
      <c r="P3939" t="n">
        <v>0</v>
      </c>
      <c r="Q3939" t="n">
        <v>0</v>
      </c>
      <c r="R3939" s="2" t="inlineStr"/>
    </row>
    <row r="3940" ht="15" customHeight="1">
      <c r="A3940" t="inlineStr">
        <is>
          <t>A 12711-2025</t>
        </is>
      </c>
      <c r="B3940" s="1" t="n">
        <v>45733.47277777778</v>
      </c>
      <c r="C3940" s="1" t="n">
        <v>46103</v>
      </c>
      <c r="D3940" t="inlineStr">
        <is>
          <t>KRONOBERGS LÄN</t>
        </is>
      </c>
      <c r="E3940" t="inlineStr">
        <is>
          <t>MARKARYD</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3370-2024</t>
        </is>
      </c>
      <c r="B3941" s="1" t="n">
        <v>45317</v>
      </c>
      <c r="C3941" s="1" t="n">
        <v>46103</v>
      </c>
      <c r="D3941" t="inlineStr">
        <is>
          <t>KRONOBERGS LÄN</t>
        </is>
      </c>
      <c r="E3941" t="inlineStr">
        <is>
          <t>UPPVIDINGE</t>
        </is>
      </c>
      <c r="F3941" t="inlineStr">
        <is>
          <t>Sveaskog</t>
        </is>
      </c>
      <c r="G3941" t="n">
        <v>0.3</v>
      </c>
      <c r="H3941" t="n">
        <v>0</v>
      </c>
      <c r="I3941" t="n">
        <v>0</v>
      </c>
      <c r="J3941" t="n">
        <v>0</v>
      </c>
      <c r="K3941" t="n">
        <v>0</v>
      </c>
      <c r="L3941" t="n">
        <v>0</v>
      </c>
      <c r="M3941" t="n">
        <v>0</v>
      </c>
      <c r="N3941" t="n">
        <v>0</v>
      </c>
      <c r="O3941" t="n">
        <v>0</v>
      </c>
      <c r="P3941" t="n">
        <v>0</v>
      </c>
      <c r="Q3941" t="n">
        <v>0</v>
      </c>
      <c r="R3941" s="2" t="inlineStr"/>
    </row>
    <row r="3942" ht="15" customHeight="1">
      <c r="A3942" t="inlineStr">
        <is>
          <t>A 28177-2025</t>
        </is>
      </c>
      <c r="B3942" s="1" t="n">
        <v>45818.39106481482</v>
      </c>
      <c r="C3942" s="1" t="n">
        <v>46103</v>
      </c>
      <c r="D3942" t="inlineStr">
        <is>
          <t>KRONOBERGS LÄN</t>
        </is>
      </c>
      <c r="E3942" t="inlineStr">
        <is>
          <t>ÄLMHULT</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14551-2025</t>
        </is>
      </c>
      <c r="B3943" s="1" t="n">
        <v>45741.70509259259</v>
      </c>
      <c r="C3943" s="1" t="n">
        <v>46103</v>
      </c>
      <c r="D3943" t="inlineStr">
        <is>
          <t>KRONOBERGS LÄN</t>
        </is>
      </c>
      <c r="E3943" t="inlineStr">
        <is>
          <t>LESSEBO</t>
        </is>
      </c>
      <c r="G3943" t="n">
        <v>0.3</v>
      </c>
      <c r="H3943" t="n">
        <v>0</v>
      </c>
      <c r="I3943" t="n">
        <v>0</v>
      </c>
      <c r="J3943" t="n">
        <v>0</v>
      </c>
      <c r="K3943" t="n">
        <v>0</v>
      </c>
      <c r="L3943" t="n">
        <v>0</v>
      </c>
      <c r="M3943" t="n">
        <v>0</v>
      </c>
      <c r="N3943" t="n">
        <v>0</v>
      </c>
      <c r="O3943" t="n">
        <v>0</v>
      </c>
      <c r="P3943" t="n">
        <v>0</v>
      </c>
      <c r="Q3943" t="n">
        <v>0</v>
      </c>
      <c r="R3943" s="2" t="inlineStr"/>
    </row>
    <row r="3944" ht="15" customHeight="1">
      <c r="A3944" t="inlineStr">
        <is>
          <t>A 28227-2025</t>
        </is>
      </c>
      <c r="B3944" s="1" t="n">
        <v>45818</v>
      </c>
      <c r="C3944" s="1" t="n">
        <v>46103</v>
      </c>
      <c r="D3944" t="inlineStr">
        <is>
          <t>KRONOBERGS LÄN</t>
        </is>
      </c>
      <c r="E3944" t="inlineStr">
        <is>
          <t>LJUNGBY</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7372-2026</t>
        </is>
      </c>
      <c r="B3945" s="1" t="n">
        <v>46059.343125</v>
      </c>
      <c r="C3945" s="1" t="n">
        <v>46103</v>
      </c>
      <c r="D3945" t="inlineStr">
        <is>
          <t>KRONOBERGS LÄN</t>
        </is>
      </c>
      <c r="E3945" t="inlineStr">
        <is>
          <t>VÄXJÖ</t>
        </is>
      </c>
      <c r="G3945" t="n">
        <v>4.2</v>
      </c>
      <c r="H3945" t="n">
        <v>0</v>
      </c>
      <c r="I3945" t="n">
        <v>0</v>
      </c>
      <c r="J3945" t="n">
        <v>0</v>
      </c>
      <c r="K3945" t="n">
        <v>0</v>
      </c>
      <c r="L3945" t="n">
        <v>0</v>
      </c>
      <c r="M3945" t="n">
        <v>0</v>
      </c>
      <c r="N3945" t="n">
        <v>0</v>
      </c>
      <c r="O3945" t="n">
        <v>0</v>
      </c>
      <c r="P3945" t="n">
        <v>0</v>
      </c>
      <c r="Q3945" t="n">
        <v>0</v>
      </c>
      <c r="R3945" s="2" t="inlineStr"/>
    </row>
    <row r="3946" ht="15" customHeight="1">
      <c r="A3946" t="inlineStr">
        <is>
          <t>A 7391-2026</t>
        </is>
      </c>
      <c r="B3946" s="1" t="n">
        <v>46059.36828703704</v>
      </c>
      <c r="C3946" s="1" t="n">
        <v>46103</v>
      </c>
      <c r="D3946" t="inlineStr">
        <is>
          <t>KRONOBERGS LÄN</t>
        </is>
      </c>
      <c r="E3946" t="inlineStr">
        <is>
          <t>VÄXJÖ</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7684-2026</t>
        </is>
      </c>
      <c r="B3947" s="1" t="n">
        <v>46059</v>
      </c>
      <c r="C3947" s="1" t="n">
        <v>46103</v>
      </c>
      <c r="D3947" t="inlineStr">
        <is>
          <t>KRONOBERGS LÄN</t>
        </is>
      </c>
      <c r="E3947" t="inlineStr">
        <is>
          <t>LJUNGBY</t>
        </is>
      </c>
      <c r="F3947" t="inlineStr">
        <is>
          <t>Kyrkan</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7403-2026</t>
        </is>
      </c>
      <c r="B3948" s="1" t="n">
        <v>46059.39361111111</v>
      </c>
      <c r="C3948" s="1" t="n">
        <v>46103</v>
      </c>
      <c r="D3948" t="inlineStr">
        <is>
          <t>KRONOBERGS LÄN</t>
        </is>
      </c>
      <c r="E3948" t="inlineStr">
        <is>
          <t>LJUNGBY</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18364-2025</t>
        </is>
      </c>
      <c r="B3949" s="1" t="n">
        <v>45762</v>
      </c>
      <c r="C3949" s="1" t="n">
        <v>46103</v>
      </c>
      <c r="D3949" t="inlineStr">
        <is>
          <t>KRONOBERGS LÄN</t>
        </is>
      </c>
      <c r="E3949" t="inlineStr">
        <is>
          <t>VÄXJÖ</t>
        </is>
      </c>
      <c r="F3949" t="inlineStr">
        <is>
          <t>Sveaskog</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14347-2026</t>
        </is>
      </c>
      <c r="B3950" s="1" t="n">
        <v>46100.34037037037</v>
      </c>
      <c r="C3950" s="1" t="n">
        <v>46103</v>
      </c>
      <c r="D3950" t="inlineStr">
        <is>
          <t>KRONOBERGS LÄN</t>
        </is>
      </c>
      <c r="E3950" t="inlineStr">
        <is>
          <t>VÄXJÖ</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39125-2024</t>
        </is>
      </c>
      <c r="B3951" s="1" t="n">
        <v>45548.59546296296</v>
      </c>
      <c r="C3951" s="1" t="n">
        <v>46103</v>
      </c>
      <c r="D3951" t="inlineStr">
        <is>
          <t>KRONOBERGS LÄN</t>
        </is>
      </c>
      <c r="E3951" t="inlineStr">
        <is>
          <t>ÄLMHULT</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28301-2025</t>
        </is>
      </c>
      <c r="B3952" s="1" t="n">
        <v>45818.60510416667</v>
      </c>
      <c r="C3952" s="1" t="n">
        <v>46103</v>
      </c>
      <c r="D3952" t="inlineStr">
        <is>
          <t>KRONOBERGS LÄN</t>
        </is>
      </c>
      <c r="E3952" t="inlineStr">
        <is>
          <t>ÄLMHULT</t>
        </is>
      </c>
      <c r="G3952" t="n">
        <v>4.3</v>
      </c>
      <c r="H3952" t="n">
        <v>0</v>
      </c>
      <c r="I3952" t="n">
        <v>0</v>
      </c>
      <c r="J3952" t="n">
        <v>0</v>
      </c>
      <c r="K3952" t="n">
        <v>0</v>
      </c>
      <c r="L3952" t="n">
        <v>0</v>
      </c>
      <c r="M3952" t="n">
        <v>0</v>
      </c>
      <c r="N3952" t="n">
        <v>0</v>
      </c>
      <c r="O3952" t="n">
        <v>0</v>
      </c>
      <c r="P3952" t="n">
        <v>0</v>
      </c>
      <c r="Q3952" t="n">
        <v>0</v>
      </c>
      <c r="R3952" s="2" t="inlineStr"/>
    </row>
    <row r="3953" ht="15" customHeight="1">
      <c r="A3953" t="inlineStr">
        <is>
          <t>A 14380-2026</t>
        </is>
      </c>
      <c r="B3953" s="1" t="n">
        <v>46100.3740625</v>
      </c>
      <c r="C3953" s="1" t="n">
        <v>46103</v>
      </c>
      <c r="D3953" t="inlineStr">
        <is>
          <t>KRONOBERGS LÄN</t>
        </is>
      </c>
      <c r="E3953" t="inlineStr">
        <is>
          <t>MARKARYD</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14381-2026</t>
        </is>
      </c>
      <c r="B3954" s="1" t="n">
        <v>46100.37802083333</v>
      </c>
      <c r="C3954" s="1" t="n">
        <v>46103</v>
      </c>
      <c r="D3954" t="inlineStr">
        <is>
          <t>KRONOBERGS LÄN</t>
        </is>
      </c>
      <c r="E3954" t="inlineStr">
        <is>
          <t>VÄXJÖ</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28335-2025</t>
        </is>
      </c>
      <c r="B3955" s="1" t="n">
        <v>45818.66649305556</v>
      </c>
      <c r="C3955" s="1" t="n">
        <v>46103</v>
      </c>
      <c r="D3955" t="inlineStr">
        <is>
          <t>KRONOBERGS LÄN</t>
        </is>
      </c>
      <c r="E3955" t="inlineStr">
        <is>
          <t>LJUNGBY</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54474-2024</t>
        </is>
      </c>
      <c r="B3956" s="1" t="n">
        <v>45617.54989583333</v>
      </c>
      <c r="C3956" s="1" t="n">
        <v>46103</v>
      </c>
      <c r="D3956" t="inlineStr">
        <is>
          <t>KRONOBERGS LÄN</t>
        </is>
      </c>
      <c r="E3956" t="inlineStr">
        <is>
          <t>LJUNGBY</t>
        </is>
      </c>
      <c r="G3956" t="n">
        <v>6.2</v>
      </c>
      <c r="H3956" t="n">
        <v>0</v>
      </c>
      <c r="I3956" t="n">
        <v>0</v>
      </c>
      <c r="J3956" t="n">
        <v>0</v>
      </c>
      <c r="K3956" t="n">
        <v>0</v>
      </c>
      <c r="L3956" t="n">
        <v>0</v>
      </c>
      <c r="M3956" t="n">
        <v>0</v>
      </c>
      <c r="N3956" t="n">
        <v>0</v>
      </c>
      <c r="O3956" t="n">
        <v>0</v>
      </c>
      <c r="P3956" t="n">
        <v>0</v>
      </c>
      <c r="Q3956" t="n">
        <v>0</v>
      </c>
      <c r="R3956" s="2" t="inlineStr"/>
    </row>
    <row r="3957" ht="15" customHeight="1">
      <c r="A3957" t="inlineStr">
        <is>
          <t>A 35729-2024</t>
        </is>
      </c>
      <c r="B3957" s="1" t="n">
        <v>45532.51449074074</v>
      </c>
      <c r="C3957" s="1" t="n">
        <v>46103</v>
      </c>
      <c r="D3957" t="inlineStr">
        <is>
          <t>KRONOBERGS LÄN</t>
        </is>
      </c>
      <c r="E3957" t="inlineStr">
        <is>
          <t>ALVESTA</t>
        </is>
      </c>
      <c r="G3957" t="n">
        <v>4.7</v>
      </c>
      <c r="H3957" t="n">
        <v>0</v>
      </c>
      <c r="I3957" t="n">
        <v>0</v>
      </c>
      <c r="J3957" t="n">
        <v>0</v>
      </c>
      <c r="K3957" t="n">
        <v>0</v>
      </c>
      <c r="L3957" t="n">
        <v>0</v>
      </c>
      <c r="M3957" t="n">
        <v>0</v>
      </c>
      <c r="N3957" t="n">
        <v>0</v>
      </c>
      <c r="O3957" t="n">
        <v>0</v>
      </c>
      <c r="P3957" t="n">
        <v>0</v>
      </c>
      <c r="Q3957" t="n">
        <v>0</v>
      </c>
      <c r="R3957" s="2" t="inlineStr"/>
    </row>
    <row r="3958" ht="15" customHeight="1">
      <c r="A3958" t="inlineStr">
        <is>
          <t>A 18374-2025</t>
        </is>
      </c>
      <c r="B3958" s="1" t="n">
        <v>45762.57273148148</v>
      </c>
      <c r="C3958" s="1" t="n">
        <v>46103</v>
      </c>
      <c r="D3958" t="inlineStr">
        <is>
          <t>KRONOBERGS LÄN</t>
        </is>
      </c>
      <c r="E3958" t="inlineStr">
        <is>
          <t>VÄXJÖ</t>
        </is>
      </c>
      <c r="F3958" t="inlineStr">
        <is>
          <t>Sveaskog</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20857-2025</t>
        </is>
      </c>
      <c r="B3959" s="1" t="n">
        <v>45777.32631944444</v>
      </c>
      <c r="C3959" s="1" t="n">
        <v>46103</v>
      </c>
      <c r="D3959" t="inlineStr">
        <is>
          <t>KRONOBERGS LÄN</t>
        </is>
      </c>
      <c r="E3959" t="inlineStr">
        <is>
          <t>LESSEBO</t>
        </is>
      </c>
      <c r="F3959" t="inlineStr">
        <is>
          <t>Sveaskog</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28148-2025</t>
        </is>
      </c>
      <c r="B3960" s="1" t="n">
        <v>45818</v>
      </c>
      <c r="C3960" s="1" t="n">
        <v>46103</v>
      </c>
      <c r="D3960" t="inlineStr">
        <is>
          <t>KRONOBERGS LÄN</t>
        </is>
      </c>
      <c r="E3960" t="inlineStr">
        <is>
          <t>UPPVIDINGE</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12834-2024</t>
        </is>
      </c>
      <c r="B3961" s="1" t="n">
        <v>45384.70548611111</v>
      </c>
      <c r="C3961" s="1" t="n">
        <v>46103</v>
      </c>
      <c r="D3961" t="inlineStr">
        <is>
          <t>KRONOBERGS LÄN</t>
        </is>
      </c>
      <c r="E3961" t="inlineStr">
        <is>
          <t>ALVESTA</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17755-2025</t>
        </is>
      </c>
      <c r="B3962" s="1" t="n">
        <v>45758.48863425926</v>
      </c>
      <c r="C3962" s="1" t="n">
        <v>46103</v>
      </c>
      <c r="D3962" t="inlineStr">
        <is>
          <t>KRONOBERGS LÄN</t>
        </is>
      </c>
      <c r="E3962" t="inlineStr">
        <is>
          <t>VÄXJÖ</t>
        </is>
      </c>
      <c r="F3962" t="inlineStr">
        <is>
          <t>Sveaskog</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17758-2025</t>
        </is>
      </c>
      <c r="B3963" s="1" t="n">
        <v>45758.49101851852</v>
      </c>
      <c r="C3963" s="1" t="n">
        <v>46103</v>
      </c>
      <c r="D3963" t="inlineStr">
        <is>
          <t>KRONOBERGS LÄN</t>
        </is>
      </c>
      <c r="E3963" t="inlineStr">
        <is>
          <t>VÄXJÖ</t>
        </is>
      </c>
      <c r="F3963" t="inlineStr">
        <is>
          <t>Sveaskog</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18379-2025</t>
        </is>
      </c>
      <c r="B3964" s="1" t="n">
        <v>45762.57758101852</v>
      </c>
      <c r="C3964" s="1" t="n">
        <v>46103</v>
      </c>
      <c r="D3964" t="inlineStr">
        <is>
          <t>KRONOBERGS LÄN</t>
        </is>
      </c>
      <c r="E3964" t="inlineStr">
        <is>
          <t>VÄXJÖ</t>
        </is>
      </c>
      <c r="F3964" t="inlineStr">
        <is>
          <t>Sveaskog</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5865-2025</t>
        </is>
      </c>
      <c r="B3965" s="1" t="n">
        <v>45695.35372685185</v>
      </c>
      <c r="C3965" s="1" t="n">
        <v>46103</v>
      </c>
      <c r="D3965" t="inlineStr">
        <is>
          <t>KRONOBERGS LÄN</t>
        </is>
      </c>
      <c r="E3965" t="inlineStr">
        <is>
          <t>ÄLMHULT</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14587-2026</t>
        </is>
      </c>
      <c r="B3966" s="1" t="n">
        <v>46101.3400462963</v>
      </c>
      <c r="C3966" s="1" t="n">
        <v>46103</v>
      </c>
      <c r="D3966" t="inlineStr">
        <is>
          <t>KRONOBERGS LÄN</t>
        </is>
      </c>
      <c r="E3966" t="inlineStr">
        <is>
          <t>UPPVIDINGE</t>
        </is>
      </c>
      <c r="F3966" t="inlineStr">
        <is>
          <t>Sveaskog</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22122-2023</t>
        </is>
      </c>
      <c r="B3967" s="1" t="n">
        <v>45069.57748842592</v>
      </c>
      <c r="C3967" s="1" t="n">
        <v>46103</v>
      </c>
      <c r="D3967" t="inlineStr">
        <is>
          <t>KRONOBERGS LÄN</t>
        </is>
      </c>
      <c r="E3967" t="inlineStr">
        <is>
          <t>TINGSRYD</t>
        </is>
      </c>
      <c r="G3967" t="n">
        <v>5.5</v>
      </c>
      <c r="H3967" t="n">
        <v>0</v>
      </c>
      <c r="I3967" t="n">
        <v>0</v>
      </c>
      <c r="J3967" t="n">
        <v>0</v>
      </c>
      <c r="K3967" t="n">
        <v>0</v>
      </c>
      <c r="L3967" t="n">
        <v>0</v>
      </c>
      <c r="M3967" t="n">
        <v>0</v>
      </c>
      <c r="N3967" t="n">
        <v>0</v>
      </c>
      <c r="O3967" t="n">
        <v>0</v>
      </c>
      <c r="P3967" t="n">
        <v>0</v>
      </c>
      <c r="Q3967" t="n">
        <v>0</v>
      </c>
      <c r="R3967" s="2" t="inlineStr"/>
    </row>
    <row r="3968" ht="15" customHeight="1">
      <c r="A3968" t="inlineStr">
        <is>
          <t>A 47338-2022</t>
        </is>
      </c>
      <c r="B3968" s="1" t="n">
        <v>44853.38413194445</v>
      </c>
      <c r="C3968" s="1" t="n">
        <v>46103</v>
      </c>
      <c r="D3968" t="inlineStr">
        <is>
          <t>KRONOBERGS LÄN</t>
        </is>
      </c>
      <c r="E3968" t="inlineStr">
        <is>
          <t>ALVESTA</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18304-2023</t>
        </is>
      </c>
      <c r="B3969" s="1" t="n">
        <v>45041</v>
      </c>
      <c r="C3969" s="1" t="n">
        <v>46103</v>
      </c>
      <c r="D3969" t="inlineStr">
        <is>
          <t>KRONOBERGS LÄN</t>
        </is>
      </c>
      <c r="E3969" t="inlineStr">
        <is>
          <t>UPPVIDINGE</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44667-2024</t>
        </is>
      </c>
      <c r="B3970" s="1" t="n">
        <v>45574</v>
      </c>
      <c r="C3970" s="1" t="n">
        <v>46103</v>
      </c>
      <c r="D3970" t="inlineStr">
        <is>
          <t>KRONOBERGS LÄN</t>
        </is>
      </c>
      <c r="E3970" t="inlineStr">
        <is>
          <t>TINGSRYD</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7211-2026</t>
        </is>
      </c>
      <c r="B3971" s="1" t="n">
        <v>46058</v>
      </c>
      <c r="C3971" s="1" t="n">
        <v>46103</v>
      </c>
      <c r="D3971" t="inlineStr">
        <is>
          <t>KRONOBERGS LÄN</t>
        </is>
      </c>
      <c r="E3971" t="inlineStr">
        <is>
          <t>VÄXJÖ</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44670-2024</t>
        </is>
      </c>
      <c r="B3972" s="1" t="n">
        <v>45574</v>
      </c>
      <c r="C3972" s="1" t="n">
        <v>46103</v>
      </c>
      <c r="D3972" t="inlineStr">
        <is>
          <t>KRONOBERGS LÄN</t>
        </is>
      </c>
      <c r="E3972" t="inlineStr">
        <is>
          <t>TINGSRYD</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44679-2024</t>
        </is>
      </c>
      <c r="B3973" s="1" t="n">
        <v>45574</v>
      </c>
      <c r="C3973" s="1" t="n">
        <v>46103</v>
      </c>
      <c r="D3973" t="inlineStr">
        <is>
          <t>KRONOBERGS LÄN</t>
        </is>
      </c>
      <c r="E3973" t="inlineStr">
        <is>
          <t>TINGSRYD</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18202-2025</t>
        </is>
      </c>
      <c r="B3974" s="1" t="n">
        <v>45761.68358796297</v>
      </c>
      <c r="C3974" s="1" t="n">
        <v>46103</v>
      </c>
      <c r="D3974" t="inlineStr">
        <is>
          <t>KRONOBERGS LÄN</t>
        </is>
      </c>
      <c r="E3974" t="inlineStr">
        <is>
          <t>LESSEBO</t>
        </is>
      </c>
      <c r="F3974" t="inlineStr">
        <is>
          <t>Sveaskog</t>
        </is>
      </c>
      <c r="G3974" t="n">
        <v>3.4</v>
      </c>
      <c r="H3974" t="n">
        <v>0</v>
      </c>
      <c r="I3974" t="n">
        <v>0</v>
      </c>
      <c r="J3974" t="n">
        <v>0</v>
      </c>
      <c r="K3974" t="n">
        <v>0</v>
      </c>
      <c r="L3974" t="n">
        <v>0</v>
      </c>
      <c r="M3974" t="n">
        <v>0</v>
      </c>
      <c r="N3974" t="n">
        <v>0</v>
      </c>
      <c r="O3974" t="n">
        <v>0</v>
      </c>
      <c r="P3974" t="n">
        <v>0</v>
      </c>
      <c r="Q3974" t="n">
        <v>0</v>
      </c>
      <c r="R3974" s="2" t="inlineStr"/>
    </row>
    <row r="3975" ht="15" customHeight="1">
      <c r="A3975" t="inlineStr">
        <is>
          <t>A 7406-2026</t>
        </is>
      </c>
      <c r="B3975" s="1" t="n">
        <v>46059.40028935186</v>
      </c>
      <c r="C3975" s="1" t="n">
        <v>46103</v>
      </c>
      <c r="D3975" t="inlineStr">
        <is>
          <t>KRONOBERGS LÄN</t>
        </is>
      </c>
      <c r="E3975" t="inlineStr">
        <is>
          <t>VÄXJÖ</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14560-2026</t>
        </is>
      </c>
      <c r="B3976" s="1" t="n">
        <v>46100.78462962963</v>
      </c>
      <c r="C3976" s="1" t="n">
        <v>46103</v>
      </c>
      <c r="D3976" t="inlineStr">
        <is>
          <t>KRONOBERGS LÄN</t>
        </is>
      </c>
      <c r="E3976" t="inlineStr">
        <is>
          <t>UPPVIDINGE</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32664-2023</t>
        </is>
      </c>
      <c r="B3977" s="1" t="n">
        <v>45111</v>
      </c>
      <c r="C3977" s="1" t="n">
        <v>46103</v>
      </c>
      <c r="D3977" t="inlineStr">
        <is>
          <t>KRONOBERGS LÄN</t>
        </is>
      </c>
      <c r="E3977" t="inlineStr">
        <is>
          <t>LJUNGBY</t>
        </is>
      </c>
      <c r="G3977" t="n">
        <v>3</v>
      </c>
      <c r="H3977" t="n">
        <v>0</v>
      </c>
      <c r="I3977" t="n">
        <v>0</v>
      </c>
      <c r="J3977" t="n">
        <v>0</v>
      </c>
      <c r="K3977" t="n">
        <v>0</v>
      </c>
      <c r="L3977" t="n">
        <v>0</v>
      </c>
      <c r="M3977" t="n">
        <v>0</v>
      </c>
      <c r="N3977" t="n">
        <v>0</v>
      </c>
      <c r="O3977" t="n">
        <v>0</v>
      </c>
      <c r="P3977" t="n">
        <v>0</v>
      </c>
      <c r="Q3977" t="n">
        <v>0</v>
      </c>
      <c r="R3977" s="2" t="inlineStr"/>
    </row>
    <row r="3978" ht="15" customHeight="1">
      <c r="A3978" t="inlineStr">
        <is>
          <t>A 1001-2023</t>
        </is>
      </c>
      <c r="B3978" s="1" t="n">
        <v>44935</v>
      </c>
      <c r="C3978" s="1" t="n">
        <v>46103</v>
      </c>
      <c r="D3978" t="inlineStr">
        <is>
          <t>KRONOBERGS LÄN</t>
        </is>
      </c>
      <c r="E3978" t="inlineStr">
        <is>
          <t>TINGSRYD</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3607-2024</t>
        </is>
      </c>
      <c r="B3979" s="1" t="n">
        <v>45320.88226851852</v>
      </c>
      <c r="C3979" s="1" t="n">
        <v>46103</v>
      </c>
      <c r="D3979" t="inlineStr">
        <is>
          <t>KRONOBERGS LÄN</t>
        </is>
      </c>
      <c r="E3979" t="inlineStr">
        <is>
          <t>UPPVIDINGE</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28641-2025</t>
        </is>
      </c>
      <c r="B3980" s="1" t="n">
        <v>45819.63748842593</v>
      </c>
      <c r="C3980" s="1" t="n">
        <v>46103</v>
      </c>
      <c r="D3980" t="inlineStr">
        <is>
          <t>KRONOBERGS LÄN</t>
        </is>
      </c>
      <c r="E3980" t="inlineStr">
        <is>
          <t>VÄXJÖ</t>
        </is>
      </c>
      <c r="G3980" t="n">
        <v>3.8</v>
      </c>
      <c r="H3980" t="n">
        <v>0</v>
      </c>
      <c r="I3980" t="n">
        <v>0</v>
      </c>
      <c r="J3980" t="n">
        <v>0</v>
      </c>
      <c r="K3980" t="n">
        <v>0</v>
      </c>
      <c r="L3980" t="n">
        <v>0</v>
      </c>
      <c r="M3980" t="n">
        <v>0</v>
      </c>
      <c r="N3980" t="n">
        <v>0</v>
      </c>
      <c r="O3980" t="n">
        <v>0</v>
      </c>
      <c r="P3980" t="n">
        <v>0</v>
      </c>
      <c r="Q3980" t="n">
        <v>0</v>
      </c>
      <c r="R3980" s="2" t="inlineStr"/>
    </row>
    <row r="3981" ht="15" customHeight="1">
      <c r="A3981" t="inlineStr">
        <is>
          <t>A 28642-2025</t>
        </is>
      </c>
      <c r="B3981" s="1" t="n">
        <v>45819.64385416666</v>
      </c>
      <c r="C3981" s="1" t="n">
        <v>46103</v>
      </c>
      <c r="D3981" t="inlineStr">
        <is>
          <t>KRONOBERGS LÄN</t>
        </is>
      </c>
      <c r="E3981" t="inlineStr">
        <is>
          <t>VÄXJÖ</t>
        </is>
      </c>
      <c r="G3981" t="n">
        <v>3.8</v>
      </c>
      <c r="H3981" t="n">
        <v>0</v>
      </c>
      <c r="I3981" t="n">
        <v>0</v>
      </c>
      <c r="J3981" t="n">
        <v>0</v>
      </c>
      <c r="K3981" t="n">
        <v>0</v>
      </c>
      <c r="L3981" t="n">
        <v>0</v>
      </c>
      <c r="M3981" t="n">
        <v>0</v>
      </c>
      <c r="N3981" t="n">
        <v>0</v>
      </c>
      <c r="O3981" t="n">
        <v>0</v>
      </c>
      <c r="P3981" t="n">
        <v>0</v>
      </c>
      <c r="Q3981" t="n">
        <v>0</v>
      </c>
      <c r="R3981" s="2" t="inlineStr"/>
    </row>
    <row r="3982" ht="15" customHeight="1">
      <c r="A3982" t="inlineStr">
        <is>
          <t>A 45857-2022</t>
        </is>
      </c>
      <c r="B3982" s="1" t="n">
        <v>44846.55085648148</v>
      </c>
      <c r="C3982" s="1" t="n">
        <v>46103</v>
      </c>
      <c r="D3982" t="inlineStr">
        <is>
          <t>KRONOBERGS LÄN</t>
        </is>
      </c>
      <c r="E3982" t="inlineStr">
        <is>
          <t>LJUNGBY</t>
        </is>
      </c>
      <c r="G3982" t="n">
        <v>7.4</v>
      </c>
      <c r="H3982" t="n">
        <v>0</v>
      </c>
      <c r="I3982" t="n">
        <v>0</v>
      </c>
      <c r="J3982" t="n">
        <v>0</v>
      </c>
      <c r="K3982" t="n">
        <v>0</v>
      </c>
      <c r="L3982" t="n">
        <v>0</v>
      </c>
      <c r="M3982" t="n">
        <v>0</v>
      </c>
      <c r="N3982" t="n">
        <v>0</v>
      </c>
      <c r="O3982" t="n">
        <v>0</v>
      </c>
      <c r="P3982" t="n">
        <v>0</v>
      </c>
      <c r="Q3982" t="n">
        <v>0</v>
      </c>
      <c r="R3982" s="2" t="inlineStr"/>
    </row>
    <row r="3983" ht="15" customHeight="1">
      <c r="A3983" t="inlineStr">
        <is>
          <t>A 18367-2025</t>
        </is>
      </c>
      <c r="B3983" s="1" t="n">
        <v>45762</v>
      </c>
      <c r="C3983" s="1" t="n">
        <v>46103</v>
      </c>
      <c r="D3983" t="inlineStr">
        <is>
          <t>KRONOBERGS LÄN</t>
        </is>
      </c>
      <c r="E3983" t="inlineStr">
        <is>
          <t>VÄXJÖ</t>
        </is>
      </c>
      <c r="F3983" t="inlineStr">
        <is>
          <t>Sveaskog</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7395-2026</t>
        </is>
      </c>
      <c r="B3984" s="1" t="n">
        <v>46059.37333333334</v>
      </c>
      <c r="C3984" s="1" t="n">
        <v>46103</v>
      </c>
      <c r="D3984" t="inlineStr">
        <is>
          <t>KRONOBERGS LÄN</t>
        </is>
      </c>
      <c r="E3984" t="inlineStr">
        <is>
          <t>VÄXJÖ</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58180-2023</t>
        </is>
      </c>
      <c r="B3985" s="1" t="n">
        <v>45250.40770833333</v>
      </c>
      <c r="C3985" s="1" t="n">
        <v>46103</v>
      </c>
      <c r="D3985" t="inlineStr">
        <is>
          <t>KRONOBERGS LÄN</t>
        </is>
      </c>
      <c r="E3985" t="inlineStr">
        <is>
          <t>VÄXJÖ</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39309-2023</t>
        </is>
      </c>
      <c r="B3986" s="1" t="n">
        <v>45166</v>
      </c>
      <c r="C3986" s="1" t="n">
        <v>46103</v>
      </c>
      <c r="D3986" t="inlineStr">
        <is>
          <t>KRONOBERGS LÄN</t>
        </is>
      </c>
      <c r="E3986" t="inlineStr">
        <is>
          <t>ALVESTA</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14584-2026</t>
        </is>
      </c>
      <c r="B3987" s="1" t="n">
        <v>46101.33913194444</v>
      </c>
      <c r="C3987" s="1" t="n">
        <v>46103</v>
      </c>
      <c r="D3987" t="inlineStr">
        <is>
          <t>KRONOBERGS LÄN</t>
        </is>
      </c>
      <c r="E3987" t="inlineStr">
        <is>
          <t>UPPVIDINGE</t>
        </is>
      </c>
      <c r="F3987" t="inlineStr">
        <is>
          <t>Sveaskog</t>
        </is>
      </c>
      <c r="G3987" t="n">
        <v>4.4</v>
      </c>
      <c r="H3987" t="n">
        <v>0</v>
      </c>
      <c r="I3987" t="n">
        <v>0</v>
      </c>
      <c r="J3987" t="n">
        <v>0</v>
      </c>
      <c r="K3987" t="n">
        <v>0</v>
      </c>
      <c r="L3987" t="n">
        <v>0</v>
      </c>
      <c r="M3987" t="n">
        <v>0</v>
      </c>
      <c r="N3987" t="n">
        <v>0</v>
      </c>
      <c r="O3987" t="n">
        <v>0</v>
      </c>
      <c r="P3987" t="n">
        <v>0</v>
      </c>
      <c r="Q3987" t="n">
        <v>0</v>
      </c>
      <c r="R3987" s="2" t="inlineStr"/>
    </row>
    <row r="3988" ht="15" customHeight="1">
      <c r="A3988" t="inlineStr">
        <is>
          <t>A 14585-2026</t>
        </is>
      </c>
      <c r="B3988" s="1" t="n">
        <v>46101.33956018519</v>
      </c>
      <c r="C3988" s="1" t="n">
        <v>46103</v>
      </c>
      <c r="D3988" t="inlineStr">
        <is>
          <t>KRONOBERGS LÄN</t>
        </is>
      </c>
      <c r="E3988" t="inlineStr">
        <is>
          <t>UPPVIDINGE</t>
        </is>
      </c>
      <c r="F3988" t="inlineStr">
        <is>
          <t>Sveaskog</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20963-2025</t>
        </is>
      </c>
      <c r="B3989" s="1" t="n">
        <v>45777.45011574074</v>
      </c>
      <c r="C3989" s="1" t="n">
        <v>46103</v>
      </c>
      <c r="D3989" t="inlineStr">
        <is>
          <t>KRONOBERGS LÄN</t>
        </is>
      </c>
      <c r="E3989" t="inlineStr">
        <is>
          <t>UPPVIDINGE</t>
        </is>
      </c>
      <c r="F3989" t="inlineStr">
        <is>
          <t>Sveaskog</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14581-2026</t>
        </is>
      </c>
      <c r="B3990" s="1" t="n">
        <v>46101.3378125</v>
      </c>
      <c r="C3990" s="1" t="n">
        <v>46103</v>
      </c>
      <c r="D3990" t="inlineStr">
        <is>
          <t>KRONOBERGS LÄN</t>
        </is>
      </c>
      <c r="E3990" t="inlineStr">
        <is>
          <t>UPPVIDINGE</t>
        </is>
      </c>
      <c r="F3990" t="inlineStr">
        <is>
          <t>Sveaskog</t>
        </is>
      </c>
      <c r="G3990" t="n">
        <v>4.1</v>
      </c>
      <c r="H3990" t="n">
        <v>0</v>
      </c>
      <c r="I3990" t="n">
        <v>0</v>
      </c>
      <c r="J3990" t="n">
        <v>0</v>
      </c>
      <c r="K3990" t="n">
        <v>0</v>
      </c>
      <c r="L3990" t="n">
        <v>0</v>
      </c>
      <c r="M3990" t="n">
        <v>0</v>
      </c>
      <c r="N3990" t="n">
        <v>0</v>
      </c>
      <c r="O3990" t="n">
        <v>0</v>
      </c>
      <c r="P3990" t="n">
        <v>0</v>
      </c>
      <c r="Q3990" t="n">
        <v>0</v>
      </c>
      <c r="R3990" s="2" t="inlineStr"/>
    </row>
    <row r="3991" ht="15" customHeight="1">
      <c r="A3991" t="inlineStr">
        <is>
          <t>A 57959-2024</t>
        </is>
      </c>
      <c r="B3991" s="1" t="n">
        <v>45631</v>
      </c>
      <c r="C3991" s="1" t="n">
        <v>46103</v>
      </c>
      <c r="D3991" t="inlineStr">
        <is>
          <t>KRONOBERGS LÄN</t>
        </is>
      </c>
      <c r="E3991" t="inlineStr">
        <is>
          <t>TINGSRYD</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35496-2023</t>
        </is>
      </c>
      <c r="B3992" s="1" t="n">
        <v>45146</v>
      </c>
      <c r="C3992" s="1" t="n">
        <v>46103</v>
      </c>
      <c r="D3992" t="inlineStr">
        <is>
          <t>KRONOBERGS LÄN</t>
        </is>
      </c>
      <c r="E3992" t="inlineStr">
        <is>
          <t>UPPVIDINGE</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37355-2021</t>
        </is>
      </c>
      <c r="B3993" s="1" t="n">
        <v>44397.68809027778</v>
      </c>
      <c r="C3993" s="1" t="n">
        <v>46103</v>
      </c>
      <c r="D3993" t="inlineStr">
        <is>
          <t>KRONOBERGS LÄN</t>
        </is>
      </c>
      <c r="E3993" t="inlineStr">
        <is>
          <t>VÄXJÖ</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20182-2025</t>
        </is>
      </c>
      <c r="B3994" s="1" t="n">
        <v>45772.59259259259</v>
      </c>
      <c r="C3994" s="1" t="n">
        <v>46103</v>
      </c>
      <c r="D3994" t="inlineStr">
        <is>
          <t>KRONOBERGS LÄN</t>
        </is>
      </c>
      <c r="E3994" t="inlineStr">
        <is>
          <t>LJUNGBY</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46360-2022</t>
        </is>
      </c>
      <c r="B3995" s="1" t="n">
        <v>44848.30996527777</v>
      </c>
      <c r="C3995" s="1" t="n">
        <v>46103</v>
      </c>
      <c r="D3995" t="inlineStr">
        <is>
          <t>KRONOBERGS LÄN</t>
        </is>
      </c>
      <c r="E3995" t="inlineStr">
        <is>
          <t>LJUNGBY</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7401-2026</t>
        </is>
      </c>
      <c r="B3996" s="1" t="n">
        <v>46059.38453703704</v>
      </c>
      <c r="C3996" s="1" t="n">
        <v>46103</v>
      </c>
      <c r="D3996" t="inlineStr">
        <is>
          <t>KRONOBERGS LÄN</t>
        </is>
      </c>
      <c r="E3996" t="inlineStr">
        <is>
          <t>LJUNGBY</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28292-2025</t>
        </is>
      </c>
      <c r="B3997" s="1" t="n">
        <v>45818.59465277778</v>
      </c>
      <c r="C3997" s="1" t="n">
        <v>46103</v>
      </c>
      <c r="D3997" t="inlineStr">
        <is>
          <t>KRONOBERGS LÄN</t>
        </is>
      </c>
      <c r="E3997" t="inlineStr">
        <is>
          <t>MARKARYD</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28391-2025</t>
        </is>
      </c>
      <c r="B3998" s="1" t="n">
        <v>45819.32747685185</v>
      </c>
      <c r="C3998" s="1" t="n">
        <v>46103</v>
      </c>
      <c r="D3998" t="inlineStr">
        <is>
          <t>KRONOBERGS LÄN</t>
        </is>
      </c>
      <c r="E3998" t="inlineStr">
        <is>
          <t>UPPVIDINGE</t>
        </is>
      </c>
      <c r="F3998" t="inlineStr">
        <is>
          <t>Sveaskog</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50629-2023</t>
        </is>
      </c>
      <c r="B3999" s="1" t="n">
        <v>45217</v>
      </c>
      <c r="C3999" s="1" t="n">
        <v>46103</v>
      </c>
      <c r="D3999" t="inlineStr">
        <is>
          <t>KRONOBERGS LÄN</t>
        </is>
      </c>
      <c r="E3999" t="inlineStr">
        <is>
          <t>ALVESTA</t>
        </is>
      </c>
      <c r="G3999" t="n">
        <v>5.4</v>
      </c>
      <c r="H3999" t="n">
        <v>0</v>
      </c>
      <c r="I3999" t="n">
        <v>0</v>
      </c>
      <c r="J3999" t="n">
        <v>0</v>
      </c>
      <c r="K3999" t="n">
        <v>0</v>
      </c>
      <c r="L3999" t="n">
        <v>0</v>
      </c>
      <c r="M3999" t="n">
        <v>0</v>
      </c>
      <c r="N3999" t="n">
        <v>0</v>
      </c>
      <c r="O3999" t="n">
        <v>0</v>
      </c>
      <c r="P3999" t="n">
        <v>0</v>
      </c>
      <c r="Q3999" t="n">
        <v>0</v>
      </c>
      <c r="R3999" s="2" t="inlineStr"/>
    </row>
    <row r="4000" ht="15" customHeight="1">
      <c r="A4000" t="inlineStr">
        <is>
          <t>A 20478-2025</t>
        </is>
      </c>
      <c r="B4000" s="1" t="n">
        <v>45775.55267361111</v>
      </c>
      <c r="C4000" s="1" t="n">
        <v>46103</v>
      </c>
      <c r="D4000" t="inlineStr">
        <is>
          <t>KRONOBERGS LÄN</t>
        </is>
      </c>
      <c r="E4000" t="inlineStr">
        <is>
          <t>LESSEBO</t>
        </is>
      </c>
      <c r="F4000" t="inlineStr">
        <is>
          <t>Sveaskog</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7383-2026</t>
        </is>
      </c>
      <c r="B4001" s="1" t="n">
        <v>46059.36332175926</v>
      </c>
      <c r="C4001" s="1" t="n">
        <v>46103</v>
      </c>
      <c r="D4001" t="inlineStr">
        <is>
          <t>KRONOBERGS LÄN</t>
        </is>
      </c>
      <c r="E4001" t="inlineStr">
        <is>
          <t>ÄLMHULT</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7405-2026</t>
        </is>
      </c>
      <c r="B4002" s="1" t="n">
        <v>46059.398125</v>
      </c>
      <c r="C4002" s="1" t="n">
        <v>46103</v>
      </c>
      <c r="D4002" t="inlineStr">
        <is>
          <t>KRONOBERGS LÄN</t>
        </is>
      </c>
      <c r="E4002" t="inlineStr">
        <is>
          <t>LJUNGBY</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40803-2023</t>
        </is>
      </c>
      <c r="B4003" s="1" t="n">
        <v>45171.28196759259</v>
      </c>
      <c r="C4003" s="1" t="n">
        <v>46103</v>
      </c>
      <c r="D4003" t="inlineStr">
        <is>
          <t>KRONOBERGS LÄN</t>
        </is>
      </c>
      <c r="E4003" t="inlineStr">
        <is>
          <t>ALVESTA</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4107-2025</t>
        </is>
      </c>
      <c r="B4004" s="1" t="n">
        <v>45684.69141203703</v>
      </c>
      <c r="C4004" s="1" t="n">
        <v>46103</v>
      </c>
      <c r="D4004" t="inlineStr">
        <is>
          <t>KRONOBERGS LÄN</t>
        </is>
      </c>
      <c r="E4004" t="inlineStr">
        <is>
          <t>LESSEBO</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8926-2024</t>
        </is>
      </c>
      <c r="B4005" s="1" t="n">
        <v>45357.39202546296</v>
      </c>
      <c r="C4005" s="1" t="n">
        <v>46103</v>
      </c>
      <c r="D4005" t="inlineStr">
        <is>
          <t>KRONOBERGS LÄN</t>
        </is>
      </c>
      <c r="E4005" t="inlineStr">
        <is>
          <t>UPPVIDINGE</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38330-2023</t>
        </is>
      </c>
      <c r="B4006" s="1" t="n">
        <v>45161.80061342593</v>
      </c>
      <c r="C4006" s="1" t="n">
        <v>46103</v>
      </c>
      <c r="D4006" t="inlineStr">
        <is>
          <t>KRONOBERGS LÄN</t>
        </is>
      </c>
      <c r="E4006" t="inlineStr">
        <is>
          <t>MARKARYD</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5982-2024</t>
        </is>
      </c>
      <c r="B4007" s="1" t="n">
        <v>45336.56375</v>
      </c>
      <c r="C4007" s="1" t="n">
        <v>46103</v>
      </c>
      <c r="D4007" t="inlineStr">
        <is>
          <t>KRONOBERGS LÄN</t>
        </is>
      </c>
      <c r="E4007" t="inlineStr">
        <is>
          <t>ALVESTA</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19867-2025</t>
        </is>
      </c>
      <c r="B4008" s="1" t="n">
        <v>45771.54145833333</v>
      </c>
      <c r="C4008" s="1" t="n">
        <v>46103</v>
      </c>
      <c r="D4008" t="inlineStr">
        <is>
          <t>KRONOBERGS LÄN</t>
        </is>
      </c>
      <c r="E4008" t="inlineStr">
        <is>
          <t>ÄLMHULT</t>
        </is>
      </c>
      <c r="F4008" t="inlineStr">
        <is>
          <t>Sveaskog</t>
        </is>
      </c>
      <c r="G4008" t="n">
        <v>13.1</v>
      </c>
      <c r="H4008" t="n">
        <v>0</v>
      </c>
      <c r="I4008" t="n">
        <v>0</v>
      </c>
      <c r="J4008" t="n">
        <v>0</v>
      </c>
      <c r="K4008" t="n">
        <v>0</v>
      </c>
      <c r="L4008" t="n">
        <v>0</v>
      </c>
      <c r="M4008" t="n">
        <v>0</v>
      </c>
      <c r="N4008" t="n">
        <v>0</v>
      </c>
      <c r="O4008" t="n">
        <v>0</v>
      </c>
      <c r="P4008" t="n">
        <v>0</v>
      </c>
      <c r="Q4008" t="n">
        <v>0</v>
      </c>
      <c r="R4008" s="2" t="inlineStr"/>
    </row>
    <row r="4009" ht="15" customHeight="1">
      <c r="A4009" t="inlineStr">
        <is>
          <t>A 23821-2025</t>
        </is>
      </c>
      <c r="B4009" s="1" t="n">
        <v>45793.58851851852</v>
      </c>
      <c r="C4009" s="1" t="n">
        <v>46103</v>
      </c>
      <c r="D4009" t="inlineStr">
        <is>
          <t>KRONOBERGS LÄN</t>
        </is>
      </c>
      <c r="E4009" t="inlineStr">
        <is>
          <t>TINGSRYD</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25391-2023</t>
        </is>
      </c>
      <c r="B4010" s="1" t="n">
        <v>45089</v>
      </c>
      <c r="C4010" s="1" t="n">
        <v>46103</v>
      </c>
      <c r="D4010" t="inlineStr">
        <is>
          <t>KRONOBERGS LÄN</t>
        </is>
      </c>
      <c r="E4010" t="inlineStr">
        <is>
          <t>LJUNGBY</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343-2022</t>
        </is>
      </c>
      <c r="B4011" s="1" t="n">
        <v>44565</v>
      </c>
      <c r="C4011" s="1" t="n">
        <v>46103</v>
      </c>
      <c r="D4011" t="inlineStr">
        <is>
          <t>KRONOBERGS LÄN</t>
        </is>
      </c>
      <c r="E4011" t="inlineStr">
        <is>
          <t>LJUNGBY</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346-2022</t>
        </is>
      </c>
      <c r="B4012" s="1" t="n">
        <v>44565.61265046296</v>
      </c>
      <c r="C4012" s="1" t="n">
        <v>46103</v>
      </c>
      <c r="D4012" t="inlineStr">
        <is>
          <t>KRONOBERGS LÄN</t>
        </is>
      </c>
      <c r="E4012" t="inlineStr">
        <is>
          <t>LJUNGBY</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10246-2023</t>
        </is>
      </c>
      <c r="B4013" s="1" t="n">
        <v>44986</v>
      </c>
      <c r="C4013" s="1" t="n">
        <v>46103</v>
      </c>
      <c r="D4013" t="inlineStr">
        <is>
          <t>KRONOBERGS LÄN</t>
        </is>
      </c>
      <c r="E4013" t="inlineStr">
        <is>
          <t>VÄXJÖ</t>
        </is>
      </c>
      <c r="G4013" t="n">
        <v>0</v>
      </c>
      <c r="H4013" t="n">
        <v>0</v>
      </c>
      <c r="I4013" t="n">
        <v>0</v>
      </c>
      <c r="J4013" t="n">
        <v>0</v>
      </c>
      <c r="K4013" t="n">
        <v>0</v>
      </c>
      <c r="L4013" t="n">
        <v>0</v>
      </c>
      <c r="M4013" t="n">
        <v>0</v>
      </c>
      <c r="N4013" t="n">
        <v>0</v>
      </c>
      <c r="O4013" t="n">
        <v>0</v>
      </c>
      <c r="P4013" t="n">
        <v>0</v>
      </c>
      <c r="Q4013" t="n">
        <v>0</v>
      </c>
      <c r="R4013" s="2" t="inlineStr"/>
    </row>
    <row r="4014" ht="15" customHeight="1">
      <c r="A4014" t="inlineStr">
        <is>
          <t>A 58047-2024</t>
        </is>
      </c>
      <c r="B4014" s="1" t="n">
        <v>45631.80012731482</v>
      </c>
      <c r="C4014" s="1" t="n">
        <v>46103</v>
      </c>
      <c r="D4014" t="inlineStr">
        <is>
          <t>KRONOBERGS LÄN</t>
        </is>
      </c>
      <c r="E4014" t="inlineStr">
        <is>
          <t>ÄLMHULT</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28490-2025</t>
        </is>
      </c>
      <c r="B4015" s="1" t="n">
        <v>45819.46775462963</v>
      </c>
      <c r="C4015" s="1" t="n">
        <v>46103</v>
      </c>
      <c r="D4015" t="inlineStr">
        <is>
          <t>KRONOBERGS LÄN</t>
        </is>
      </c>
      <c r="E4015" t="inlineStr">
        <is>
          <t>UPPVIDINGE</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8490-2024</t>
        </is>
      </c>
      <c r="B4016" s="1" t="n">
        <v>45355.43185185185</v>
      </c>
      <c r="C4016" s="1" t="n">
        <v>46103</v>
      </c>
      <c r="D4016" t="inlineStr">
        <is>
          <t>KRONOBERGS LÄN</t>
        </is>
      </c>
      <c r="E4016" t="inlineStr">
        <is>
          <t>ÄLMHULT</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8492-2024</t>
        </is>
      </c>
      <c r="B4017" s="1" t="n">
        <v>45355.44435185185</v>
      </c>
      <c r="C4017" s="1" t="n">
        <v>46103</v>
      </c>
      <c r="D4017" t="inlineStr">
        <is>
          <t>KRONOBERGS LÄN</t>
        </is>
      </c>
      <c r="E4017" t="inlineStr">
        <is>
          <t>ÄLMHULT</t>
        </is>
      </c>
      <c r="F4017" t="inlineStr">
        <is>
          <t>Sveaskog</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7142-2026</t>
        </is>
      </c>
      <c r="B4018" s="1" t="n">
        <v>46058.41280092593</v>
      </c>
      <c r="C4018" s="1" t="n">
        <v>46103</v>
      </c>
      <c r="D4018" t="inlineStr">
        <is>
          <t>KRONOBERGS LÄN</t>
        </is>
      </c>
      <c r="E4018" t="inlineStr">
        <is>
          <t>UPPVIDINGE</t>
        </is>
      </c>
      <c r="F4018" t="inlineStr">
        <is>
          <t>Sveaskog</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7148-2026</t>
        </is>
      </c>
      <c r="B4019" s="1" t="n">
        <v>46058.42458333333</v>
      </c>
      <c r="C4019" s="1" t="n">
        <v>46103</v>
      </c>
      <c r="D4019" t="inlineStr">
        <is>
          <t>KRONOBERGS LÄN</t>
        </is>
      </c>
      <c r="E4019" t="inlineStr">
        <is>
          <t>ALVESTA</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55206-2023</t>
        </is>
      </c>
      <c r="B4020" s="1" t="n">
        <v>45237</v>
      </c>
      <c r="C4020" s="1" t="n">
        <v>46103</v>
      </c>
      <c r="D4020" t="inlineStr">
        <is>
          <t>KRONOBERGS LÄN</t>
        </is>
      </c>
      <c r="E4020" t="inlineStr">
        <is>
          <t>MARKARYD</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29108-2025</t>
        </is>
      </c>
      <c r="B4021" s="1" t="n">
        <v>45821.58226851852</v>
      </c>
      <c r="C4021" s="1" t="n">
        <v>46103</v>
      </c>
      <c r="D4021" t="inlineStr">
        <is>
          <t>KRONOBERGS LÄN</t>
        </is>
      </c>
      <c r="E4021" t="inlineStr">
        <is>
          <t>ALVESTA</t>
        </is>
      </c>
      <c r="G4021" t="n">
        <v>3.8</v>
      </c>
      <c r="H4021" t="n">
        <v>0</v>
      </c>
      <c r="I4021" t="n">
        <v>0</v>
      </c>
      <c r="J4021" t="n">
        <v>0</v>
      </c>
      <c r="K4021" t="n">
        <v>0</v>
      </c>
      <c r="L4021" t="n">
        <v>0</v>
      </c>
      <c r="M4021" t="n">
        <v>0</v>
      </c>
      <c r="N4021" t="n">
        <v>0</v>
      </c>
      <c r="O4021" t="n">
        <v>0</v>
      </c>
      <c r="P4021" t="n">
        <v>0</v>
      </c>
      <c r="Q4021" t="n">
        <v>0</v>
      </c>
      <c r="R4021" s="2" t="inlineStr"/>
    </row>
    <row r="4022" ht="15" customHeight="1">
      <c r="A4022" t="inlineStr">
        <is>
          <t>A 14375-2026</t>
        </is>
      </c>
      <c r="B4022" s="1" t="n">
        <v>46100.36990740741</v>
      </c>
      <c r="C4022" s="1" t="n">
        <v>46103</v>
      </c>
      <c r="D4022" t="inlineStr">
        <is>
          <t>KRONOBERGS LÄN</t>
        </is>
      </c>
      <c r="E4022" t="inlineStr">
        <is>
          <t>TINGSRYD</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14377-2026</t>
        </is>
      </c>
      <c r="B4023" s="1" t="n">
        <v>46100.37087962963</v>
      </c>
      <c r="C4023" s="1" t="n">
        <v>46103</v>
      </c>
      <c r="D4023" t="inlineStr">
        <is>
          <t>KRONOBERGS LÄN</t>
        </is>
      </c>
      <c r="E4023" t="inlineStr">
        <is>
          <t>VÄXJÖ</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54924-2023</t>
        </is>
      </c>
      <c r="B4024" s="1" t="n">
        <v>45236.68318287037</v>
      </c>
      <c r="C4024" s="1" t="n">
        <v>46103</v>
      </c>
      <c r="D4024" t="inlineStr">
        <is>
          <t>KRONOBERGS LÄN</t>
        </is>
      </c>
      <c r="E4024" t="inlineStr">
        <is>
          <t>LJUNGBY</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13193-2023</t>
        </is>
      </c>
      <c r="B4025" s="1" t="n">
        <v>45002</v>
      </c>
      <c r="C4025" s="1" t="n">
        <v>46103</v>
      </c>
      <c r="D4025" t="inlineStr">
        <is>
          <t>KRONOBERGS LÄN</t>
        </is>
      </c>
      <c r="E4025" t="inlineStr">
        <is>
          <t>TINGSRYD</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35102-2024</t>
        </is>
      </c>
      <c r="B4026" s="1" t="n">
        <v>45529.48386574074</v>
      </c>
      <c r="C4026" s="1" t="n">
        <v>46103</v>
      </c>
      <c r="D4026" t="inlineStr">
        <is>
          <t>KRONOBERGS LÄN</t>
        </is>
      </c>
      <c r="E4026" t="inlineStr">
        <is>
          <t>ÄLMHULT</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36862-2022</t>
        </is>
      </c>
      <c r="B4027" s="1" t="n">
        <v>44805</v>
      </c>
      <c r="C4027" s="1" t="n">
        <v>46103</v>
      </c>
      <c r="D4027" t="inlineStr">
        <is>
          <t>KRONOBERGS LÄN</t>
        </is>
      </c>
      <c r="E4027" t="inlineStr">
        <is>
          <t>ALVESTA</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28907-2025</t>
        </is>
      </c>
      <c r="B4028" s="1" t="n">
        <v>45820.65064814815</v>
      </c>
      <c r="C4028" s="1" t="n">
        <v>46103</v>
      </c>
      <c r="D4028" t="inlineStr">
        <is>
          <t>KRONOBERGS LÄN</t>
        </is>
      </c>
      <c r="E4028" t="inlineStr">
        <is>
          <t>VÄXJÖ</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7679-2026</t>
        </is>
      </c>
      <c r="B4029" s="1" t="n">
        <v>46059</v>
      </c>
      <c r="C4029" s="1" t="n">
        <v>46103</v>
      </c>
      <c r="D4029" t="inlineStr">
        <is>
          <t>KRONOBERGS LÄN</t>
        </is>
      </c>
      <c r="E4029" t="inlineStr">
        <is>
          <t>LJUNGBY</t>
        </is>
      </c>
      <c r="F4029" t="inlineStr">
        <is>
          <t>Kyrkan</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7150-2026</t>
        </is>
      </c>
      <c r="B4030" s="1" t="n">
        <v>46058.4265162037</v>
      </c>
      <c r="C4030" s="1" t="n">
        <v>46103</v>
      </c>
      <c r="D4030" t="inlineStr">
        <is>
          <t>KRONOBERGS LÄN</t>
        </is>
      </c>
      <c r="E4030" t="inlineStr">
        <is>
          <t>ALVESTA</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7156-2026</t>
        </is>
      </c>
      <c r="B4031" s="1" t="n">
        <v>46058.42856481481</v>
      </c>
      <c r="C4031" s="1" t="n">
        <v>46103</v>
      </c>
      <c r="D4031" t="inlineStr">
        <is>
          <t>KRONOBERGS LÄN</t>
        </is>
      </c>
      <c r="E4031" t="inlineStr">
        <is>
          <t>ALVESTA</t>
        </is>
      </c>
      <c r="G4031" t="n">
        <v>9.6</v>
      </c>
      <c r="H4031" t="n">
        <v>0</v>
      </c>
      <c r="I4031" t="n">
        <v>0</v>
      </c>
      <c r="J4031" t="n">
        <v>0</v>
      </c>
      <c r="K4031" t="n">
        <v>0</v>
      </c>
      <c r="L4031" t="n">
        <v>0</v>
      </c>
      <c r="M4031" t="n">
        <v>0</v>
      </c>
      <c r="N4031" t="n">
        <v>0</v>
      </c>
      <c r="O4031" t="n">
        <v>0</v>
      </c>
      <c r="P4031" t="n">
        <v>0</v>
      </c>
      <c r="Q4031" t="n">
        <v>0</v>
      </c>
      <c r="R4031" s="2" t="inlineStr"/>
    </row>
    <row r="4032" ht="15" customHeight="1">
      <c r="A4032" t="inlineStr">
        <is>
          <t>A 60369-2024</t>
        </is>
      </c>
      <c r="B4032" s="1" t="n">
        <v>45643.46025462963</v>
      </c>
      <c r="C4032" s="1" t="n">
        <v>46103</v>
      </c>
      <c r="D4032" t="inlineStr">
        <is>
          <t>KRONOBERGS LÄN</t>
        </is>
      </c>
      <c r="E4032" t="inlineStr">
        <is>
          <t>MARKARYD</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16487-2024</t>
        </is>
      </c>
      <c r="B4033" s="1" t="n">
        <v>45408.34063657407</v>
      </c>
      <c r="C4033" s="1" t="n">
        <v>46103</v>
      </c>
      <c r="D4033" t="inlineStr">
        <is>
          <t>KRONOBERGS LÄN</t>
        </is>
      </c>
      <c r="E4033" t="inlineStr">
        <is>
          <t>TINGSRYD</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28732-2025</t>
        </is>
      </c>
      <c r="B4034" s="1" t="n">
        <v>45820.36880787037</v>
      </c>
      <c r="C4034" s="1" t="n">
        <v>46103</v>
      </c>
      <c r="D4034" t="inlineStr">
        <is>
          <t>KRONOBERGS LÄN</t>
        </is>
      </c>
      <c r="E4034" t="inlineStr">
        <is>
          <t>TINGSRYD</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60627-2024</t>
        </is>
      </c>
      <c r="B4035" s="1" t="n">
        <v>45644.39822916667</v>
      </c>
      <c r="C4035" s="1" t="n">
        <v>46103</v>
      </c>
      <c r="D4035" t="inlineStr">
        <is>
          <t>KRONOBERGS LÄN</t>
        </is>
      </c>
      <c r="E4035" t="inlineStr">
        <is>
          <t>TINGSRYD</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62519-2023</t>
        </is>
      </c>
      <c r="B4036" s="1" t="n">
        <v>45268</v>
      </c>
      <c r="C4036" s="1" t="n">
        <v>46103</v>
      </c>
      <c r="D4036" t="inlineStr">
        <is>
          <t>KRONOBERGS LÄN</t>
        </is>
      </c>
      <c r="E4036" t="inlineStr">
        <is>
          <t>MARKARYD</t>
        </is>
      </c>
      <c r="F4036" t="inlineStr">
        <is>
          <t>Sveaskog</t>
        </is>
      </c>
      <c r="G4036" t="n">
        <v>4.7</v>
      </c>
      <c r="H4036" t="n">
        <v>0</v>
      </c>
      <c r="I4036" t="n">
        <v>0</v>
      </c>
      <c r="J4036" t="n">
        <v>0</v>
      </c>
      <c r="K4036" t="n">
        <v>0</v>
      </c>
      <c r="L4036" t="n">
        <v>0</v>
      </c>
      <c r="M4036" t="n">
        <v>0</v>
      </c>
      <c r="N4036" t="n">
        <v>0</v>
      </c>
      <c r="O4036" t="n">
        <v>0</v>
      </c>
      <c r="P4036" t="n">
        <v>0</v>
      </c>
      <c r="Q4036" t="n">
        <v>0</v>
      </c>
      <c r="R4036" s="2" t="inlineStr"/>
    </row>
    <row r="4037" ht="15" customHeight="1">
      <c r="A4037" t="inlineStr">
        <is>
          <t>A 28794-2025</t>
        </is>
      </c>
      <c r="B4037" s="1" t="n">
        <v>45820.47526620371</v>
      </c>
      <c r="C4037" s="1" t="n">
        <v>46103</v>
      </c>
      <c r="D4037" t="inlineStr">
        <is>
          <t>KRONOBERGS LÄN</t>
        </is>
      </c>
      <c r="E4037" t="inlineStr">
        <is>
          <t>LESSEBO</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59477-2024</t>
        </is>
      </c>
      <c r="B4038" s="1" t="n">
        <v>45638.51944444444</v>
      </c>
      <c r="C4038" s="1" t="n">
        <v>46103</v>
      </c>
      <c r="D4038" t="inlineStr">
        <is>
          <t>KRONOBERGS LÄN</t>
        </is>
      </c>
      <c r="E4038" t="inlineStr">
        <is>
          <t>VÄXJÖ</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9674-2025</t>
        </is>
      </c>
      <c r="B4039" s="1" t="n">
        <v>45716.33921296296</v>
      </c>
      <c r="C4039" s="1" t="n">
        <v>46103</v>
      </c>
      <c r="D4039" t="inlineStr">
        <is>
          <t>KRONOBERGS LÄN</t>
        </is>
      </c>
      <c r="E4039" t="inlineStr">
        <is>
          <t>UPPVIDINGE</t>
        </is>
      </c>
      <c r="F4039" t="inlineStr">
        <is>
          <t>Sveaskog</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9685-2025</t>
        </is>
      </c>
      <c r="B4040" s="1" t="n">
        <v>45716.35056712963</v>
      </c>
      <c r="C4040" s="1" t="n">
        <v>46103</v>
      </c>
      <c r="D4040" t="inlineStr">
        <is>
          <t>KRONOBERGS LÄN</t>
        </is>
      </c>
      <c r="E4040" t="inlineStr">
        <is>
          <t>UPPVIDINGE</t>
        </is>
      </c>
      <c r="F4040" t="inlineStr">
        <is>
          <t>Sveaskog</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28795-2025</t>
        </is>
      </c>
      <c r="B4041" s="1" t="n">
        <v>45820</v>
      </c>
      <c r="C4041" s="1" t="n">
        <v>46103</v>
      </c>
      <c r="D4041" t="inlineStr">
        <is>
          <t>KRONOBERGS LÄN</t>
        </is>
      </c>
      <c r="E4041" t="inlineStr">
        <is>
          <t>ALVESTA</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28801-2025</t>
        </is>
      </c>
      <c r="B4042" s="1" t="n">
        <v>45820.49263888889</v>
      </c>
      <c r="C4042" s="1" t="n">
        <v>46103</v>
      </c>
      <c r="D4042" t="inlineStr">
        <is>
          <t>KRONOBERGS LÄN</t>
        </is>
      </c>
      <c r="E4042" t="inlineStr">
        <is>
          <t>VÄXJÖ</t>
        </is>
      </c>
      <c r="G4042" t="n">
        <v>4</v>
      </c>
      <c r="H4042" t="n">
        <v>0</v>
      </c>
      <c r="I4042" t="n">
        <v>0</v>
      </c>
      <c r="J4042" t="n">
        <v>0</v>
      </c>
      <c r="K4042" t="n">
        <v>0</v>
      </c>
      <c r="L4042" t="n">
        <v>0</v>
      </c>
      <c r="M4042" t="n">
        <v>0</v>
      </c>
      <c r="N4042" t="n">
        <v>0</v>
      </c>
      <c r="O4042" t="n">
        <v>0</v>
      </c>
      <c r="P4042" t="n">
        <v>0</v>
      </c>
      <c r="Q4042" t="n">
        <v>0</v>
      </c>
      <c r="R4042" s="2" t="inlineStr"/>
    </row>
    <row r="4043" ht="15" customHeight="1">
      <c r="A4043" t="inlineStr">
        <is>
          <t>A 12513-2025</t>
        </is>
      </c>
      <c r="B4043" s="1" t="n">
        <v>45730.6487037037</v>
      </c>
      <c r="C4043" s="1" t="n">
        <v>46103</v>
      </c>
      <c r="D4043" t="inlineStr">
        <is>
          <t>KRONOBERGS LÄN</t>
        </is>
      </c>
      <c r="E4043" t="inlineStr">
        <is>
          <t>LJUNGBY</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12520-2025</t>
        </is>
      </c>
      <c r="B4044" s="1" t="n">
        <v>45730.66740740741</v>
      </c>
      <c r="C4044" s="1" t="n">
        <v>46103</v>
      </c>
      <c r="D4044" t="inlineStr">
        <is>
          <t>KRONOBERGS LÄN</t>
        </is>
      </c>
      <c r="E4044" t="inlineStr">
        <is>
          <t>MARKARYD</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21863-2023</t>
        </is>
      </c>
      <c r="B4045" s="1" t="n">
        <v>45068.45921296296</v>
      </c>
      <c r="C4045" s="1" t="n">
        <v>46103</v>
      </c>
      <c r="D4045" t="inlineStr">
        <is>
          <t>KRONOBERGS LÄN</t>
        </is>
      </c>
      <c r="E4045" t="inlineStr">
        <is>
          <t>LJUNGBY</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54722-2023</t>
        </is>
      </c>
      <c r="B4046" s="1" t="n">
        <v>45229</v>
      </c>
      <c r="C4046" s="1" t="n">
        <v>46103</v>
      </c>
      <c r="D4046" t="inlineStr">
        <is>
          <t>KRONOBERGS LÄN</t>
        </is>
      </c>
      <c r="E4046" t="inlineStr">
        <is>
          <t>TINGSRYD</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7395-2022</t>
        </is>
      </c>
      <c r="B4047" s="1" t="n">
        <v>44606.6459375</v>
      </c>
      <c r="C4047" s="1" t="n">
        <v>46103</v>
      </c>
      <c r="D4047" t="inlineStr">
        <is>
          <t>KRONOBERGS LÄN</t>
        </is>
      </c>
      <c r="E4047" t="inlineStr">
        <is>
          <t>MARKARYD</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29155-2024</t>
        </is>
      </c>
      <c r="B4048" s="1" t="n">
        <v>45482</v>
      </c>
      <c r="C4048" s="1" t="n">
        <v>46103</v>
      </c>
      <c r="D4048" t="inlineStr">
        <is>
          <t>KRONOBERGS LÄN</t>
        </is>
      </c>
      <c r="E4048" t="inlineStr">
        <is>
          <t>ALVESTA</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3875-2024</t>
        </is>
      </c>
      <c r="B4049" s="1" t="n">
        <v>45322</v>
      </c>
      <c r="C4049" s="1" t="n">
        <v>46103</v>
      </c>
      <c r="D4049" t="inlineStr">
        <is>
          <t>KRONOBERGS LÄN</t>
        </is>
      </c>
      <c r="E4049" t="inlineStr">
        <is>
          <t>LESSEBO</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7703-2024</t>
        </is>
      </c>
      <c r="B4050" s="1" t="n">
        <v>45349</v>
      </c>
      <c r="C4050" s="1" t="n">
        <v>46103</v>
      </c>
      <c r="D4050" t="inlineStr">
        <is>
          <t>KRONOBERGS LÄN</t>
        </is>
      </c>
      <c r="E4050" t="inlineStr">
        <is>
          <t>ALVESTA</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28904-2025</t>
        </is>
      </c>
      <c r="B4051" s="1" t="n">
        <v>45820.64496527778</v>
      </c>
      <c r="C4051" s="1" t="n">
        <v>46103</v>
      </c>
      <c r="D4051" t="inlineStr">
        <is>
          <t>KRONOBERGS LÄN</t>
        </is>
      </c>
      <c r="E4051" t="inlineStr">
        <is>
          <t>VÄXJÖ</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28947-2025</t>
        </is>
      </c>
      <c r="B4052" s="1" t="n">
        <v>45820.78407407407</v>
      </c>
      <c r="C4052" s="1" t="n">
        <v>46103</v>
      </c>
      <c r="D4052" t="inlineStr">
        <is>
          <t>KRONOBERGS LÄN</t>
        </is>
      </c>
      <c r="E4052" t="inlineStr">
        <is>
          <t>TINGSRYD</t>
        </is>
      </c>
      <c r="F4052" t="inlineStr">
        <is>
          <t>Sveaskog</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28174-2025</t>
        </is>
      </c>
      <c r="B4053" s="1" t="n">
        <v>45818</v>
      </c>
      <c r="C4053" s="1" t="n">
        <v>46103</v>
      </c>
      <c r="D4053" t="inlineStr">
        <is>
          <t>KRONOBERGS LÄN</t>
        </is>
      </c>
      <c r="E4053" t="inlineStr">
        <is>
          <t>VÄXJÖ</t>
        </is>
      </c>
      <c r="G4053" t="n">
        <v>7</v>
      </c>
      <c r="H4053" t="n">
        <v>0</v>
      </c>
      <c r="I4053" t="n">
        <v>0</v>
      </c>
      <c r="J4053" t="n">
        <v>0</v>
      </c>
      <c r="K4053" t="n">
        <v>0</v>
      </c>
      <c r="L4053" t="n">
        <v>0</v>
      </c>
      <c r="M4053" t="n">
        <v>0</v>
      </c>
      <c r="N4053" t="n">
        <v>0</v>
      </c>
      <c r="O4053" t="n">
        <v>0</v>
      </c>
      <c r="P4053" t="n">
        <v>0</v>
      </c>
      <c r="Q4053" t="n">
        <v>0</v>
      </c>
      <c r="R4053" s="2" t="inlineStr"/>
    </row>
    <row r="4054" ht="15" customHeight="1">
      <c r="A4054" t="inlineStr">
        <is>
          <t>A 28965-2025</t>
        </is>
      </c>
      <c r="B4054" s="1" t="n">
        <v>45821.34012731481</v>
      </c>
      <c r="C4054" s="1" t="n">
        <v>46103</v>
      </c>
      <c r="D4054" t="inlineStr">
        <is>
          <t>KRONOBERGS LÄN</t>
        </is>
      </c>
      <c r="E4054" t="inlineStr">
        <is>
          <t>TINGSRYD</t>
        </is>
      </c>
      <c r="G4054" t="n">
        <v>8.9</v>
      </c>
      <c r="H4054" t="n">
        <v>0</v>
      </c>
      <c r="I4054" t="n">
        <v>0</v>
      </c>
      <c r="J4054" t="n">
        <v>0</v>
      </c>
      <c r="K4054" t="n">
        <v>0</v>
      </c>
      <c r="L4054" t="n">
        <v>0</v>
      </c>
      <c r="M4054" t="n">
        <v>0</v>
      </c>
      <c r="N4054" t="n">
        <v>0</v>
      </c>
      <c r="O4054" t="n">
        <v>0</v>
      </c>
      <c r="P4054" t="n">
        <v>0</v>
      </c>
      <c r="Q4054" t="n">
        <v>0</v>
      </c>
      <c r="R4054" s="2" t="inlineStr"/>
    </row>
    <row r="4055" ht="15" customHeight="1">
      <c r="A4055" t="inlineStr">
        <is>
          <t>A 45040-2023</t>
        </is>
      </c>
      <c r="B4055" s="1" t="n">
        <v>45191.32893518519</v>
      </c>
      <c r="C4055" s="1" t="n">
        <v>46103</v>
      </c>
      <c r="D4055" t="inlineStr">
        <is>
          <t>KRONOBERGS LÄN</t>
        </is>
      </c>
      <c r="E4055" t="inlineStr">
        <is>
          <t>TINGSRYD</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6611-2024</t>
        </is>
      </c>
      <c r="B4056" s="1" t="n">
        <v>45341.58440972222</v>
      </c>
      <c r="C4056" s="1" t="n">
        <v>46103</v>
      </c>
      <c r="D4056" t="inlineStr">
        <is>
          <t>KRONOBERGS LÄN</t>
        </is>
      </c>
      <c r="E4056" t="inlineStr">
        <is>
          <t>UPPVIDINGE</t>
        </is>
      </c>
      <c r="F4056" t="inlineStr">
        <is>
          <t>Sveaskog</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60457-2022</t>
        </is>
      </c>
      <c r="B4057" s="1" t="n">
        <v>44911.38021990741</v>
      </c>
      <c r="C4057" s="1" t="n">
        <v>46103</v>
      </c>
      <c r="D4057" t="inlineStr">
        <is>
          <t>KRONOBERGS LÄN</t>
        </is>
      </c>
      <c r="E4057" t="inlineStr">
        <is>
          <t>MARKARYD</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28165-2025</t>
        </is>
      </c>
      <c r="B4058" s="1" t="n">
        <v>45818</v>
      </c>
      <c r="C4058" s="1" t="n">
        <v>46103</v>
      </c>
      <c r="D4058" t="inlineStr">
        <is>
          <t>KRONOBERGS LÄN</t>
        </is>
      </c>
      <c r="E4058" t="inlineStr">
        <is>
          <t>VÄXJÖ</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2961-2024</t>
        </is>
      </c>
      <c r="B4059" s="1" t="n">
        <v>45315.65375</v>
      </c>
      <c r="C4059" s="1" t="n">
        <v>46103</v>
      </c>
      <c r="D4059" t="inlineStr">
        <is>
          <t>KRONOBERGS LÄN</t>
        </is>
      </c>
      <c r="E4059" t="inlineStr">
        <is>
          <t>LJUNGBY</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6559-2023</t>
        </is>
      </c>
      <c r="B4060" s="1" t="n">
        <v>44966.45240740741</v>
      </c>
      <c r="C4060" s="1" t="n">
        <v>46103</v>
      </c>
      <c r="D4060" t="inlineStr">
        <is>
          <t>KRONOBERGS LÄN</t>
        </is>
      </c>
      <c r="E4060" t="inlineStr">
        <is>
          <t>ALVESTA</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25742-2025</t>
        </is>
      </c>
      <c r="B4061" s="1" t="n">
        <v>45803.88311342592</v>
      </c>
      <c r="C4061" s="1" t="n">
        <v>46103</v>
      </c>
      <c r="D4061" t="inlineStr">
        <is>
          <t>KRONOBERGS LÄN</t>
        </is>
      </c>
      <c r="E4061" t="inlineStr">
        <is>
          <t>TINGSRYD</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54629-2022</t>
        </is>
      </c>
      <c r="B4062" s="1" t="n">
        <v>44883.38564814815</v>
      </c>
      <c r="C4062" s="1" t="n">
        <v>46103</v>
      </c>
      <c r="D4062" t="inlineStr">
        <is>
          <t>KRONOBERGS LÄN</t>
        </is>
      </c>
      <c r="E4062" t="inlineStr">
        <is>
          <t>ÄLMHULT</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29331-2025</t>
        </is>
      </c>
      <c r="B4063" s="1" t="n">
        <v>45824.48737268519</v>
      </c>
      <c r="C4063" s="1" t="n">
        <v>46103</v>
      </c>
      <c r="D4063" t="inlineStr">
        <is>
          <t>KRONOBERGS LÄN</t>
        </is>
      </c>
      <c r="E4063" t="inlineStr">
        <is>
          <t>UPPVIDINGE</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12854-2023</t>
        </is>
      </c>
      <c r="B4064" s="1" t="n">
        <v>45000</v>
      </c>
      <c r="C4064" s="1" t="n">
        <v>46103</v>
      </c>
      <c r="D4064" t="inlineStr">
        <is>
          <t>KRONOBERGS LÄN</t>
        </is>
      </c>
      <c r="E4064" t="inlineStr">
        <is>
          <t>MARKARYD</t>
        </is>
      </c>
      <c r="F4064" t="inlineStr">
        <is>
          <t>Kyrkan</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29659-2025</t>
        </is>
      </c>
      <c r="B4065" s="1" t="n">
        <v>45825.48642361111</v>
      </c>
      <c r="C4065" s="1" t="n">
        <v>46103</v>
      </c>
      <c r="D4065" t="inlineStr">
        <is>
          <t>KRONOBERGS LÄN</t>
        </is>
      </c>
      <c r="E4065" t="inlineStr">
        <is>
          <t>LESSEBO</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29582-2025</t>
        </is>
      </c>
      <c r="B4066" s="1" t="n">
        <v>45825.38452546296</v>
      </c>
      <c r="C4066" s="1" t="n">
        <v>46103</v>
      </c>
      <c r="D4066" t="inlineStr">
        <is>
          <t>KRONOBERGS LÄN</t>
        </is>
      </c>
      <c r="E4066" t="inlineStr">
        <is>
          <t>VÄXJÖ</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29592-2025</t>
        </is>
      </c>
      <c r="B4067" s="1" t="n">
        <v>45825.40163194444</v>
      </c>
      <c r="C4067" s="1" t="n">
        <v>46103</v>
      </c>
      <c r="D4067" t="inlineStr">
        <is>
          <t>KRONOBERGS LÄN</t>
        </is>
      </c>
      <c r="E4067" t="inlineStr">
        <is>
          <t>UPPVIDINGE</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29439-2025</t>
        </is>
      </c>
      <c r="B4068" s="1" t="n">
        <v>45824.65828703704</v>
      </c>
      <c r="C4068" s="1" t="n">
        <v>46103</v>
      </c>
      <c r="D4068" t="inlineStr">
        <is>
          <t>KRONOBERGS LÄN</t>
        </is>
      </c>
      <c r="E4068" t="inlineStr">
        <is>
          <t>MARKARYD</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29799-2025</t>
        </is>
      </c>
      <c r="B4069" s="1" t="n">
        <v>45825.69231481481</v>
      </c>
      <c r="C4069" s="1" t="n">
        <v>46103</v>
      </c>
      <c r="D4069" t="inlineStr">
        <is>
          <t>KRONOBERGS LÄN</t>
        </is>
      </c>
      <c r="E4069" t="inlineStr">
        <is>
          <t>VÄXJÖ</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29313-2025</t>
        </is>
      </c>
      <c r="B4070" s="1" t="n">
        <v>45824.46503472222</v>
      </c>
      <c r="C4070" s="1" t="n">
        <v>46103</v>
      </c>
      <c r="D4070" t="inlineStr">
        <is>
          <t>KRONOBERGS LÄN</t>
        </is>
      </c>
      <c r="E4070" t="inlineStr">
        <is>
          <t>ALVESTA</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1052-2023</t>
        </is>
      </c>
      <c r="B4071" s="1" t="n">
        <v>44935</v>
      </c>
      <c r="C4071" s="1" t="n">
        <v>46103</v>
      </c>
      <c r="D4071" t="inlineStr">
        <is>
          <t>KRONOBERGS LÄN</t>
        </is>
      </c>
      <c r="E4071" t="inlineStr">
        <is>
          <t>MARKARYD</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1055-2023</t>
        </is>
      </c>
      <c r="B4072" s="1" t="n">
        <v>44935.49515046296</v>
      </c>
      <c r="C4072" s="1" t="n">
        <v>46103</v>
      </c>
      <c r="D4072" t="inlineStr">
        <is>
          <t>KRONOBERGS LÄN</t>
        </is>
      </c>
      <c r="E4072" t="inlineStr">
        <is>
          <t>ALVESTA</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1080-2023</t>
        </is>
      </c>
      <c r="B4073" s="1" t="n">
        <v>44935.54856481482</v>
      </c>
      <c r="C4073" s="1" t="n">
        <v>46103</v>
      </c>
      <c r="D4073" t="inlineStr">
        <is>
          <t>KRONOBERGS LÄN</t>
        </is>
      </c>
      <c r="E4073" t="inlineStr">
        <is>
          <t>MARKARYD</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29734-2025</t>
        </is>
      </c>
      <c r="B4074" s="1" t="n">
        <v>45825.58365740741</v>
      </c>
      <c r="C4074" s="1" t="n">
        <v>46103</v>
      </c>
      <c r="D4074" t="inlineStr">
        <is>
          <t>KRONOBERGS LÄN</t>
        </is>
      </c>
      <c r="E4074" t="inlineStr">
        <is>
          <t>UPPVIDINGE</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29399-2025</t>
        </is>
      </c>
      <c r="B4075" s="1" t="n">
        <v>45824.61335648148</v>
      </c>
      <c r="C4075" s="1" t="n">
        <v>46103</v>
      </c>
      <c r="D4075" t="inlineStr">
        <is>
          <t>KRONOBERGS LÄN</t>
        </is>
      </c>
      <c r="E4075" t="inlineStr">
        <is>
          <t>ALVESTA</t>
        </is>
      </c>
      <c r="G4075" t="n">
        <v>5.7</v>
      </c>
      <c r="H4075" t="n">
        <v>0</v>
      </c>
      <c r="I4075" t="n">
        <v>0</v>
      </c>
      <c r="J4075" t="n">
        <v>0</v>
      </c>
      <c r="K4075" t="n">
        <v>0</v>
      </c>
      <c r="L4075" t="n">
        <v>0</v>
      </c>
      <c r="M4075" t="n">
        <v>0</v>
      </c>
      <c r="N4075" t="n">
        <v>0</v>
      </c>
      <c r="O4075" t="n">
        <v>0</v>
      </c>
      <c r="P4075" t="n">
        <v>0</v>
      </c>
      <c r="Q4075" t="n">
        <v>0</v>
      </c>
      <c r="R4075" s="2" t="inlineStr"/>
    </row>
    <row r="4076" ht="15" customHeight="1">
      <c r="A4076" t="inlineStr">
        <is>
          <t>A 29163-2025</t>
        </is>
      </c>
      <c r="B4076" s="1" t="n">
        <v>45821.67606481481</v>
      </c>
      <c r="C4076" s="1" t="n">
        <v>46103</v>
      </c>
      <c r="D4076" t="inlineStr">
        <is>
          <t>KRONOBERGS LÄN</t>
        </is>
      </c>
      <c r="E4076" t="inlineStr">
        <is>
          <t>ALVESTA</t>
        </is>
      </c>
      <c r="G4076" t="n">
        <v>5.6</v>
      </c>
      <c r="H4076" t="n">
        <v>0</v>
      </c>
      <c r="I4076" t="n">
        <v>0</v>
      </c>
      <c r="J4076" t="n">
        <v>0</v>
      </c>
      <c r="K4076" t="n">
        <v>0</v>
      </c>
      <c r="L4076" t="n">
        <v>0</v>
      </c>
      <c r="M4076" t="n">
        <v>0</v>
      </c>
      <c r="N4076" t="n">
        <v>0</v>
      </c>
      <c r="O4076" t="n">
        <v>0</v>
      </c>
      <c r="P4076" t="n">
        <v>0</v>
      </c>
      <c r="Q4076" t="n">
        <v>0</v>
      </c>
      <c r="R4076" s="2" t="inlineStr"/>
    </row>
    <row r="4077" ht="15" customHeight="1">
      <c r="A4077" t="inlineStr">
        <is>
          <t>A 2088-2025</t>
        </is>
      </c>
      <c r="B4077" s="1" t="n">
        <v>45672.591875</v>
      </c>
      <c r="C4077" s="1" t="n">
        <v>46103</v>
      </c>
      <c r="D4077" t="inlineStr">
        <is>
          <t>KRONOBERGS LÄN</t>
        </is>
      </c>
      <c r="E4077" t="inlineStr">
        <is>
          <t>LJUNGBY</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27365-2024</t>
        </is>
      </c>
      <c r="B4078" s="1" t="n">
        <v>45473.77956018518</v>
      </c>
      <c r="C4078" s="1" t="n">
        <v>46103</v>
      </c>
      <c r="D4078" t="inlineStr">
        <is>
          <t>KRONOBERGS LÄN</t>
        </is>
      </c>
      <c r="E4078" t="inlineStr">
        <is>
          <t>MARKARYD</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38853-2024</t>
        </is>
      </c>
      <c r="B4079" s="1" t="n">
        <v>45547</v>
      </c>
      <c r="C4079" s="1" t="n">
        <v>46103</v>
      </c>
      <c r="D4079" t="inlineStr">
        <is>
          <t>KRONOBERGS LÄN</t>
        </is>
      </c>
      <c r="E4079" t="inlineStr">
        <is>
          <t>TINGSRYD</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56047-2023</t>
        </is>
      </c>
      <c r="B4080" s="1" t="n">
        <v>45233</v>
      </c>
      <c r="C4080" s="1" t="n">
        <v>46103</v>
      </c>
      <c r="D4080" t="inlineStr">
        <is>
          <t>KRONOBERGS LÄN</t>
        </is>
      </c>
      <c r="E4080" t="inlineStr">
        <is>
          <t>UPPVIDINGE</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66182-2021</t>
        </is>
      </c>
      <c r="B4081" s="1" t="n">
        <v>44518.26645833333</v>
      </c>
      <c r="C4081" s="1" t="n">
        <v>46103</v>
      </c>
      <c r="D4081" t="inlineStr">
        <is>
          <t>KRONOBERGS LÄN</t>
        </is>
      </c>
      <c r="E4081" t="inlineStr">
        <is>
          <t>TINGSRYD</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32334-2024</t>
        </is>
      </c>
      <c r="B4082" s="1" t="n">
        <v>45512.48291666667</v>
      </c>
      <c r="C4082" s="1" t="n">
        <v>46103</v>
      </c>
      <c r="D4082" t="inlineStr">
        <is>
          <t>KRONOBERGS LÄN</t>
        </is>
      </c>
      <c r="E4082" t="inlineStr">
        <is>
          <t>ALVESTA</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29461-2025</t>
        </is>
      </c>
      <c r="B4083" s="1" t="n">
        <v>45824.69634259259</v>
      </c>
      <c r="C4083" s="1" t="n">
        <v>46103</v>
      </c>
      <c r="D4083" t="inlineStr">
        <is>
          <t>KRONOBERGS LÄN</t>
        </is>
      </c>
      <c r="E4083" t="inlineStr">
        <is>
          <t>ALVESTA</t>
        </is>
      </c>
      <c r="G4083" t="n">
        <v>6.3</v>
      </c>
      <c r="H4083" t="n">
        <v>0</v>
      </c>
      <c r="I4083" t="n">
        <v>0</v>
      </c>
      <c r="J4083" t="n">
        <v>0</v>
      </c>
      <c r="K4083" t="n">
        <v>0</v>
      </c>
      <c r="L4083" t="n">
        <v>0</v>
      </c>
      <c r="M4083" t="n">
        <v>0</v>
      </c>
      <c r="N4083" t="n">
        <v>0</v>
      </c>
      <c r="O4083" t="n">
        <v>0</v>
      </c>
      <c r="P4083" t="n">
        <v>0</v>
      </c>
      <c r="Q4083" t="n">
        <v>0</v>
      </c>
      <c r="R4083" s="2" t="inlineStr"/>
    </row>
    <row r="4084" ht="15" customHeight="1">
      <c r="A4084" t="inlineStr">
        <is>
          <t>A 61442-2023</t>
        </is>
      </c>
      <c r="B4084" s="1" t="n">
        <v>45264</v>
      </c>
      <c r="C4084" s="1" t="n">
        <v>46103</v>
      </c>
      <c r="D4084" t="inlineStr">
        <is>
          <t>KRONOBERGS LÄN</t>
        </is>
      </c>
      <c r="E4084" t="inlineStr">
        <is>
          <t>TINGSRYD</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61445-2023</t>
        </is>
      </c>
      <c r="B4085" s="1" t="n">
        <v>45264.80452546296</v>
      </c>
      <c r="C4085" s="1" t="n">
        <v>46103</v>
      </c>
      <c r="D4085" t="inlineStr">
        <is>
          <t>KRONOBERGS LÄN</t>
        </is>
      </c>
      <c r="E4085" t="inlineStr">
        <is>
          <t>TINGSRYD</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60599-2024</t>
        </is>
      </c>
      <c r="B4086" s="1" t="n">
        <v>45644.36364583333</v>
      </c>
      <c r="C4086" s="1" t="n">
        <v>46103</v>
      </c>
      <c r="D4086" t="inlineStr">
        <is>
          <t>KRONOBERGS LÄN</t>
        </is>
      </c>
      <c r="E4086" t="inlineStr">
        <is>
          <t>UPPVIDINGE</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50892-2022</t>
        </is>
      </c>
      <c r="B4087" s="1" t="n">
        <v>44867</v>
      </c>
      <c r="C4087" s="1" t="n">
        <v>46103</v>
      </c>
      <c r="D4087" t="inlineStr">
        <is>
          <t>KRONOBERGS LÄN</t>
        </is>
      </c>
      <c r="E4087" t="inlineStr">
        <is>
          <t>LESSEBO</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43279-2023</t>
        </is>
      </c>
      <c r="B4088" s="1" t="n">
        <v>45183.5531712963</v>
      </c>
      <c r="C4088" s="1" t="n">
        <v>46103</v>
      </c>
      <c r="D4088" t="inlineStr">
        <is>
          <t>KRONOBERGS LÄN</t>
        </is>
      </c>
      <c r="E4088" t="inlineStr">
        <is>
          <t>VÄXJÖ</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29749-2025</t>
        </is>
      </c>
      <c r="B4089" s="1" t="n">
        <v>45825.60664351852</v>
      </c>
      <c r="C4089" s="1" t="n">
        <v>46103</v>
      </c>
      <c r="D4089" t="inlineStr">
        <is>
          <t>KRONOBERGS LÄN</t>
        </is>
      </c>
      <c r="E4089" t="inlineStr">
        <is>
          <t>ALVESTA</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49739-2024</t>
        </is>
      </c>
      <c r="B4090" s="1" t="n">
        <v>45596.8827662037</v>
      </c>
      <c r="C4090" s="1" t="n">
        <v>46103</v>
      </c>
      <c r="D4090" t="inlineStr">
        <is>
          <t>KRONOBERGS LÄN</t>
        </is>
      </c>
      <c r="E4090" t="inlineStr">
        <is>
          <t>TINGSRYD</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20851-2025</t>
        </is>
      </c>
      <c r="B4091" s="1" t="n">
        <v>45777.32086805555</v>
      </c>
      <c r="C4091" s="1" t="n">
        <v>46103</v>
      </c>
      <c r="D4091" t="inlineStr">
        <is>
          <t>KRONOBERGS LÄN</t>
        </is>
      </c>
      <c r="E4091" t="inlineStr">
        <is>
          <t>LESSEBO</t>
        </is>
      </c>
      <c r="F4091" t="inlineStr">
        <is>
          <t>Sveaskog</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2419-2023</t>
        </is>
      </c>
      <c r="B4092" s="1" t="n">
        <v>44943.28924768518</v>
      </c>
      <c r="C4092" s="1" t="n">
        <v>46103</v>
      </c>
      <c r="D4092" t="inlineStr">
        <is>
          <t>KRONOBERGS LÄN</t>
        </is>
      </c>
      <c r="E4092" t="inlineStr">
        <is>
          <t>ÄLMHULT</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29758-2025</t>
        </is>
      </c>
      <c r="B4093" s="1" t="n">
        <v>45825.61603009259</v>
      </c>
      <c r="C4093" s="1" t="n">
        <v>46103</v>
      </c>
      <c r="D4093" t="inlineStr">
        <is>
          <t>KRONOBERGS LÄN</t>
        </is>
      </c>
      <c r="E4093" t="inlineStr">
        <is>
          <t>ALVESTA</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29354-2023</t>
        </is>
      </c>
      <c r="B4094" s="1" t="n">
        <v>45106.30399305555</v>
      </c>
      <c r="C4094" s="1" t="n">
        <v>46103</v>
      </c>
      <c r="D4094" t="inlineStr">
        <is>
          <t>KRONOBERGS LÄN</t>
        </is>
      </c>
      <c r="E4094" t="inlineStr">
        <is>
          <t>TINGSRYD</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53792-2024</t>
        </is>
      </c>
      <c r="B4095" s="1" t="n">
        <v>45615.57574074074</v>
      </c>
      <c r="C4095" s="1" t="n">
        <v>46103</v>
      </c>
      <c r="D4095" t="inlineStr">
        <is>
          <t>KRONOBERGS LÄN</t>
        </is>
      </c>
      <c r="E4095" t="inlineStr">
        <is>
          <t>LJUNGBY</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8501-2023</t>
        </is>
      </c>
      <c r="B4096" s="1" t="n">
        <v>44977</v>
      </c>
      <c r="C4096" s="1" t="n">
        <v>46103</v>
      </c>
      <c r="D4096" t="inlineStr">
        <is>
          <t>KRONOBERGS LÄN</t>
        </is>
      </c>
      <c r="E4096" t="inlineStr">
        <is>
          <t>MARKARYD</t>
        </is>
      </c>
      <c r="G4096" t="n">
        <v>20.7</v>
      </c>
      <c r="H4096" t="n">
        <v>0</v>
      </c>
      <c r="I4096" t="n">
        <v>0</v>
      </c>
      <c r="J4096" t="n">
        <v>0</v>
      </c>
      <c r="K4096" t="n">
        <v>0</v>
      </c>
      <c r="L4096" t="n">
        <v>0</v>
      </c>
      <c r="M4096" t="n">
        <v>0</v>
      </c>
      <c r="N4096" t="n">
        <v>0</v>
      </c>
      <c r="O4096" t="n">
        <v>0</v>
      </c>
      <c r="P4096" t="n">
        <v>0</v>
      </c>
      <c r="Q4096" t="n">
        <v>0</v>
      </c>
      <c r="R4096" s="2" t="inlineStr"/>
    </row>
    <row r="4097" ht="15" customHeight="1">
      <c r="A4097" t="inlineStr">
        <is>
          <t>A 48156-2024</t>
        </is>
      </c>
      <c r="B4097" s="1" t="n">
        <v>45589.68910879629</v>
      </c>
      <c r="C4097" s="1" t="n">
        <v>46103</v>
      </c>
      <c r="D4097" t="inlineStr">
        <is>
          <t>KRONOBERGS LÄN</t>
        </is>
      </c>
      <c r="E4097" t="inlineStr">
        <is>
          <t>ÄLMHULT</t>
        </is>
      </c>
      <c r="G4097" t="n">
        <v>4.4</v>
      </c>
      <c r="H4097" t="n">
        <v>0</v>
      </c>
      <c r="I4097" t="n">
        <v>0</v>
      </c>
      <c r="J4097" t="n">
        <v>0</v>
      </c>
      <c r="K4097" t="n">
        <v>0</v>
      </c>
      <c r="L4097" t="n">
        <v>0</v>
      </c>
      <c r="M4097" t="n">
        <v>0</v>
      </c>
      <c r="N4097" t="n">
        <v>0</v>
      </c>
      <c r="O4097" t="n">
        <v>0</v>
      </c>
      <c r="P4097" t="n">
        <v>0</v>
      </c>
      <c r="Q4097" t="n">
        <v>0</v>
      </c>
      <c r="R4097" s="2" t="inlineStr"/>
    </row>
    <row r="4098" ht="15" customHeight="1">
      <c r="A4098" t="inlineStr">
        <is>
          <t>A 29785-2025</t>
        </is>
      </c>
      <c r="B4098" s="1" t="n">
        <v>45825.65555555555</v>
      </c>
      <c r="C4098" s="1" t="n">
        <v>46103</v>
      </c>
      <c r="D4098" t="inlineStr">
        <is>
          <t>KRONOBERGS LÄN</t>
        </is>
      </c>
      <c r="E4098" t="inlineStr">
        <is>
          <t>LJUNGBY</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14282-2023</t>
        </is>
      </c>
      <c r="B4099" s="1" t="n">
        <v>45010.45023148148</v>
      </c>
      <c r="C4099" s="1" t="n">
        <v>46103</v>
      </c>
      <c r="D4099" t="inlineStr">
        <is>
          <t>KRONOBERGS LÄN</t>
        </is>
      </c>
      <c r="E4099" t="inlineStr">
        <is>
          <t>ÄLMHULT</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29322-2025</t>
        </is>
      </c>
      <c r="B4100" s="1" t="n">
        <v>45824.47820601852</v>
      </c>
      <c r="C4100" s="1" t="n">
        <v>46103</v>
      </c>
      <c r="D4100" t="inlineStr">
        <is>
          <t>KRONOBERGS LÄN</t>
        </is>
      </c>
      <c r="E4100" t="inlineStr">
        <is>
          <t>MARKARYD</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29643-2025</t>
        </is>
      </c>
      <c r="B4101" s="1" t="n">
        <v>45825.46516203704</v>
      </c>
      <c r="C4101" s="1" t="n">
        <v>46103</v>
      </c>
      <c r="D4101" t="inlineStr">
        <is>
          <t>KRONOBERGS LÄN</t>
        </is>
      </c>
      <c r="E4101" t="inlineStr">
        <is>
          <t>UPPVIDINGE</t>
        </is>
      </c>
      <c r="G4101" t="n">
        <v>3.8</v>
      </c>
      <c r="H4101" t="n">
        <v>0</v>
      </c>
      <c r="I4101" t="n">
        <v>0</v>
      </c>
      <c r="J4101" t="n">
        <v>0</v>
      </c>
      <c r="K4101" t="n">
        <v>0</v>
      </c>
      <c r="L4101" t="n">
        <v>0</v>
      </c>
      <c r="M4101" t="n">
        <v>0</v>
      </c>
      <c r="N4101" t="n">
        <v>0</v>
      </c>
      <c r="O4101" t="n">
        <v>0</v>
      </c>
      <c r="P4101" t="n">
        <v>0</v>
      </c>
      <c r="Q4101" t="n">
        <v>0</v>
      </c>
      <c r="R4101" s="2" t="inlineStr"/>
    </row>
    <row r="4102" ht="15" customHeight="1">
      <c r="A4102" t="inlineStr">
        <is>
          <t>A 28084-2022</t>
        </is>
      </c>
      <c r="B4102" s="1" t="n">
        <v>44746</v>
      </c>
      <c r="C4102" s="1" t="n">
        <v>46103</v>
      </c>
      <c r="D4102" t="inlineStr">
        <is>
          <t>KRONOBERGS LÄN</t>
        </is>
      </c>
      <c r="E4102" t="inlineStr">
        <is>
          <t>VÄXJÖ</t>
        </is>
      </c>
      <c r="G4102" t="n">
        <v>3.6</v>
      </c>
      <c r="H4102" t="n">
        <v>0</v>
      </c>
      <c r="I4102" t="n">
        <v>0</v>
      </c>
      <c r="J4102" t="n">
        <v>0</v>
      </c>
      <c r="K4102" t="n">
        <v>0</v>
      </c>
      <c r="L4102" t="n">
        <v>0</v>
      </c>
      <c r="M4102" t="n">
        <v>0</v>
      </c>
      <c r="N4102" t="n">
        <v>0</v>
      </c>
      <c r="O4102" t="n">
        <v>0</v>
      </c>
      <c r="P4102" t="n">
        <v>0</v>
      </c>
      <c r="Q4102" t="n">
        <v>0</v>
      </c>
      <c r="R4102" s="2" t="inlineStr"/>
    </row>
    <row r="4103" ht="15" customHeight="1">
      <c r="A4103" t="inlineStr">
        <is>
          <t>A 26882-2024</t>
        </is>
      </c>
      <c r="B4103" s="1" t="n">
        <v>45470</v>
      </c>
      <c r="C4103" s="1" t="n">
        <v>46103</v>
      </c>
      <c r="D4103" t="inlineStr">
        <is>
          <t>KRONOBERGS LÄN</t>
        </is>
      </c>
      <c r="E4103" t="inlineStr">
        <is>
          <t>LJUNGBY</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49076-2024</t>
        </is>
      </c>
      <c r="B4104" s="1" t="n">
        <v>45594.61994212963</v>
      </c>
      <c r="C4104" s="1" t="n">
        <v>46103</v>
      </c>
      <c r="D4104" t="inlineStr">
        <is>
          <t>KRONOBERGS LÄN</t>
        </is>
      </c>
      <c r="E4104" t="inlineStr">
        <is>
          <t>LJUNGBY</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8494-2023</t>
        </is>
      </c>
      <c r="B4105" s="1" t="n">
        <v>44977</v>
      </c>
      <c r="C4105" s="1" t="n">
        <v>46103</v>
      </c>
      <c r="D4105" t="inlineStr">
        <is>
          <t>KRONOBERGS LÄN</t>
        </is>
      </c>
      <c r="E4105" t="inlineStr">
        <is>
          <t>MARKARYD</t>
        </is>
      </c>
      <c r="G4105" t="n">
        <v>13.6</v>
      </c>
      <c r="H4105" t="n">
        <v>0</v>
      </c>
      <c r="I4105" t="n">
        <v>0</v>
      </c>
      <c r="J4105" t="n">
        <v>0</v>
      </c>
      <c r="K4105" t="n">
        <v>0</v>
      </c>
      <c r="L4105" t="n">
        <v>0</v>
      </c>
      <c r="M4105" t="n">
        <v>0</v>
      </c>
      <c r="N4105" t="n">
        <v>0</v>
      </c>
      <c r="O4105" t="n">
        <v>0</v>
      </c>
      <c r="P4105" t="n">
        <v>0</v>
      </c>
      <c r="Q4105" t="n">
        <v>0</v>
      </c>
      <c r="R4105" s="2" t="inlineStr"/>
    </row>
    <row r="4106" ht="15" customHeight="1">
      <c r="A4106" t="inlineStr">
        <is>
          <t>A 8571-2023</t>
        </is>
      </c>
      <c r="B4106" s="1" t="n">
        <v>44977.63971064815</v>
      </c>
      <c r="C4106" s="1" t="n">
        <v>46103</v>
      </c>
      <c r="D4106" t="inlineStr">
        <is>
          <t>KRONOBERGS LÄN</t>
        </is>
      </c>
      <c r="E4106" t="inlineStr">
        <is>
          <t>VÄXJÖ</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29324-2025</t>
        </is>
      </c>
      <c r="B4107" s="1" t="n">
        <v>45824.47944444444</v>
      </c>
      <c r="C4107" s="1" t="n">
        <v>46103</v>
      </c>
      <c r="D4107" t="inlineStr">
        <is>
          <t>KRONOBERGS LÄN</t>
        </is>
      </c>
      <c r="E4107" t="inlineStr">
        <is>
          <t>VÄXJÖ</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29326-2025</t>
        </is>
      </c>
      <c r="B4108" s="1" t="n">
        <v>45824.48297453704</v>
      </c>
      <c r="C4108" s="1" t="n">
        <v>46103</v>
      </c>
      <c r="D4108" t="inlineStr">
        <is>
          <t>KRONOBERGS LÄN</t>
        </is>
      </c>
      <c r="E4108" t="inlineStr">
        <is>
          <t>VÄXJÖ</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31363-2023</t>
        </is>
      </c>
      <c r="B4109" s="1" t="n">
        <v>45114</v>
      </c>
      <c r="C4109" s="1" t="n">
        <v>46103</v>
      </c>
      <c r="D4109" t="inlineStr">
        <is>
          <t>KRONOBERGS LÄN</t>
        </is>
      </c>
      <c r="E4109" t="inlineStr">
        <is>
          <t>VÄXJÖ</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31364-2023</t>
        </is>
      </c>
      <c r="B4110" s="1" t="n">
        <v>45114</v>
      </c>
      <c r="C4110" s="1" t="n">
        <v>46103</v>
      </c>
      <c r="D4110" t="inlineStr">
        <is>
          <t>KRONOBERGS LÄN</t>
        </is>
      </c>
      <c r="E4110" t="inlineStr">
        <is>
          <t>VÄXJÖ</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29602-2025</t>
        </is>
      </c>
      <c r="B4111" s="1" t="n">
        <v>45825.41503472222</v>
      </c>
      <c r="C4111" s="1" t="n">
        <v>46103</v>
      </c>
      <c r="D4111" t="inlineStr">
        <is>
          <t>KRONOBERGS LÄN</t>
        </is>
      </c>
      <c r="E4111" t="inlineStr">
        <is>
          <t>TINGSRYD</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31765-2023</t>
        </is>
      </c>
      <c r="B4112" s="1" t="n">
        <v>45118</v>
      </c>
      <c r="C4112" s="1" t="n">
        <v>46103</v>
      </c>
      <c r="D4112" t="inlineStr">
        <is>
          <t>KRONOBERGS LÄN</t>
        </is>
      </c>
      <c r="E4112" t="inlineStr">
        <is>
          <t>UPPVIDINGE</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50882-2024</t>
        </is>
      </c>
      <c r="B4113" s="1" t="n">
        <v>45602.65810185186</v>
      </c>
      <c r="C4113" s="1" t="n">
        <v>46103</v>
      </c>
      <c r="D4113" t="inlineStr">
        <is>
          <t>KRONOBERGS LÄN</t>
        </is>
      </c>
      <c r="E4113" t="inlineStr">
        <is>
          <t>LJUNGBY</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29356-2025</t>
        </is>
      </c>
      <c r="B4114" s="1" t="n">
        <v>45824.55555555555</v>
      </c>
      <c r="C4114" s="1" t="n">
        <v>46103</v>
      </c>
      <c r="D4114" t="inlineStr">
        <is>
          <t>KRONOBERGS LÄN</t>
        </is>
      </c>
      <c r="E4114" t="inlineStr">
        <is>
          <t>LJUNGBY</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6493-2024</t>
        </is>
      </c>
      <c r="B4115" s="1" t="n">
        <v>45339</v>
      </c>
      <c r="C4115" s="1" t="n">
        <v>46103</v>
      </c>
      <c r="D4115" t="inlineStr">
        <is>
          <t>KRONOBERGS LÄN</t>
        </is>
      </c>
      <c r="E4115" t="inlineStr">
        <is>
          <t>LJUNGBY</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375-2024</t>
        </is>
      </c>
      <c r="B4116" s="1" t="n">
        <v>45296.33238425926</v>
      </c>
      <c r="C4116" s="1" t="n">
        <v>46103</v>
      </c>
      <c r="D4116" t="inlineStr">
        <is>
          <t>KRONOBERGS LÄN</t>
        </is>
      </c>
      <c r="E4116" t="inlineStr">
        <is>
          <t>VÄXJÖ</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42705-2023</t>
        </is>
      </c>
      <c r="B4117" s="1" t="n">
        <v>45181</v>
      </c>
      <c r="C4117" s="1" t="n">
        <v>46103</v>
      </c>
      <c r="D4117" t="inlineStr">
        <is>
          <t>KRONOBERGS LÄN</t>
        </is>
      </c>
      <c r="E4117" t="inlineStr">
        <is>
          <t>VÄXJÖ</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29479-2025</t>
        </is>
      </c>
      <c r="B4118" s="1" t="n">
        <v>45824</v>
      </c>
      <c r="C4118" s="1" t="n">
        <v>46103</v>
      </c>
      <c r="D4118" t="inlineStr">
        <is>
          <t>KRONOBERGS LÄN</t>
        </is>
      </c>
      <c r="E4118" t="inlineStr">
        <is>
          <t>ÄLMHULT</t>
        </is>
      </c>
      <c r="G4118" t="n">
        <v>4</v>
      </c>
      <c r="H4118" t="n">
        <v>0</v>
      </c>
      <c r="I4118" t="n">
        <v>0</v>
      </c>
      <c r="J4118" t="n">
        <v>0</v>
      </c>
      <c r="K4118" t="n">
        <v>0</v>
      </c>
      <c r="L4118" t="n">
        <v>0</v>
      </c>
      <c r="M4118" t="n">
        <v>0</v>
      </c>
      <c r="N4118" t="n">
        <v>0</v>
      </c>
      <c r="O4118" t="n">
        <v>0</v>
      </c>
      <c r="P4118" t="n">
        <v>0</v>
      </c>
      <c r="Q4118" t="n">
        <v>0</v>
      </c>
      <c r="R4118" s="2" t="inlineStr"/>
    </row>
    <row r="4119" ht="15" customHeight="1">
      <c r="A4119" t="inlineStr">
        <is>
          <t>A 27562-2023</t>
        </is>
      </c>
      <c r="B4119" s="1" t="n">
        <v>45097</v>
      </c>
      <c r="C4119" s="1" t="n">
        <v>46103</v>
      </c>
      <c r="D4119" t="inlineStr">
        <is>
          <t>KRONOBERGS LÄN</t>
        </is>
      </c>
      <c r="E4119" t="inlineStr">
        <is>
          <t>LJUNGBY</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54702-2024</t>
        </is>
      </c>
      <c r="B4120" s="1" t="n">
        <v>45618.40965277778</v>
      </c>
      <c r="C4120" s="1" t="n">
        <v>46103</v>
      </c>
      <c r="D4120" t="inlineStr">
        <is>
          <t>KRONOBERGS LÄN</t>
        </is>
      </c>
      <c r="E4120" t="inlineStr">
        <is>
          <t>TINGSRYD</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40164-2023</t>
        </is>
      </c>
      <c r="B4121" s="1" t="n">
        <v>45169.38462962963</v>
      </c>
      <c r="C4121" s="1" t="n">
        <v>46103</v>
      </c>
      <c r="D4121" t="inlineStr">
        <is>
          <t>KRONOBERGS LÄN</t>
        </is>
      </c>
      <c r="E4121" t="inlineStr">
        <is>
          <t>UPPVIDINGE</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8803-2024</t>
        </is>
      </c>
      <c r="B4122" s="1" t="n">
        <v>45356.64479166667</v>
      </c>
      <c r="C4122" s="1" t="n">
        <v>46103</v>
      </c>
      <c r="D4122" t="inlineStr">
        <is>
          <t>KRONOBERGS LÄN</t>
        </is>
      </c>
      <c r="E4122" t="inlineStr">
        <is>
          <t>ALVESTA</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25806-2023</t>
        </is>
      </c>
      <c r="B4123" s="1" t="n">
        <v>45090.5199537037</v>
      </c>
      <c r="C4123" s="1" t="n">
        <v>46103</v>
      </c>
      <c r="D4123" t="inlineStr">
        <is>
          <t>KRONOBERGS LÄN</t>
        </is>
      </c>
      <c r="E4123" t="inlineStr">
        <is>
          <t>VÄXJÖ</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30223-2025</t>
        </is>
      </c>
      <c r="B4124" s="1" t="n">
        <v>45827.37668981482</v>
      </c>
      <c r="C4124" s="1" t="n">
        <v>46103</v>
      </c>
      <c r="D4124" t="inlineStr">
        <is>
          <t>KRONOBERGS LÄN</t>
        </is>
      </c>
      <c r="E4124" t="inlineStr">
        <is>
          <t>ALVESTA</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47402-2024</t>
        </is>
      </c>
      <c r="B4125" s="1" t="n">
        <v>45587</v>
      </c>
      <c r="C4125" s="1" t="n">
        <v>46103</v>
      </c>
      <c r="D4125" t="inlineStr">
        <is>
          <t>KRONOBERGS LÄN</t>
        </is>
      </c>
      <c r="E4125" t="inlineStr">
        <is>
          <t>LESSEBO</t>
        </is>
      </c>
      <c r="G4125" t="n">
        <v>5.5</v>
      </c>
      <c r="H4125" t="n">
        <v>0</v>
      </c>
      <c r="I4125" t="n">
        <v>0</v>
      </c>
      <c r="J4125" t="n">
        <v>0</v>
      </c>
      <c r="K4125" t="n">
        <v>0</v>
      </c>
      <c r="L4125" t="n">
        <v>0</v>
      </c>
      <c r="M4125" t="n">
        <v>0</v>
      </c>
      <c r="N4125" t="n">
        <v>0</v>
      </c>
      <c r="O4125" t="n">
        <v>0</v>
      </c>
      <c r="P4125" t="n">
        <v>0</v>
      </c>
      <c r="Q4125" t="n">
        <v>0</v>
      </c>
      <c r="R4125" s="2" t="inlineStr"/>
    </row>
    <row r="4126" ht="15" customHeight="1">
      <c r="A4126" t="inlineStr">
        <is>
          <t>A 30129-2025</t>
        </is>
      </c>
      <c r="B4126" s="1" t="n">
        <v>45826</v>
      </c>
      <c r="C4126" s="1" t="n">
        <v>46103</v>
      </c>
      <c r="D4126" t="inlineStr">
        <is>
          <t>KRONOBERGS LÄN</t>
        </is>
      </c>
      <c r="E4126" t="inlineStr">
        <is>
          <t>VÄXJÖ</t>
        </is>
      </c>
      <c r="F4126" t="inlineStr">
        <is>
          <t>Kyrkan</t>
        </is>
      </c>
      <c r="G4126" t="n">
        <v>5.9</v>
      </c>
      <c r="H4126" t="n">
        <v>0</v>
      </c>
      <c r="I4126" t="n">
        <v>0</v>
      </c>
      <c r="J4126" t="n">
        <v>0</v>
      </c>
      <c r="K4126" t="n">
        <v>0</v>
      </c>
      <c r="L4126" t="n">
        <v>0</v>
      </c>
      <c r="M4126" t="n">
        <v>0</v>
      </c>
      <c r="N4126" t="n">
        <v>0</v>
      </c>
      <c r="O4126" t="n">
        <v>0</v>
      </c>
      <c r="P4126" t="n">
        <v>0</v>
      </c>
      <c r="Q4126" t="n">
        <v>0</v>
      </c>
      <c r="R4126" s="2" t="inlineStr"/>
    </row>
    <row r="4127" ht="15" customHeight="1">
      <c r="A4127" t="inlineStr">
        <is>
          <t>A 30130-2025</t>
        </is>
      </c>
      <c r="B4127" s="1" t="n">
        <v>45826</v>
      </c>
      <c r="C4127" s="1" t="n">
        <v>46103</v>
      </c>
      <c r="D4127" t="inlineStr">
        <is>
          <t>KRONOBERGS LÄN</t>
        </is>
      </c>
      <c r="E4127" t="inlineStr">
        <is>
          <t>VÄXJÖ</t>
        </is>
      </c>
      <c r="F4127" t="inlineStr">
        <is>
          <t>Kyrkan</t>
        </is>
      </c>
      <c r="G4127" t="n">
        <v>4.4</v>
      </c>
      <c r="H4127" t="n">
        <v>0</v>
      </c>
      <c r="I4127" t="n">
        <v>0</v>
      </c>
      <c r="J4127" t="n">
        <v>0</v>
      </c>
      <c r="K4127" t="n">
        <v>0</v>
      </c>
      <c r="L4127" t="n">
        <v>0</v>
      </c>
      <c r="M4127" t="n">
        <v>0</v>
      </c>
      <c r="N4127" t="n">
        <v>0</v>
      </c>
      <c r="O4127" t="n">
        <v>0</v>
      </c>
      <c r="P4127" t="n">
        <v>0</v>
      </c>
      <c r="Q4127" t="n">
        <v>0</v>
      </c>
      <c r="R4127" s="2" t="inlineStr"/>
    </row>
    <row r="4128" ht="15" customHeight="1">
      <c r="A4128" t="inlineStr">
        <is>
          <t>A 30132-2025</t>
        </is>
      </c>
      <c r="B4128" s="1" t="n">
        <v>45826</v>
      </c>
      <c r="C4128" s="1" t="n">
        <v>46103</v>
      </c>
      <c r="D4128" t="inlineStr">
        <is>
          <t>KRONOBERGS LÄN</t>
        </is>
      </c>
      <c r="E4128" t="inlineStr">
        <is>
          <t>VÄXJÖ</t>
        </is>
      </c>
      <c r="F4128" t="inlineStr">
        <is>
          <t>Kyrkan</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50919-2022</t>
        </is>
      </c>
      <c r="B4129" s="1" t="n">
        <v>44867.6309375</v>
      </c>
      <c r="C4129" s="1" t="n">
        <v>46103</v>
      </c>
      <c r="D4129" t="inlineStr">
        <is>
          <t>KRONOBERGS LÄN</t>
        </is>
      </c>
      <c r="E4129" t="inlineStr">
        <is>
          <t>VÄXJÖ</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10289-2025</t>
        </is>
      </c>
      <c r="B4130" s="1" t="n">
        <v>45720.41747685185</v>
      </c>
      <c r="C4130" s="1" t="n">
        <v>46103</v>
      </c>
      <c r="D4130" t="inlineStr">
        <is>
          <t>KRONOBERGS LÄN</t>
        </is>
      </c>
      <c r="E4130" t="inlineStr">
        <is>
          <t>UPPVIDINGE</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18836-2024</t>
        </is>
      </c>
      <c r="B4131" s="1" t="n">
        <v>45426</v>
      </c>
      <c r="C4131" s="1" t="n">
        <v>46103</v>
      </c>
      <c r="D4131" t="inlineStr">
        <is>
          <t>KRONOBERGS LÄN</t>
        </is>
      </c>
      <c r="E4131" t="inlineStr">
        <is>
          <t>ALVESTA</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62812-2023</t>
        </is>
      </c>
      <c r="B4132" s="1" t="n">
        <v>45271.89012731481</v>
      </c>
      <c r="C4132" s="1" t="n">
        <v>46103</v>
      </c>
      <c r="D4132" t="inlineStr">
        <is>
          <t>KRONOBERGS LÄN</t>
        </is>
      </c>
      <c r="E4132" t="inlineStr">
        <is>
          <t>ÄLMHULT</t>
        </is>
      </c>
      <c r="G4132" t="n">
        <v>8.4</v>
      </c>
      <c r="H4132" t="n">
        <v>0</v>
      </c>
      <c r="I4132" t="n">
        <v>0</v>
      </c>
      <c r="J4132" t="n">
        <v>0</v>
      </c>
      <c r="K4132" t="n">
        <v>0</v>
      </c>
      <c r="L4132" t="n">
        <v>0</v>
      </c>
      <c r="M4132" t="n">
        <v>0</v>
      </c>
      <c r="N4132" t="n">
        <v>0</v>
      </c>
      <c r="O4132" t="n">
        <v>0</v>
      </c>
      <c r="P4132" t="n">
        <v>0</v>
      </c>
      <c r="Q4132" t="n">
        <v>0</v>
      </c>
      <c r="R4132" s="2" t="inlineStr"/>
    </row>
    <row r="4133" ht="15" customHeight="1">
      <c r="A4133" t="inlineStr">
        <is>
          <t>A 63204-2023</t>
        </is>
      </c>
      <c r="B4133" s="1" t="n">
        <v>45273.60899305555</v>
      </c>
      <c r="C4133" s="1" t="n">
        <v>46103</v>
      </c>
      <c r="D4133" t="inlineStr">
        <is>
          <t>KRONOBERGS LÄN</t>
        </is>
      </c>
      <c r="E4133" t="inlineStr">
        <is>
          <t>UPPVIDINGE</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63211-2023</t>
        </is>
      </c>
      <c r="B4134" s="1" t="n">
        <v>45273</v>
      </c>
      <c r="C4134" s="1" t="n">
        <v>46103</v>
      </c>
      <c r="D4134" t="inlineStr">
        <is>
          <t>KRONOBERGS LÄN</t>
        </is>
      </c>
      <c r="E4134" t="inlineStr">
        <is>
          <t>UPPVIDINGE</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40898-2023</t>
        </is>
      </c>
      <c r="B4135" s="1" t="n">
        <v>45169</v>
      </c>
      <c r="C4135" s="1" t="n">
        <v>46103</v>
      </c>
      <c r="D4135" t="inlineStr">
        <is>
          <t>KRONOBERGS LÄN</t>
        </is>
      </c>
      <c r="E4135" t="inlineStr">
        <is>
          <t>LJUNGBY</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30321-2025</t>
        </is>
      </c>
      <c r="B4136" s="1" t="n">
        <v>45827</v>
      </c>
      <c r="C4136" s="1" t="n">
        <v>46103</v>
      </c>
      <c r="D4136" t="inlineStr">
        <is>
          <t>KRONOBERGS LÄN</t>
        </is>
      </c>
      <c r="E4136" t="inlineStr">
        <is>
          <t>VÄXJÖ</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49975-2024</t>
        </is>
      </c>
      <c r="B4137" s="1" t="n">
        <v>45597.67458333333</v>
      </c>
      <c r="C4137" s="1" t="n">
        <v>46103</v>
      </c>
      <c r="D4137" t="inlineStr">
        <is>
          <t>KRONOBERGS LÄN</t>
        </is>
      </c>
      <c r="E4137" t="inlineStr">
        <is>
          <t>VÄXJÖ</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55327-2022</t>
        </is>
      </c>
      <c r="B4138" s="1" t="n">
        <v>44887</v>
      </c>
      <c r="C4138" s="1" t="n">
        <v>46103</v>
      </c>
      <c r="D4138" t="inlineStr">
        <is>
          <t>KRONOBERGS LÄN</t>
        </is>
      </c>
      <c r="E4138" t="inlineStr">
        <is>
          <t>UPPVIDINGE</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55332-2022</t>
        </is>
      </c>
      <c r="B4139" s="1" t="n">
        <v>44887.44704861111</v>
      </c>
      <c r="C4139" s="1" t="n">
        <v>46103</v>
      </c>
      <c r="D4139" t="inlineStr">
        <is>
          <t>KRONOBERGS LÄN</t>
        </is>
      </c>
      <c r="E4139" t="inlineStr">
        <is>
          <t>MARKARYD</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47916-2023</t>
        </is>
      </c>
      <c r="B4140" s="1" t="n">
        <v>45204</v>
      </c>
      <c r="C4140" s="1" t="n">
        <v>46103</v>
      </c>
      <c r="D4140" t="inlineStr">
        <is>
          <t>KRONOBERGS LÄN</t>
        </is>
      </c>
      <c r="E4140" t="inlineStr">
        <is>
          <t>UPPVIDINGE</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54667-2022</t>
        </is>
      </c>
      <c r="B4141" s="1" t="n">
        <v>44881</v>
      </c>
      <c r="C4141" s="1" t="n">
        <v>46103</v>
      </c>
      <c r="D4141" t="inlineStr">
        <is>
          <t>KRONOBERGS LÄN</t>
        </is>
      </c>
      <c r="E4141" t="inlineStr">
        <is>
          <t>ALVESTA</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53405-2024</t>
        </is>
      </c>
      <c r="B4142" s="1" t="n">
        <v>45614.49559027778</v>
      </c>
      <c r="C4142" s="1" t="n">
        <v>46103</v>
      </c>
      <c r="D4142" t="inlineStr">
        <is>
          <t>KRONOBERGS LÄN</t>
        </is>
      </c>
      <c r="E4142" t="inlineStr">
        <is>
          <t>LJUNGBY</t>
        </is>
      </c>
      <c r="F4142" t="inlineStr">
        <is>
          <t>Sveaskog</t>
        </is>
      </c>
      <c r="G4142" t="n">
        <v>0.3</v>
      </c>
      <c r="H4142" t="n">
        <v>0</v>
      </c>
      <c r="I4142" t="n">
        <v>0</v>
      </c>
      <c r="J4142" t="n">
        <v>0</v>
      </c>
      <c r="K4142" t="n">
        <v>0</v>
      </c>
      <c r="L4142" t="n">
        <v>0</v>
      </c>
      <c r="M4142" t="n">
        <v>0</v>
      </c>
      <c r="N4142" t="n">
        <v>0</v>
      </c>
      <c r="O4142" t="n">
        <v>0</v>
      </c>
      <c r="P4142" t="n">
        <v>0</v>
      </c>
      <c r="Q4142" t="n">
        <v>0</v>
      </c>
      <c r="R4142" s="2" t="inlineStr"/>
    </row>
    <row r="4143" ht="15" customHeight="1">
      <c r="A4143" t="inlineStr">
        <is>
          <t>A 30410-2025</t>
        </is>
      </c>
      <c r="B4143" s="1" t="n">
        <v>45827.60109953704</v>
      </c>
      <c r="C4143" s="1" t="n">
        <v>46103</v>
      </c>
      <c r="D4143" t="inlineStr">
        <is>
          <t>KRONOBERGS LÄN</t>
        </is>
      </c>
      <c r="E4143" t="inlineStr">
        <is>
          <t>ÄLMHULT</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24858-2023</t>
        </is>
      </c>
      <c r="B4144" s="1" t="n">
        <v>45085</v>
      </c>
      <c r="C4144" s="1" t="n">
        <v>46103</v>
      </c>
      <c r="D4144" t="inlineStr">
        <is>
          <t>KRONOBERGS LÄN</t>
        </is>
      </c>
      <c r="E4144" t="inlineStr">
        <is>
          <t>UPPVIDINGE</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30604-2023</t>
        </is>
      </c>
      <c r="B4145" s="1" t="n">
        <v>45112.38873842593</v>
      </c>
      <c r="C4145" s="1" t="n">
        <v>46103</v>
      </c>
      <c r="D4145" t="inlineStr">
        <is>
          <t>KRONOBERGS LÄN</t>
        </is>
      </c>
      <c r="E4145" t="inlineStr">
        <is>
          <t>ALVESTA</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38777-2021</t>
        </is>
      </c>
      <c r="B4146" s="1" t="n">
        <v>44410</v>
      </c>
      <c r="C4146" s="1" t="n">
        <v>46103</v>
      </c>
      <c r="D4146" t="inlineStr">
        <is>
          <t>KRONOBERGS LÄN</t>
        </is>
      </c>
      <c r="E4146" t="inlineStr">
        <is>
          <t>UPPVIDINGE</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21470-2024</t>
        </is>
      </c>
      <c r="B4147" s="1" t="n">
        <v>45441</v>
      </c>
      <c r="C4147" s="1" t="n">
        <v>46103</v>
      </c>
      <c r="D4147" t="inlineStr">
        <is>
          <t>KRONOBERGS LÄN</t>
        </is>
      </c>
      <c r="E4147" t="inlineStr">
        <is>
          <t>ÄLMHULT</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30367-2025</t>
        </is>
      </c>
      <c r="B4148" s="1" t="n">
        <v>45827.5565162037</v>
      </c>
      <c r="C4148" s="1" t="n">
        <v>46103</v>
      </c>
      <c r="D4148" t="inlineStr">
        <is>
          <t>KRONOBERGS LÄN</t>
        </is>
      </c>
      <c r="E4148" t="inlineStr">
        <is>
          <t>VÄXJÖ</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15504-2024</t>
        </is>
      </c>
      <c r="B4149" s="1" t="n">
        <v>45401</v>
      </c>
      <c r="C4149" s="1" t="n">
        <v>46103</v>
      </c>
      <c r="D4149" t="inlineStr">
        <is>
          <t>KRONOBERGS LÄN</t>
        </is>
      </c>
      <c r="E4149" t="inlineStr">
        <is>
          <t>VÄXJÖ</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49228-2024</t>
        </is>
      </c>
      <c r="B4150" s="1" t="n">
        <v>45595.4272337963</v>
      </c>
      <c r="C4150" s="1" t="n">
        <v>46103</v>
      </c>
      <c r="D4150" t="inlineStr">
        <is>
          <t>KRONOBERGS LÄN</t>
        </is>
      </c>
      <c r="E4150" t="inlineStr">
        <is>
          <t>LJUNGBY</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54366-2022</t>
        </is>
      </c>
      <c r="B4151" s="1" t="n">
        <v>44882</v>
      </c>
      <c r="C4151" s="1" t="n">
        <v>46103</v>
      </c>
      <c r="D4151" t="inlineStr">
        <is>
          <t>KRONOBERGS LÄN</t>
        </is>
      </c>
      <c r="E4151" t="inlineStr">
        <is>
          <t>UPPVIDINGE</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9393-2024</t>
        </is>
      </c>
      <c r="B4152" s="1" t="n">
        <v>45359.41239583334</v>
      </c>
      <c r="C4152" s="1" t="n">
        <v>46103</v>
      </c>
      <c r="D4152" t="inlineStr">
        <is>
          <t>KRONOBERGS LÄN</t>
        </is>
      </c>
      <c r="E4152" t="inlineStr">
        <is>
          <t>ALVESTA</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16342-2024</t>
        </is>
      </c>
      <c r="B4153" s="1" t="n">
        <v>45407.56440972222</v>
      </c>
      <c r="C4153" s="1" t="n">
        <v>46103</v>
      </c>
      <c r="D4153" t="inlineStr">
        <is>
          <t>KRONOBERGS LÄN</t>
        </is>
      </c>
      <c r="E4153" t="inlineStr">
        <is>
          <t>TINGSRYD</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16351-2024</t>
        </is>
      </c>
      <c r="B4154" s="1" t="n">
        <v>45407.5766087963</v>
      </c>
      <c r="C4154" s="1" t="n">
        <v>46103</v>
      </c>
      <c r="D4154" t="inlineStr">
        <is>
          <t>KRONOBERGS LÄN</t>
        </is>
      </c>
      <c r="E4154" t="inlineStr">
        <is>
          <t>UPPVIDINGE</t>
        </is>
      </c>
      <c r="G4154" t="n">
        <v>4.6</v>
      </c>
      <c r="H4154" t="n">
        <v>0</v>
      </c>
      <c r="I4154" t="n">
        <v>0</v>
      </c>
      <c r="J4154" t="n">
        <v>0</v>
      </c>
      <c r="K4154" t="n">
        <v>0</v>
      </c>
      <c r="L4154" t="n">
        <v>0</v>
      </c>
      <c r="M4154" t="n">
        <v>0</v>
      </c>
      <c r="N4154" t="n">
        <v>0</v>
      </c>
      <c r="O4154" t="n">
        <v>0</v>
      </c>
      <c r="P4154" t="n">
        <v>0</v>
      </c>
      <c r="Q4154" t="n">
        <v>0</v>
      </c>
      <c r="R4154" s="2" t="inlineStr"/>
    </row>
    <row r="4155" ht="15" customHeight="1">
      <c r="A4155" t="inlineStr">
        <is>
          <t>A 9407-2024</t>
        </is>
      </c>
      <c r="B4155" s="1" t="n">
        <v>45359.42908564815</v>
      </c>
      <c r="C4155" s="1" t="n">
        <v>46103</v>
      </c>
      <c r="D4155" t="inlineStr">
        <is>
          <t>KRONOBERGS LÄN</t>
        </is>
      </c>
      <c r="E4155" t="inlineStr">
        <is>
          <t>ALVESTA</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50896-2022</t>
        </is>
      </c>
      <c r="B4156" s="1" t="n">
        <v>44867</v>
      </c>
      <c r="C4156" s="1" t="n">
        <v>46103</v>
      </c>
      <c r="D4156" t="inlineStr">
        <is>
          <t>KRONOBERGS LÄN</t>
        </is>
      </c>
      <c r="E4156" t="inlineStr">
        <is>
          <t>LJUNGBY</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30110-2025</t>
        </is>
      </c>
      <c r="B4157" s="1" t="n">
        <v>45826</v>
      </c>
      <c r="C4157" s="1" t="n">
        <v>46103</v>
      </c>
      <c r="D4157" t="inlineStr">
        <is>
          <t>KRONOBERGS LÄN</t>
        </is>
      </c>
      <c r="E4157" t="inlineStr">
        <is>
          <t>LJUNGBY</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30131-2025</t>
        </is>
      </c>
      <c r="B4158" s="1" t="n">
        <v>45826</v>
      </c>
      <c r="C4158" s="1" t="n">
        <v>46103</v>
      </c>
      <c r="D4158" t="inlineStr">
        <is>
          <t>KRONOBERGS LÄN</t>
        </is>
      </c>
      <c r="E4158" t="inlineStr">
        <is>
          <t>ALVESTA</t>
        </is>
      </c>
      <c r="F4158" t="inlineStr">
        <is>
          <t>Kyrkan</t>
        </is>
      </c>
      <c r="G4158" t="n">
        <v>7</v>
      </c>
      <c r="H4158" t="n">
        <v>0</v>
      </c>
      <c r="I4158" t="n">
        <v>0</v>
      </c>
      <c r="J4158" t="n">
        <v>0</v>
      </c>
      <c r="K4158" t="n">
        <v>0</v>
      </c>
      <c r="L4158" t="n">
        <v>0</v>
      </c>
      <c r="M4158" t="n">
        <v>0</v>
      </c>
      <c r="N4158" t="n">
        <v>0</v>
      </c>
      <c r="O4158" t="n">
        <v>0</v>
      </c>
      <c r="P4158" t="n">
        <v>0</v>
      </c>
      <c r="Q4158" t="n">
        <v>0</v>
      </c>
      <c r="R4158" s="2" t="inlineStr"/>
    </row>
    <row r="4159" ht="15" customHeight="1">
      <c r="A4159" t="inlineStr">
        <is>
          <t>A 4171-2025</t>
        </is>
      </c>
      <c r="B4159" s="1" t="n">
        <v>45685.42418981482</v>
      </c>
      <c r="C4159" s="1" t="n">
        <v>46103</v>
      </c>
      <c r="D4159" t="inlineStr">
        <is>
          <t>KRONOBERGS LÄN</t>
        </is>
      </c>
      <c r="E4159" t="inlineStr">
        <is>
          <t>VÄXJÖ</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29959-2025</t>
        </is>
      </c>
      <c r="B4160" s="1" t="n">
        <v>45826.47586805555</v>
      </c>
      <c r="C4160" s="1" t="n">
        <v>46103</v>
      </c>
      <c r="D4160" t="inlineStr">
        <is>
          <t>KRONOBERGS LÄN</t>
        </is>
      </c>
      <c r="E4160" t="inlineStr">
        <is>
          <t>LJUNGBY</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29980-2025</t>
        </is>
      </c>
      <c r="B4161" s="1" t="n">
        <v>45826.49353009259</v>
      </c>
      <c r="C4161" s="1" t="n">
        <v>46103</v>
      </c>
      <c r="D4161" t="inlineStr">
        <is>
          <t>KRONOBERGS LÄN</t>
        </is>
      </c>
      <c r="E4161" t="inlineStr">
        <is>
          <t>UPPVIDINGE</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30374-2025</t>
        </is>
      </c>
      <c r="B4162" s="1" t="n">
        <v>45827.56438657407</v>
      </c>
      <c r="C4162" s="1" t="n">
        <v>46103</v>
      </c>
      <c r="D4162" t="inlineStr">
        <is>
          <t>KRONOBERGS LÄN</t>
        </is>
      </c>
      <c r="E4162" t="inlineStr">
        <is>
          <t>VÄXJÖ</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37152-2024</t>
        </is>
      </c>
      <c r="B4163" s="1" t="n">
        <v>45539.60410879629</v>
      </c>
      <c r="C4163" s="1" t="n">
        <v>46103</v>
      </c>
      <c r="D4163" t="inlineStr">
        <is>
          <t>KRONOBERGS LÄN</t>
        </is>
      </c>
      <c r="E4163" t="inlineStr">
        <is>
          <t>TINGSRYD</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20854-2025</t>
        </is>
      </c>
      <c r="B4164" s="1" t="n">
        <v>45777.32327546296</v>
      </c>
      <c r="C4164" s="1" t="n">
        <v>46103</v>
      </c>
      <c r="D4164" t="inlineStr">
        <is>
          <t>KRONOBERGS LÄN</t>
        </is>
      </c>
      <c r="E4164" t="inlineStr">
        <is>
          <t>LESSEBO</t>
        </is>
      </c>
      <c r="F4164" t="inlineStr">
        <is>
          <t>Sveaskog</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23857-2025</t>
        </is>
      </c>
      <c r="B4165" s="1" t="n">
        <v>45793.65984953703</v>
      </c>
      <c r="C4165" s="1" t="n">
        <v>46103</v>
      </c>
      <c r="D4165" t="inlineStr">
        <is>
          <t>KRONOBERGS LÄN</t>
        </is>
      </c>
      <c r="E4165" t="inlineStr">
        <is>
          <t>LJUNGBY</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36913-2023</t>
        </is>
      </c>
      <c r="B4166" s="1" t="n">
        <v>45154.65458333334</v>
      </c>
      <c r="C4166" s="1" t="n">
        <v>46103</v>
      </c>
      <c r="D4166" t="inlineStr">
        <is>
          <t>KRONOBERGS LÄN</t>
        </is>
      </c>
      <c r="E4166" t="inlineStr">
        <is>
          <t>UPPVIDINGE</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30126-2025</t>
        </is>
      </c>
      <c r="B4167" s="1" t="n">
        <v>45826</v>
      </c>
      <c r="C4167" s="1" t="n">
        <v>46103</v>
      </c>
      <c r="D4167" t="inlineStr">
        <is>
          <t>KRONOBERGS LÄN</t>
        </is>
      </c>
      <c r="E4167" t="inlineStr">
        <is>
          <t>MARKARYD</t>
        </is>
      </c>
      <c r="F4167" t="inlineStr">
        <is>
          <t>Kyrkan</t>
        </is>
      </c>
      <c r="G4167" t="n">
        <v>3.4</v>
      </c>
      <c r="H4167" t="n">
        <v>0</v>
      </c>
      <c r="I4167" t="n">
        <v>0</v>
      </c>
      <c r="J4167" t="n">
        <v>0</v>
      </c>
      <c r="K4167" t="n">
        <v>0</v>
      </c>
      <c r="L4167" t="n">
        <v>0</v>
      </c>
      <c r="M4167" t="n">
        <v>0</v>
      </c>
      <c r="N4167" t="n">
        <v>0</v>
      </c>
      <c r="O4167" t="n">
        <v>0</v>
      </c>
      <c r="P4167" t="n">
        <v>0</v>
      </c>
      <c r="Q4167" t="n">
        <v>0</v>
      </c>
      <c r="R4167" s="2" t="inlineStr"/>
    </row>
    <row r="4168" ht="15" customHeight="1">
      <c r="A4168" t="inlineStr">
        <is>
          <t>A 30191-2025</t>
        </is>
      </c>
      <c r="B4168" s="1" t="n">
        <v>45827.35050925926</v>
      </c>
      <c r="C4168" s="1" t="n">
        <v>46103</v>
      </c>
      <c r="D4168" t="inlineStr">
        <is>
          <t>KRONOBERGS LÄN</t>
        </is>
      </c>
      <c r="E4168" t="inlineStr">
        <is>
          <t>ALVESTA</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29915-2025</t>
        </is>
      </c>
      <c r="B4169" s="1" t="n">
        <v>45826.41267361111</v>
      </c>
      <c r="C4169" s="1" t="n">
        <v>46103</v>
      </c>
      <c r="D4169" t="inlineStr">
        <is>
          <t>KRONOBERGS LÄN</t>
        </is>
      </c>
      <c r="E4169" t="inlineStr">
        <is>
          <t>LJUNGBY</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30230-2025</t>
        </is>
      </c>
      <c r="B4170" s="1" t="n">
        <v>45827.38292824074</v>
      </c>
      <c r="C4170" s="1" t="n">
        <v>46103</v>
      </c>
      <c r="D4170" t="inlineStr">
        <is>
          <t>KRONOBERGS LÄN</t>
        </is>
      </c>
      <c r="E4170" t="inlineStr">
        <is>
          <t>TINGSRYD</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15590-2025</t>
        </is>
      </c>
      <c r="B4171" s="1" t="n">
        <v>45747.8646875</v>
      </c>
      <c r="C4171" s="1" t="n">
        <v>46103</v>
      </c>
      <c r="D4171" t="inlineStr">
        <is>
          <t>KRONOBERGS LÄN</t>
        </is>
      </c>
      <c r="E4171" t="inlineStr">
        <is>
          <t>LESSEBO</t>
        </is>
      </c>
      <c r="G4171" t="n">
        <v>4</v>
      </c>
      <c r="H4171" t="n">
        <v>0</v>
      </c>
      <c r="I4171" t="n">
        <v>0</v>
      </c>
      <c r="J4171" t="n">
        <v>0</v>
      </c>
      <c r="K4171" t="n">
        <v>0</v>
      </c>
      <c r="L4171" t="n">
        <v>0</v>
      </c>
      <c r="M4171" t="n">
        <v>0</v>
      </c>
      <c r="N4171" t="n">
        <v>0</v>
      </c>
      <c r="O4171" t="n">
        <v>0</v>
      </c>
      <c r="P4171" t="n">
        <v>0</v>
      </c>
      <c r="Q4171" t="n">
        <v>0</v>
      </c>
      <c r="R4171" s="2" t="inlineStr"/>
    </row>
    <row r="4172" ht="15" customHeight="1">
      <c r="A4172" t="inlineStr">
        <is>
          <t>A 5777-2024</t>
        </is>
      </c>
      <c r="B4172" s="1" t="n">
        <v>45335.41604166666</v>
      </c>
      <c r="C4172" s="1" t="n">
        <v>46103</v>
      </c>
      <c r="D4172" t="inlineStr">
        <is>
          <t>KRONOBERGS LÄN</t>
        </is>
      </c>
      <c r="E4172" t="inlineStr">
        <is>
          <t>ÄLMHULT</t>
        </is>
      </c>
      <c r="G4172" t="n">
        <v>8.300000000000001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30423-2025</t>
        </is>
      </c>
      <c r="B4173" s="1" t="n">
        <v>45827.61452546297</v>
      </c>
      <c r="C4173" s="1" t="n">
        <v>46103</v>
      </c>
      <c r="D4173" t="inlineStr">
        <is>
          <t>KRONOBERGS LÄN</t>
        </is>
      </c>
      <c r="E4173" t="inlineStr">
        <is>
          <t>MARKARYD</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30144-2025</t>
        </is>
      </c>
      <c r="B4174" s="1" t="n">
        <v>45826.95120370371</v>
      </c>
      <c r="C4174" s="1" t="n">
        <v>46103</v>
      </c>
      <c r="D4174" t="inlineStr">
        <is>
          <t>KRONOBERGS LÄN</t>
        </is>
      </c>
      <c r="E4174" t="inlineStr">
        <is>
          <t>MARKARYD</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6843-2023</t>
        </is>
      </c>
      <c r="B4175" s="1" t="n">
        <v>44967.4374537037</v>
      </c>
      <c r="C4175" s="1" t="n">
        <v>46103</v>
      </c>
      <c r="D4175" t="inlineStr">
        <is>
          <t>KRONOBERGS LÄN</t>
        </is>
      </c>
      <c r="E4175" t="inlineStr">
        <is>
          <t>TINGSRYD</t>
        </is>
      </c>
      <c r="G4175" t="n">
        <v>0.1</v>
      </c>
      <c r="H4175" t="n">
        <v>0</v>
      </c>
      <c r="I4175" t="n">
        <v>0</v>
      </c>
      <c r="J4175" t="n">
        <v>0</v>
      </c>
      <c r="K4175" t="n">
        <v>0</v>
      </c>
      <c r="L4175" t="n">
        <v>0</v>
      </c>
      <c r="M4175" t="n">
        <v>0</v>
      </c>
      <c r="N4175" t="n">
        <v>0</v>
      </c>
      <c r="O4175" t="n">
        <v>0</v>
      </c>
      <c r="P4175" t="n">
        <v>0</v>
      </c>
      <c r="Q4175" t="n">
        <v>0</v>
      </c>
      <c r="R4175" s="2" t="inlineStr"/>
    </row>
    <row r="4176" ht="15" customHeight="1">
      <c r="A4176" t="inlineStr">
        <is>
          <t>A 35147-2024</t>
        </is>
      </c>
      <c r="B4176" s="1" t="n">
        <v>45530.36846064815</v>
      </c>
      <c r="C4176" s="1" t="n">
        <v>46103</v>
      </c>
      <c r="D4176" t="inlineStr">
        <is>
          <t>KRONOBERGS LÄN</t>
        </is>
      </c>
      <c r="E4176" t="inlineStr">
        <is>
          <t>UPPVIDINGE</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6881-2023</t>
        </is>
      </c>
      <c r="B4177" s="1" t="n">
        <v>44967.48209490741</v>
      </c>
      <c r="C4177" s="1" t="n">
        <v>46103</v>
      </c>
      <c r="D4177" t="inlineStr">
        <is>
          <t>KRONOBERGS LÄN</t>
        </is>
      </c>
      <c r="E4177" t="inlineStr">
        <is>
          <t>TINGSRYD</t>
        </is>
      </c>
      <c r="F4177" t="inlineStr">
        <is>
          <t>Övriga Aktiebolag</t>
        </is>
      </c>
      <c r="G4177" t="n">
        <v>3.8</v>
      </c>
      <c r="H4177" t="n">
        <v>0</v>
      </c>
      <c r="I4177" t="n">
        <v>0</v>
      </c>
      <c r="J4177" t="n">
        <v>0</v>
      </c>
      <c r="K4177" t="n">
        <v>0</v>
      </c>
      <c r="L4177" t="n">
        <v>0</v>
      </c>
      <c r="M4177" t="n">
        <v>0</v>
      </c>
      <c r="N4177" t="n">
        <v>0</v>
      </c>
      <c r="O4177" t="n">
        <v>0</v>
      </c>
      <c r="P4177" t="n">
        <v>0</v>
      </c>
      <c r="Q4177" t="n">
        <v>0</v>
      </c>
      <c r="R4177" s="2" t="inlineStr"/>
    </row>
    <row r="4178" ht="15" customHeight="1">
      <c r="A4178" t="inlineStr">
        <is>
          <t>A 18911-2024</t>
        </is>
      </c>
      <c r="B4178" s="1" t="n">
        <v>45427</v>
      </c>
      <c r="C4178" s="1" t="n">
        <v>46103</v>
      </c>
      <c r="D4178" t="inlineStr">
        <is>
          <t>KRONOBERGS LÄN</t>
        </is>
      </c>
      <c r="E4178" t="inlineStr">
        <is>
          <t>LJUNGBY</t>
        </is>
      </c>
      <c r="G4178" t="n">
        <v>9.6</v>
      </c>
      <c r="H4178" t="n">
        <v>0</v>
      </c>
      <c r="I4178" t="n">
        <v>0</v>
      </c>
      <c r="J4178" t="n">
        <v>0</v>
      </c>
      <c r="K4178" t="n">
        <v>0</v>
      </c>
      <c r="L4178" t="n">
        <v>0</v>
      </c>
      <c r="M4178" t="n">
        <v>0</v>
      </c>
      <c r="N4178" t="n">
        <v>0</v>
      </c>
      <c r="O4178" t="n">
        <v>0</v>
      </c>
      <c r="P4178" t="n">
        <v>0</v>
      </c>
      <c r="Q4178" t="n">
        <v>0</v>
      </c>
      <c r="R4178" s="2" t="inlineStr"/>
    </row>
    <row r="4179" ht="15" customHeight="1">
      <c r="A4179" t="inlineStr">
        <is>
          <t>A 52048-2024</t>
        </is>
      </c>
      <c r="B4179" s="1" t="n">
        <v>45608.34103009259</v>
      </c>
      <c r="C4179" s="1" t="n">
        <v>46103</v>
      </c>
      <c r="D4179" t="inlineStr">
        <is>
          <t>KRONOBERGS LÄN</t>
        </is>
      </c>
      <c r="E4179" t="inlineStr">
        <is>
          <t>ALVESTA</t>
        </is>
      </c>
      <c r="G4179" t="n">
        <v>4.4</v>
      </c>
      <c r="H4179" t="n">
        <v>0</v>
      </c>
      <c r="I4179" t="n">
        <v>0</v>
      </c>
      <c r="J4179" t="n">
        <v>0</v>
      </c>
      <c r="K4179" t="n">
        <v>0</v>
      </c>
      <c r="L4179" t="n">
        <v>0</v>
      </c>
      <c r="M4179" t="n">
        <v>0</v>
      </c>
      <c r="N4179" t="n">
        <v>0</v>
      </c>
      <c r="O4179" t="n">
        <v>0</v>
      </c>
      <c r="P4179" t="n">
        <v>0</v>
      </c>
      <c r="Q4179" t="n">
        <v>0</v>
      </c>
      <c r="R4179" s="2" t="inlineStr"/>
    </row>
    <row r="4180" ht="15" customHeight="1">
      <c r="A4180" t="inlineStr">
        <is>
          <t>A 9844-2025</t>
        </is>
      </c>
      <c r="B4180" s="1" t="n">
        <v>45716.60950231482</v>
      </c>
      <c r="C4180" s="1" t="n">
        <v>46103</v>
      </c>
      <c r="D4180" t="inlineStr">
        <is>
          <t>KRONOBERGS LÄN</t>
        </is>
      </c>
      <c r="E4180" t="inlineStr">
        <is>
          <t>ÄLMHULT</t>
        </is>
      </c>
      <c r="F4180" t="inlineStr">
        <is>
          <t>Sveaskog</t>
        </is>
      </c>
      <c r="G4180" t="n">
        <v>6.7</v>
      </c>
      <c r="H4180" t="n">
        <v>0</v>
      </c>
      <c r="I4180" t="n">
        <v>0</v>
      </c>
      <c r="J4180" t="n">
        <v>0</v>
      </c>
      <c r="K4180" t="n">
        <v>0</v>
      </c>
      <c r="L4180" t="n">
        <v>0</v>
      </c>
      <c r="M4180" t="n">
        <v>0</v>
      </c>
      <c r="N4180" t="n">
        <v>0</v>
      </c>
      <c r="O4180" t="n">
        <v>0</v>
      </c>
      <c r="P4180" t="n">
        <v>0</v>
      </c>
      <c r="Q4180" t="n">
        <v>0</v>
      </c>
      <c r="R4180" s="2" t="inlineStr"/>
    </row>
    <row r="4181" ht="15" customHeight="1">
      <c r="A4181" t="inlineStr">
        <is>
          <t>A 20853-2025</t>
        </is>
      </c>
      <c r="B4181" s="1" t="n">
        <v>45777.32241898148</v>
      </c>
      <c r="C4181" s="1" t="n">
        <v>46103</v>
      </c>
      <c r="D4181" t="inlineStr">
        <is>
          <t>KRONOBERGS LÄN</t>
        </is>
      </c>
      <c r="E4181" t="inlineStr">
        <is>
          <t>LESSEBO</t>
        </is>
      </c>
      <c r="F4181" t="inlineStr">
        <is>
          <t>Sveaskog</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30127-2025</t>
        </is>
      </c>
      <c r="B4182" s="1" t="n">
        <v>45826</v>
      </c>
      <c r="C4182" s="1" t="n">
        <v>46103</v>
      </c>
      <c r="D4182" t="inlineStr">
        <is>
          <t>KRONOBERGS LÄN</t>
        </is>
      </c>
      <c r="E4182" t="inlineStr">
        <is>
          <t>VÄXJÖ</t>
        </is>
      </c>
      <c r="F4182" t="inlineStr">
        <is>
          <t>Kyrkan</t>
        </is>
      </c>
      <c r="G4182" t="n">
        <v>6.5</v>
      </c>
      <c r="H4182" t="n">
        <v>0</v>
      </c>
      <c r="I4182" t="n">
        <v>0</v>
      </c>
      <c r="J4182" t="n">
        <v>0</v>
      </c>
      <c r="K4182" t="n">
        <v>0</v>
      </c>
      <c r="L4182" t="n">
        <v>0</v>
      </c>
      <c r="M4182" t="n">
        <v>0</v>
      </c>
      <c r="N4182" t="n">
        <v>0</v>
      </c>
      <c r="O4182" t="n">
        <v>0</v>
      </c>
      <c r="P4182" t="n">
        <v>0</v>
      </c>
      <c r="Q4182" t="n">
        <v>0</v>
      </c>
      <c r="R4182" s="2" t="inlineStr"/>
    </row>
    <row r="4183" ht="15" customHeight="1">
      <c r="A4183" t="inlineStr">
        <is>
          <t>A 15331-2025</t>
        </is>
      </c>
      <c r="B4183" s="1" t="n">
        <v>45747</v>
      </c>
      <c r="C4183" s="1" t="n">
        <v>46103</v>
      </c>
      <c r="D4183" t="inlineStr">
        <is>
          <t>KRONOBERGS LÄN</t>
        </is>
      </c>
      <c r="E4183" t="inlineStr">
        <is>
          <t>MARKARYD</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46589-2024</t>
        </is>
      </c>
      <c r="B4184" s="1" t="n">
        <v>45582.78583333334</v>
      </c>
      <c r="C4184" s="1" t="n">
        <v>46103</v>
      </c>
      <c r="D4184" t="inlineStr">
        <is>
          <t>KRONOBERGS LÄN</t>
        </is>
      </c>
      <c r="E4184" t="inlineStr">
        <is>
          <t>VÄXJÖ</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7682-2023</t>
        </is>
      </c>
      <c r="B4185" s="1" t="n">
        <v>44972.73002314815</v>
      </c>
      <c r="C4185" s="1" t="n">
        <v>46103</v>
      </c>
      <c r="D4185" t="inlineStr">
        <is>
          <t>KRONOBERGS LÄN</t>
        </is>
      </c>
      <c r="E4185" t="inlineStr">
        <is>
          <t>VÄXJÖ</t>
        </is>
      </c>
      <c r="G4185" t="n">
        <v>4.5</v>
      </c>
      <c r="H4185" t="n">
        <v>0</v>
      </c>
      <c r="I4185" t="n">
        <v>0</v>
      </c>
      <c r="J4185" t="n">
        <v>0</v>
      </c>
      <c r="K4185" t="n">
        <v>0</v>
      </c>
      <c r="L4185" t="n">
        <v>0</v>
      </c>
      <c r="M4185" t="n">
        <v>0</v>
      </c>
      <c r="N4185" t="n">
        <v>0</v>
      </c>
      <c r="O4185" t="n">
        <v>0</v>
      </c>
      <c r="P4185" t="n">
        <v>0</v>
      </c>
      <c r="Q4185" t="n">
        <v>0</v>
      </c>
      <c r="R4185" s="2" t="inlineStr"/>
    </row>
    <row r="4186" ht="15" customHeight="1">
      <c r="A4186" t="inlineStr">
        <is>
          <t>A 29893-2025</t>
        </is>
      </c>
      <c r="B4186" s="1" t="n">
        <v>45826.37920138889</v>
      </c>
      <c r="C4186" s="1" t="n">
        <v>46103</v>
      </c>
      <c r="D4186" t="inlineStr">
        <is>
          <t>KRONOBERGS LÄN</t>
        </is>
      </c>
      <c r="E4186" t="inlineStr">
        <is>
          <t>UPPVIDINGE</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30419-2025</t>
        </is>
      </c>
      <c r="B4187" s="1" t="n">
        <v>45827.60854166667</v>
      </c>
      <c r="C4187" s="1" t="n">
        <v>46103</v>
      </c>
      <c r="D4187" t="inlineStr">
        <is>
          <t>KRONOBERGS LÄN</t>
        </is>
      </c>
      <c r="E4187" t="inlineStr">
        <is>
          <t>MARKARYD</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29989-2025</t>
        </is>
      </c>
      <c r="B4188" s="1" t="n">
        <v>45826.50130787037</v>
      </c>
      <c r="C4188" s="1" t="n">
        <v>46103</v>
      </c>
      <c r="D4188" t="inlineStr">
        <is>
          <t>KRONOBERGS LÄN</t>
        </is>
      </c>
      <c r="E4188" t="inlineStr">
        <is>
          <t>UPPVIDINGE</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5710-2024</t>
        </is>
      </c>
      <c r="B4189" s="1" t="n">
        <v>45334.8496875</v>
      </c>
      <c r="C4189" s="1" t="n">
        <v>46103</v>
      </c>
      <c r="D4189" t="inlineStr">
        <is>
          <t>KRONOBERGS LÄN</t>
        </is>
      </c>
      <c r="E4189" t="inlineStr">
        <is>
          <t>ÄLMHULT</t>
        </is>
      </c>
      <c r="G4189" t="n">
        <v>4.8</v>
      </c>
      <c r="H4189" t="n">
        <v>0</v>
      </c>
      <c r="I4189" t="n">
        <v>0</v>
      </c>
      <c r="J4189" t="n">
        <v>0</v>
      </c>
      <c r="K4189" t="n">
        <v>0</v>
      </c>
      <c r="L4189" t="n">
        <v>0</v>
      </c>
      <c r="M4189" t="n">
        <v>0</v>
      </c>
      <c r="N4189" t="n">
        <v>0</v>
      </c>
      <c r="O4189" t="n">
        <v>0</v>
      </c>
      <c r="P4189" t="n">
        <v>0</v>
      </c>
      <c r="Q4189" t="n">
        <v>0</v>
      </c>
      <c r="R4189" s="2" t="inlineStr"/>
    </row>
    <row r="4190" ht="15" customHeight="1">
      <c r="A4190" t="inlineStr">
        <is>
          <t>A 30128-2025</t>
        </is>
      </c>
      <c r="B4190" s="1" t="n">
        <v>45826</v>
      </c>
      <c r="C4190" s="1" t="n">
        <v>46103</v>
      </c>
      <c r="D4190" t="inlineStr">
        <is>
          <t>KRONOBERGS LÄN</t>
        </is>
      </c>
      <c r="E4190" t="inlineStr">
        <is>
          <t>VÄXJÖ</t>
        </is>
      </c>
      <c r="F4190" t="inlineStr">
        <is>
          <t>Kyrkan</t>
        </is>
      </c>
      <c r="G4190" t="n">
        <v>3.5</v>
      </c>
      <c r="H4190" t="n">
        <v>0</v>
      </c>
      <c r="I4190" t="n">
        <v>0</v>
      </c>
      <c r="J4190" t="n">
        <v>0</v>
      </c>
      <c r="K4190" t="n">
        <v>0</v>
      </c>
      <c r="L4190" t="n">
        <v>0</v>
      </c>
      <c r="M4190" t="n">
        <v>0</v>
      </c>
      <c r="N4190" t="n">
        <v>0</v>
      </c>
      <c r="O4190" t="n">
        <v>0</v>
      </c>
      <c r="P4190" t="n">
        <v>0</v>
      </c>
      <c r="Q4190" t="n">
        <v>0</v>
      </c>
      <c r="R4190" s="2" t="inlineStr"/>
    </row>
    <row r="4191" ht="15" customHeight="1">
      <c r="A4191" t="inlineStr">
        <is>
          <t>A 7869-2023</t>
        </is>
      </c>
      <c r="B4191" s="1" t="n">
        <v>44973</v>
      </c>
      <c r="C4191" s="1" t="n">
        <v>46103</v>
      </c>
      <c r="D4191" t="inlineStr">
        <is>
          <t>KRONOBERGS LÄN</t>
        </is>
      </c>
      <c r="E4191" t="inlineStr">
        <is>
          <t>ALVESTA</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30222-2025</t>
        </is>
      </c>
      <c r="B4192" s="1" t="n">
        <v>45827.37509259259</v>
      </c>
      <c r="C4192" s="1" t="n">
        <v>46103</v>
      </c>
      <c r="D4192" t="inlineStr">
        <is>
          <t>KRONOBERGS LÄN</t>
        </is>
      </c>
      <c r="E4192" t="inlineStr">
        <is>
          <t>ALVESTA</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15751-2023</t>
        </is>
      </c>
      <c r="B4193" s="1" t="n">
        <v>45021.61420138889</v>
      </c>
      <c r="C4193" s="1" t="n">
        <v>46103</v>
      </c>
      <c r="D4193" t="inlineStr">
        <is>
          <t>KRONOBERGS LÄN</t>
        </is>
      </c>
      <c r="E4193" t="inlineStr">
        <is>
          <t>VÄXJÖ</t>
        </is>
      </c>
      <c r="G4193" t="n">
        <v>4.9</v>
      </c>
      <c r="H4193" t="n">
        <v>0</v>
      </c>
      <c r="I4193" t="n">
        <v>0</v>
      </c>
      <c r="J4193" t="n">
        <v>0</v>
      </c>
      <c r="K4193" t="n">
        <v>0</v>
      </c>
      <c r="L4193" t="n">
        <v>0</v>
      </c>
      <c r="M4193" t="n">
        <v>0</v>
      </c>
      <c r="N4193" t="n">
        <v>0</v>
      </c>
      <c r="O4193" t="n">
        <v>0</v>
      </c>
      <c r="P4193" t="n">
        <v>0</v>
      </c>
      <c r="Q4193" t="n">
        <v>0</v>
      </c>
      <c r="R4193" s="2" t="inlineStr"/>
    </row>
    <row r="4194" ht="15" customHeight="1">
      <c r="A4194" t="inlineStr">
        <is>
          <t>A 51718-2024</t>
        </is>
      </c>
      <c r="B4194" s="1" t="n">
        <v>45607.37846064815</v>
      </c>
      <c r="C4194" s="1" t="n">
        <v>46103</v>
      </c>
      <c r="D4194" t="inlineStr">
        <is>
          <t>KRONOBERGS LÄN</t>
        </is>
      </c>
      <c r="E4194" t="inlineStr">
        <is>
          <t>UPPVIDINGE</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602-2023</t>
        </is>
      </c>
      <c r="B4195" s="1" t="n">
        <v>44930.58310185185</v>
      </c>
      <c r="C4195" s="1" t="n">
        <v>46103</v>
      </c>
      <c r="D4195" t="inlineStr">
        <is>
          <t>KRONOBERGS LÄN</t>
        </is>
      </c>
      <c r="E4195" t="inlineStr">
        <is>
          <t>TINGSRYD</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188-2023</t>
        </is>
      </c>
      <c r="B4196" s="1" t="n">
        <v>44928</v>
      </c>
      <c r="C4196" s="1" t="n">
        <v>46103</v>
      </c>
      <c r="D4196" t="inlineStr">
        <is>
          <t>KRONOBERGS LÄN</t>
        </is>
      </c>
      <c r="E4196" t="inlineStr">
        <is>
          <t>VÄXJÖ</t>
        </is>
      </c>
      <c r="G4196" t="n">
        <v>7.3</v>
      </c>
      <c r="H4196" t="n">
        <v>0</v>
      </c>
      <c r="I4196" t="n">
        <v>0</v>
      </c>
      <c r="J4196" t="n">
        <v>0</v>
      </c>
      <c r="K4196" t="n">
        <v>0</v>
      </c>
      <c r="L4196" t="n">
        <v>0</v>
      </c>
      <c r="M4196" t="n">
        <v>0</v>
      </c>
      <c r="N4196" t="n">
        <v>0</v>
      </c>
      <c r="O4196" t="n">
        <v>0</v>
      </c>
      <c r="P4196" t="n">
        <v>0</v>
      </c>
      <c r="Q4196" t="n">
        <v>0</v>
      </c>
      <c r="R4196" s="2" t="inlineStr"/>
    </row>
    <row r="4197" ht="15" customHeight="1">
      <c r="A4197" t="inlineStr">
        <is>
          <t>A 27570-2023</t>
        </is>
      </c>
      <c r="B4197" s="1" t="n">
        <v>45097</v>
      </c>
      <c r="C4197" s="1" t="n">
        <v>46103</v>
      </c>
      <c r="D4197" t="inlineStr">
        <is>
          <t>KRONOBERGS LÄN</t>
        </is>
      </c>
      <c r="E4197" t="inlineStr">
        <is>
          <t>TINGSRYD</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29992-2025</t>
        </is>
      </c>
      <c r="B4198" s="1" t="n">
        <v>45826.50511574074</v>
      </c>
      <c r="C4198" s="1" t="n">
        <v>46103</v>
      </c>
      <c r="D4198" t="inlineStr">
        <is>
          <t>KRONOBERGS LÄN</t>
        </is>
      </c>
      <c r="E4198" t="inlineStr">
        <is>
          <t>UPPVIDINGE</t>
        </is>
      </c>
      <c r="G4198" t="n">
        <v>5.5</v>
      </c>
      <c r="H4198" t="n">
        <v>0</v>
      </c>
      <c r="I4198" t="n">
        <v>0</v>
      </c>
      <c r="J4198" t="n">
        <v>0</v>
      </c>
      <c r="K4198" t="n">
        <v>0</v>
      </c>
      <c r="L4198" t="n">
        <v>0</v>
      </c>
      <c r="M4198" t="n">
        <v>0</v>
      </c>
      <c r="N4198" t="n">
        <v>0</v>
      </c>
      <c r="O4198" t="n">
        <v>0</v>
      </c>
      <c r="P4198" t="n">
        <v>0</v>
      </c>
      <c r="Q4198" t="n">
        <v>0</v>
      </c>
      <c r="R4198" s="2" t="inlineStr"/>
    </row>
    <row r="4199" ht="15" customHeight="1">
      <c r="A4199" t="inlineStr">
        <is>
          <t>A 30533-2025</t>
        </is>
      </c>
      <c r="B4199" s="1" t="n">
        <v>45831.36230324074</v>
      </c>
      <c r="C4199" s="1" t="n">
        <v>46103</v>
      </c>
      <c r="D4199" t="inlineStr">
        <is>
          <t>KRONOBERGS LÄN</t>
        </is>
      </c>
      <c r="E4199" t="inlineStr">
        <is>
          <t>UPPVIDINGE</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30547-2025</t>
        </is>
      </c>
      <c r="B4200" s="1" t="n">
        <v>45831.37613425926</v>
      </c>
      <c r="C4200" s="1" t="n">
        <v>46103</v>
      </c>
      <c r="D4200" t="inlineStr">
        <is>
          <t>KRONOBERGS LÄN</t>
        </is>
      </c>
      <c r="E4200" t="inlineStr">
        <is>
          <t>UPPVIDINGE</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30627-2025</t>
        </is>
      </c>
      <c r="B4201" s="1" t="n">
        <v>45831.47402777777</v>
      </c>
      <c r="C4201" s="1" t="n">
        <v>46103</v>
      </c>
      <c r="D4201" t="inlineStr">
        <is>
          <t>KRONOBERGS LÄN</t>
        </is>
      </c>
      <c r="E4201" t="inlineStr">
        <is>
          <t>VÄXJÖ</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30538-2025</t>
        </is>
      </c>
      <c r="B4202" s="1" t="n">
        <v>45831.36892361111</v>
      </c>
      <c r="C4202" s="1" t="n">
        <v>46103</v>
      </c>
      <c r="D4202" t="inlineStr">
        <is>
          <t>KRONOBERGS LÄN</t>
        </is>
      </c>
      <c r="E4202" t="inlineStr">
        <is>
          <t>LJUNGBY</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17684-2024</t>
        </is>
      </c>
      <c r="B4203" s="1" t="n">
        <v>45418.43135416666</v>
      </c>
      <c r="C4203" s="1" t="n">
        <v>46103</v>
      </c>
      <c r="D4203" t="inlineStr">
        <is>
          <t>KRONOBERGS LÄN</t>
        </is>
      </c>
      <c r="E4203" t="inlineStr">
        <is>
          <t>MARKARYD</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30683-2025</t>
        </is>
      </c>
      <c r="B4204" s="1" t="n">
        <v>45831.53054398148</v>
      </c>
      <c r="C4204" s="1" t="n">
        <v>46103</v>
      </c>
      <c r="D4204" t="inlineStr">
        <is>
          <t>KRONOBERGS LÄN</t>
        </is>
      </c>
      <c r="E4204" t="inlineStr">
        <is>
          <t>VÄXJÖ</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30720-2025</t>
        </is>
      </c>
      <c r="B4205" s="1" t="n">
        <v>45831.56630787037</v>
      </c>
      <c r="C4205" s="1" t="n">
        <v>46103</v>
      </c>
      <c r="D4205" t="inlineStr">
        <is>
          <t>KRONOBERGS LÄN</t>
        </is>
      </c>
      <c r="E4205" t="inlineStr">
        <is>
          <t>LJUNGBY</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53628-2024</t>
        </is>
      </c>
      <c r="B4206" s="1" t="n">
        <v>45614.80849537037</v>
      </c>
      <c r="C4206" s="1" t="n">
        <v>46103</v>
      </c>
      <c r="D4206" t="inlineStr">
        <is>
          <t>KRONOBERGS LÄN</t>
        </is>
      </c>
      <c r="E4206" t="inlineStr">
        <is>
          <t>MARKARYD</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30771-2025</t>
        </is>
      </c>
      <c r="B4207" s="1" t="n">
        <v>45831.61278935185</v>
      </c>
      <c r="C4207" s="1" t="n">
        <v>46103</v>
      </c>
      <c r="D4207" t="inlineStr">
        <is>
          <t>KRONOBERGS LÄN</t>
        </is>
      </c>
      <c r="E4207" t="inlineStr">
        <is>
          <t>LESSEBO</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30818-2025</t>
        </is>
      </c>
      <c r="B4208" s="1" t="n">
        <v>45831.66119212963</v>
      </c>
      <c r="C4208" s="1" t="n">
        <v>46103</v>
      </c>
      <c r="D4208" t="inlineStr">
        <is>
          <t>KRONOBERGS LÄN</t>
        </is>
      </c>
      <c r="E4208" t="inlineStr">
        <is>
          <t>ÄLMHULT</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30529-2025</t>
        </is>
      </c>
      <c r="B4209" s="1" t="n">
        <v>45831.36045138889</v>
      </c>
      <c r="C4209" s="1" t="n">
        <v>46103</v>
      </c>
      <c r="D4209" t="inlineStr">
        <is>
          <t>KRONOBERGS LÄN</t>
        </is>
      </c>
      <c r="E4209" t="inlineStr">
        <is>
          <t>LJUNGBY</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30549-2025</t>
        </is>
      </c>
      <c r="B4210" s="1" t="n">
        <v>45831.3783912037</v>
      </c>
      <c r="C4210" s="1" t="n">
        <v>46103</v>
      </c>
      <c r="D4210" t="inlineStr">
        <is>
          <t>KRONOBERGS LÄN</t>
        </is>
      </c>
      <c r="E4210" t="inlineStr">
        <is>
          <t>LJUNGBY</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43254-2024</t>
        </is>
      </c>
      <c r="B4211" s="1" t="n">
        <v>45568.34643518519</v>
      </c>
      <c r="C4211" s="1" t="n">
        <v>46103</v>
      </c>
      <c r="D4211" t="inlineStr">
        <is>
          <t>KRONOBERGS LÄN</t>
        </is>
      </c>
      <c r="E4211" t="inlineStr">
        <is>
          <t>VÄXJÖ</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23126-2023</t>
        </is>
      </c>
      <c r="B4212" s="1" t="n">
        <v>45075.45616898148</v>
      </c>
      <c r="C4212" s="1" t="n">
        <v>46103</v>
      </c>
      <c r="D4212" t="inlineStr">
        <is>
          <t>KRONOBERGS LÄN</t>
        </is>
      </c>
      <c r="E4212" t="inlineStr">
        <is>
          <t>ALVESTA</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30545-2025</t>
        </is>
      </c>
      <c r="B4213" s="1" t="n">
        <v>45831.37420138889</v>
      </c>
      <c r="C4213" s="1" t="n">
        <v>46103</v>
      </c>
      <c r="D4213" t="inlineStr">
        <is>
          <t>KRONOBERGS LÄN</t>
        </is>
      </c>
      <c r="E4213" t="inlineStr">
        <is>
          <t>UPPVIDINGE</t>
        </is>
      </c>
      <c r="G4213" t="n">
        <v>3.7</v>
      </c>
      <c r="H4213" t="n">
        <v>0</v>
      </c>
      <c r="I4213" t="n">
        <v>0</v>
      </c>
      <c r="J4213" t="n">
        <v>0</v>
      </c>
      <c r="K4213" t="n">
        <v>0</v>
      </c>
      <c r="L4213" t="n">
        <v>0</v>
      </c>
      <c r="M4213" t="n">
        <v>0</v>
      </c>
      <c r="N4213" t="n">
        <v>0</v>
      </c>
      <c r="O4213" t="n">
        <v>0</v>
      </c>
      <c r="P4213" t="n">
        <v>0</v>
      </c>
      <c r="Q4213" t="n">
        <v>0</v>
      </c>
      <c r="R4213" s="2" t="inlineStr"/>
    </row>
    <row r="4214" ht="15" customHeight="1">
      <c r="A4214" t="inlineStr">
        <is>
          <t>A 52516-2023</t>
        </is>
      </c>
      <c r="B4214" s="1" t="n">
        <v>45225.49447916666</v>
      </c>
      <c r="C4214" s="1" t="n">
        <v>46103</v>
      </c>
      <c r="D4214" t="inlineStr">
        <is>
          <t>KRONOBERGS LÄN</t>
        </is>
      </c>
      <c r="E4214" t="inlineStr">
        <is>
          <t>LJUNGBY</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30521-2025</t>
        </is>
      </c>
      <c r="B4215" s="1" t="n">
        <v>45831.34712962963</v>
      </c>
      <c r="C4215" s="1" t="n">
        <v>46103</v>
      </c>
      <c r="D4215" t="inlineStr">
        <is>
          <t>KRONOBERGS LÄN</t>
        </is>
      </c>
      <c r="E4215" t="inlineStr">
        <is>
          <t>LJUNGBY</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52636-2023</t>
        </is>
      </c>
      <c r="B4216" s="1" t="n">
        <v>45225.64645833334</v>
      </c>
      <c r="C4216" s="1" t="n">
        <v>46103</v>
      </c>
      <c r="D4216" t="inlineStr">
        <is>
          <t>KRONOBERGS LÄN</t>
        </is>
      </c>
      <c r="E4216" t="inlineStr">
        <is>
          <t>MARKARYD</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31528-2023</t>
        </is>
      </c>
      <c r="B4217" s="1" t="n">
        <v>45116.79090277778</v>
      </c>
      <c r="C4217" s="1" t="n">
        <v>46103</v>
      </c>
      <c r="D4217" t="inlineStr">
        <is>
          <t>KRONOBERGS LÄN</t>
        </is>
      </c>
      <c r="E4217" t="inlineStr">
        <is>
          <t>LJUNGBY</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31529-2023</t>
        </is>
      </c>
      <c r="B4218" s="1" t="n">
        <v>45116.79268518519</v>
      </c>
      <c r="C4218" s="1" t="n">
        <v>46103</v>
      </c>
      <c r="D4218" t="inlineStr">
        <is>
          <t>KRONOBERGS LÄN</t>
        </is>
      </c>
      <c r="E4218" t="inlineStr">
        <is>
          <t>LJUNGBY</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30815-2025</t>
        </is>
      </c>
      <c r="B4219" s="1" t="n">
        <v>45831</v>
      </c>
      <c r="C4219" s="1" t="n">
        <v>46103</v>
      </c>
      <c r="D4219" t="inlineStr">
        <is>
          <t>KRONOBERGS LÄN</t>
        </is>
      </c>
      <c r="E4219" t="inlineStr">
        <is>
          <t>UPPVIDINGE</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26855-2021</t>
        </is>
      </c>
      <c r="B4220" s="1" t="n">
        <v>44349.5987962963</v>
      </c>
      <c r="C4220" s="1" t="n">
        <v>46103</v>
      </c>
      <c r="D4220" t="inlineStr">
        <is>
          <t>KRONOBERGS LÄN</t>
        </is>
      </c>
      <c r="E4220" t="inlineStr">
        <is>
          <t>LESSEBO</t>
        </is>
      </c>
      <c r="G4220" t="n">
        <v>4.6</v>
      </c>
      <c r="H4220" t="n">
        <v>0</v>
      </c>
      <c r="I4220" t="n">
        <v>0</v>
      </c>
      <c r="J4220" t="n">
        <v>0</v>
      </c>
      <c r="K4220" t="n">
        <v>0</v>
      </c>
      <c r="L4220" t="n">
        <v>0</v>
      </c>
      <c r="M4220" t="n">
        <v>0</v>
      </c>
      <c r="N4220" t="n">
        <v>0</v>
      </c>
      <c r="O4220" t="n">
        <v>0</v>
      </c>
      <c r="P4220" t="n">
        <v>0</v>
      </c>
      <c r="Q4220" t="n">
        <v>0</v>
      </c>
      <c r="R4220" s="2" t="inlineStr"/>
    </row>
    <row r="4221" ht="15" customHeight="1">
      <c r="A4221" t="inlineStr">
        <is>
          <t>A 30857-2025</t>
        </is>
      </c>
      <c r="B4221" s="1" t="n">
        <v>45831</v>
      </c>
      <c r="C4221" s="1" t="n">
        <v>46103</v>
      </c>
      <c r="D4221" t="inlineStr">
        <is>
          <t>KRONOBERGS LÄN</t>
        </is>
      </c>
      <c r="E4221" t="inlineStr">
        <is>
          <t>LJUNGBY</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30801-2025</t>
        </is>
      </c>
      <c r="B4222" s="1" t="n">
        <v>45831</v>
      </c>
      <c r="C4222" s="1" t="n">
        <v>46103</v>
      </c>
      <c r="D4222" t="inlineStr">
        <is>
          <t>KRONOBERGS LÄN</t>
        </is>
      </c>
      <c r="E4222" t="inlineStr">
        <is>
          <t>ÄLMHULT</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30835-2025</t>
        </is>
      </c>
      <c r="B4223" s="1" t="n">
        <v>45831.70327546296</v>
      </c>
      <c r="C4223" s="1" t="n">
        <v>46103</v>
      </c>
      <c r="D4223" t="inlineStr">
        <is>
          <t>KRONOBERGS LÄN</t>
        </is>
      </c>
      <c r="E4223" t="inlineStr">
        <is>
          <t>ÄLMHULT</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30523-2025</t>
        </is>
      </c>
      <c r="B4224" s="1" t="n">
        <v>45831.35077546296</v>
      </c>
      <c r="C4224" s="1" t="n">
        <v>46103</v>
      </c>
      <c r="D4224" t="inlineStr">
        <is>
          <t>KRONOBERGS LÄN</t>
        </is>
      </c>
      <c r="E4224" t="inlineStr">
        <is>
          <t>LJUNGBY</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31094-2025</t>
        </is>
      </c>
      <c r="B4225" s="1" t="n">
        <v>45831</v>
      </c>
      <c r="C4225" s="1" t="n">
        <v>46103</v>
      </c>
      <c r="D4225" t="inlineStr">
        <is>
          <t>KRONOBERGS LÄN</t>
        </is>
      </c>
      <c r="E4225" t="inlineStr">
        <is>
          <t>ALVESTA</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30522-2025</t>
        </is>
      </c>
      <c r="B4226" s="1" t="n">
        <v>45831.34858796297</v>
      </c>
      <c r="C4226" s="1" t="n">
        <v>46103</v>
      </c>
      <c r="D4226" t="inlineStr">
        <is>
          <t>KRONOBERGS LÄN</t>
        </is>
      </c>
      <c r="E4226" t="inlineStr">
        <is>
          <t>LESSEBO</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30741-2025</t>
        </is>
      </c>
      <c r="B4227" s="1" t="n">
        <v>45831.57793981482</v>
      </c>
      <c r="C4227" s="1" t="n">
        <v>46103</v>
      </c>
      <c r="D4227" t="inlineStr">
        <is>
          <t>KRONOBERGS LÄN</t>
        </is>
      </c>
      <c r="E4227" t="inlineStr">
        <is>
          <t>LJUNGBY</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30745-2025</t>
        </is>
      </c>
      <c r="B4228" s="1" t="n">
        <v>45831.5818287037</v>
      </c>
      <c r="C4228" s="1" t="n">
        <v>46103</v>
      </c>
      <c r="D4228" t="inlineStr">
        <is>
          <t>KRONOBERGS LÄN</t>
        </is>
      </c>
      <c r="E4228" t="inlineStr">
        <is>
          <t>UPPVIDINGE</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16301-2024</t>
        </is>
      </c>
      <c r="B4229" s="1" t="n">
        <v>45407</v>
      </c>
      <c r="C4229" s="1" t="n">
        <v>46103</v>
      </c>
      <c r="D4229" t="inlineStr">
        <is>
          <t>KRONOBERGS LÄN</t>
        </is>
      </c>
      <c r="E4229" t="inlineStr">
        <is>
          <t>ALVESTA</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52661-2024</t>
        </is>
      </c>
      <c r="B4230" s="1" t="n">
        <v>45610.36342592593</v>
      </c>
      <c r="C4230" s="1" t="n">
        <v>46103</v>
      </c>
      <c r="D4230" t="inlineStr">
        <is>
          <t>KRONOBERGS LÄN</t>
        </is>
      </c>
      <c r="E4230" t="inlineStr">
        <is>
          <t>LJUNGBY</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14500-2023</t>
        </is>
      </c>
      <c r="B4231" s="1" t="n">
        <v>45012</v>
      </c>
      <c r="C4231" s="1" t="n">
        <v>46103</v>
      </c>
      <c r="D4231" t="inlineStr">
        <is>
          <t>KRONOBERGS LÄN</t>
        </is>
      </c>
      <c r="E4231" t="inlineStr">
        <is>
          <t>UPPVIDINGE</t>
        </is>
      </c>
      <c r="G4231" t="n">
        <v>5.6</v>
      </c>
      <c r="H4231" t="n">
        <v>0</v>
      </c>
      <c r="I4231" t="n">
        <v>0</v>
      </c>
      <c r="J4231" t="n">
        <v>0</v>
      </c>
      <c r="K4231" t="n">
        <v>0</v>
      </c>
      <c r="L4231" t="n">
        <v>0</v>
      </c>
      <c r="M4231" t="n">
        <v>0</v>
      </c>
      <c r="N4231" t="n">
        <v>0</v>
      </c>
      <c r="O4231" t="n">
        <v>0</v>
      </c>
      <c r="P4231" t="n">
        <v>0</v>
      </c>
      <c r="Q4231" t="n">
        <v>0</v>
      </c>
      <c r="R4231" s="2" t="inlineStr"/>
    </row>
    <row r="4232" ht="15" customHeight="1">
      <c r="A4232" t="inlineStr">
        <is>
          <t>A 30840-2025</t>
        </is>
      </c>
      <c r="B4232" s="1" t="n">
        <v>45831.74694444444</v>
      </c>
      <c r="C4232" s="1" t="n">
        <v>46103</v>
      </c>
      <c r="D4232" t="inlineStr">
        <is>
          <t>KRONOBERGS LÄN</t>
        </is>
      </c>
      <c r="E4232" t="inlineStr">
        <is>
          <t>TINGSRYD</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19286-2025</t>
        </is>
      </c>
      <c r="B4233" s="1" t="n">
        <v>45769</v>
      </c>
      <c r="C4233" s="1" t="n">
        <v>46103</v>
      </c>
      <c r="D4233" t="inlineStr">
        <is>
          <t>KRONOBERGS LÄN</t>
        </is>
      </c>
      <c r="E4233" t="inlineStr">
        <is>
          <t>ALVESTA</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30527-2025</t>
        </is>
      </c>
      <c r="B4234" s="1" t="n">
        <v>45831.35900462963</v>
      </c>
      <c r="C4234" s="1" t="n">
        <v>46103</v>
      </c>
      <c r="D4234" t="inlineStr">
        <is>
          <t>KRONOBERGS LÄN</t>
        </is>
      </c>
      <c r="E4234" t="inlineStr">
        <is>
          <t>LESSEBO</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54926-2023</t>
        </is>
      </c>
      <c r="B4235" s="1" t="n">
        <v>45236</v>
      </c>
      <c r="C4235" s="1" t="n">
        <v>46103</v>
      </c>
      <c r="D4235" t="inlineStr">
        <is>
          <t>KRONOBERGS LÄN</t>
        </is>
      </c>
      <c r="E4235" t="inlineStr">
        <is>
          <t>MARKARYD</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44855-2021</t>
        </is>
      </c>
      <c r="B4236" s="1" t="n">
        <v>44438</v>
      </c>
      <c r="C4236" s="1" t="n">
        <v>46103</v>
      </c>
      <c r="D4236" t="inlineStr">
        <is>
          <t>KRONOBERGS LÄN</t>
        </is>
      </c>
      <c r="E4236" t="inlineStr">
        <is>
          <t>ÄLMHULT</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21046-2023</t>
        </is>
      </c>
      <c r="B4237" s="1" t="n">
        <v>45061</v>
      </c>
      <c r="C4237" s="1" t="n">
        <v>46103</v>
      </c>
      <c r="D4237" t="inlineStr">
        <is>
          <t>KRONOBERGS LÄN</t>
        </is>
      </c>
      <c r="E4237" t="inlineStr">
        <is>
          <t>VÄXJÖ</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20148-2021</t>
        </is>
      </c>
      <c r="B4238" s="1" t="n">
        <v>44314</v>
      </c>
      <c r="C4238" s="1" t="n">
        <v>46103</v>
      </c>
      <c r="D4238" t="inlineStr">
        <is>
          <t>KRONOBERGS LÄN</t>
        </is>
      </c>
      <c r="E4238" t="inlineStr">
        <is>
          <t>VÄXJÖ</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8842-2023</t>
        </is>
      </c>
      <c r="B4239" s="1" t="n">
        <v>44978.74306712963</v>
      </c>
      <c r="C4239" s="1" t="n">
        <v>46103</v>
      </c>
      <c r="D4239" t="inlineStr">
        <is>
          <t>KRONOBERGS LÄN</t>
        </is>
      </c>
      <c r="E4239" t="inlineStr">
        <is>
          <t>ALVESTA</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37320-2023</t>
        </is>
      </c>
      <c r="B4240" s="1" t="n">
        <v>45156</v>
      </c>
      <c r="C4240" s="1" t="n">
        <v>46103</v>
      </c>
      <c r="D4240" t="inlineStr">
        <is>
          <t>KRONOBERGS LÄN</t>
        </is>
      </c>
      <c r="E4240" t="inlineStr">
        <is>
          <t>LJUNGBY</t>
        </is>
      </c>
      <c r="G4240" t="n">
        <v>0.4</v>
      </c>
      <c r="H4240" t="n">
        <v>0</v>
      </c>
      <c r="I4240" t="n">
        <v>0</v>
      </c>
      <c r="J4240" t="n">
        <v>0</v>
      </c>
      <c r="K4240" t="n">
        <v>0</v>
      </c>
      <c r="L4240" t="n">
        <v>0</v>
      </c>
      <c r="M4240" t="n">
        <v>0</v>
      </c>
      <c r="N4240" t="n">
        <v>0</v>
      </c>
      <c r="O4240" t="n">
        <v>0</v>
      </c>
      <c r="P4240" t="n">
        <v>0</v>
      </c>
      <c r="Q4240" t="n">
        <v>0</v>
      </c>
      <c r="R4240" s="2" t="inlineStr"/>
    </row>
    <row r="4241" ht="15" customHeight="1">
      <c r="A4241" t="inlineStr">
        <is>
          <t>A 14429-2023</t>
        </is>
      </c>
      <c r="B4241" s="1" t="n">
        <v>45012</v>
      </c>
      <c r="C4241" s="1" t="n">
        <v>46103</v>
      </c>
      <c r="D4241" t="inlineStr">
        <is>
          <t>KRONOBERGS LÄN</t>
        </is>
      </c>
      <c r="E4241" t="inlineStr">
        <is>
          <t>ÄLMHULT</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51096-2023</t>
        </is>
      </c>
      <c r="B4242" s="1" t="n">
        <v>45218.86829861111</v>
      </c>
      <c r="C4242" s="1" t="n">
        <v>46103</v>
      </c>
      <c r="D4242" t="inlineStr">
        <is>
          <t>KRONOBERGS LÄN</t>
        </is>
      </c>
      <c r="E4242" t="inlineStr">
        <is>
          <t>LJUNGBY</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30643-2025</t>
        </is>
      </c>
      <c r="B4243" s="1" t="n">
        <v>45831.4883912037</v>
      </c>
      <c r="C4243" s="1" t="n">
        <v>46103</v>
      </c>
      <c r="D4243" t="inlineStr">
        <is>
          <t>KRONOBERGS LÄN</t>
        </is>
      </c>
      <c r="E4243" t="inlineStr">
        <is>
          <t>VÄXJÖ</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32740-2021</t>
        </is>
      </c>
      <c r="B4244" s="1" t="n">
        <v>44375</v>
      </c>
      <c r="C4244" s="1" t="n">
        <v>46103</v>
      </c>
      <c r="D4244" t="inlineStr">
        <is>
          <t>KRONOBERGS LÄN</t>
        </is>
      </c>
      <c r="E4244" t="inlineStr">
        <is>
          <t>UPPVIDINGE</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31602-2025</t>
        </is>
      </c>
      <c r="B4245" s="1" t="n">
        <v>45833.73708333333</v>
      </c>
      <c r="C4245" s="1" t="n">
        <v>46103</v>
      </c>
      <c r="D4245" t="inlineStr">
        <is>
          <t>KRONOBERGS LÄN</t>
        </is>
      </c>
      <c r="E4245" t="inlineStr">
        <is>
          <t>LJUNGBY</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30983-2025</t>
        </is>
      </c>
      <c r="B4246" s="1" t="n">
        <v>45832.47321759259</v>
      </c>
      <c r="C4246" s="1" t="n">
        <v>46103</v>
      </c>
      <c r="D4246" t="inlineStr">
        <is>
          <t>KRONOBERGS LÄN</t>
        </is>
      </c>
      <c r="E4246" t="inlineStr">
        <is>
          <t>UPPVIDINGE</t>
        </is>
      </c>
      <c r="F4246" t="inlineStr">
        <is>
          <t>Sveaskog</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15960-2025</t>
        </is>
      </c>
      <c r="B4247" s="1" t="n">
        <v>45749.53158564815</v>
      </c>
      <c r="C4247" s="1" t="n">
        <v>46103</v>
      </c>
      <c r="D4247" t="inlineStr">
        <is>
          <t>KRONOBERGS LÄN</t>
        </is>
      </c>
      <c r="E4247" t="inlineStr">
        <is>
          <t>LJUNGBY</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7383-2023</t>
        </is>
      </c>
      <c r="B4248" s="1" t="n">
        <v>44971.45475694445</v>
      </c>
      <c r="C4248" s="1" t="n">
        <v>46103</v>
      </c>
      <c r="D4248" t="inlineStr">
        <is>
          <t>KRONOBERGS LÄN</t>
        </is>
      </c>
      <c r="E4248" t="inlineStr">
        <is>
          <t>LJUNGBY</t>
        </is>
      </c>
      <c r="G4248" t="n">
        <v>0.2</v>
      </c>
      <c r="H4248" t="n">
        <v>0</v>
      </c>
      <c r="I4248" t="n">
        <v>0</v>
      </c>
      <c r="J4248" t="n">
        <v>0</v>
      </c>
      <c r="K4248" t="n">
        <v>0</v>
      </c>
      <c r="L4248" t="n">
        <v>0</v>
      </c>
      <c r="M4248" t="n">
        <v>0</v>
      </c>
      <c r="N4248" t="n">
        <v>0</v>
      </c>
      <c r="O4248" t="n">
        <v>0</v>
      </c>
      <c r="P4248" t="n">
        <v>0</v>
      </c>
      <c r="Q4248" t="n">
        <v>0</v>
      </c>
      <c r="R4248" s="2" t="inlineStr"/>
    </row>
    <row r="4249" ht="15" customHeight="1">
      <c r="A4249" t="inlineStr">
        <is>
          <t>A 5295-2024</t>
        </is>
      </c>
      <c r="B4249" s="1" t="n">
        <v>45331.36413194444</v>
      </c>
      <c r="C4249" s="1" t="n">
        <v>46103</v>
      </c>
      <c r="D4249" t="inlineStr">
        <is>
          <t>KRONOBERGS LÄN</t>
        </is>
      </c>
      <c r="E4249" t="inlineStr">
        <is>
          <t>TINGSRYD</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30842-2025</t>
        </is>
      </c>
      <c r="B4250" s="1" t="n">
        <v>45831.75487268518</v>
      </c>
      <c r="C4250" s="1" t="n">
        <v>46103</v>
      </c>
      <c r="D4250" t="inlineStr">
        <is>
          <t>KRONOBERGS LÄN</t>
        </is>
      </c>
      <c r="E4250" t="inlineStr">
        <is>
          <t>TINGSRYD</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30862-2025</t>
        </is>
      </c>
      <c r="B4251" s="1" t="n">
        <v>45832.28081018518</v>
      </c>
      <c r="C4251" s="1" t="n">
        <v>46103</v>
      </c>
      <c r="D4251" t="inlineStr">
        <is>
          <t>KRONOBERGS LÄN</t>
        </is>
      </c>
      <c r="E4251" t="inlineStr">
        <is>
          <t>LJUNGBY</t>
        </is>
      </c>
      <c r="G4251" t="n">
        <v>13.7</v>
      </c>
      <c r="H4251" t="n">
        <v>0</v>
      </c>
      <c r="I4251" t="n">
        <v>0</v>
      </c>
      <c r="J4251" t="n">
        <v>0</v>
      </c>
      <c r="K4251" t="n">
        <v>0</v>
      </c>
      <c r="L4251" t="n">
        <v>0</v>
      </c>
      <c r="M4251" t="n">
        <v>0</v>
      </c>
      <c r="N4251" t="n">
        <v>0</v>
      </c>
      <c r="O4251" t="n">
        <v>0</v>
      </c>
      <c r="P4251" t="n">
        <v>0</v>
      </c>
      <c r="Q4251" t="n">
        <v>0</v>
      </c>
      <c r="R4251" s="2" t="inlineStr"/>
    </row>
    <row r="4252" ht="15" customHeight="1">
      <c r="A4252" t="inlineStr">
        <is>
          <t>A 17787-2024</t>
        </is>
      </c>
      <c r="B4252" s="1" t="n">
        <v>45418</v>
      </c>
      <c r="C4252" s="1" t="n">
        <v>46103</v>
      </c>
      <c r="D4252" t="inlineStr">
        <is>
          <t>KRONOBERGS LÄN</t>
        </is>
      </c>
      <c r="E4252" t="inlineStr">
        <is>
          <t>ALVESTA</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17791-2024</t>
        </is>
      </c>
      <c r="B4253" s="1" t="n">
        <v>45418</v>
      </c>
      <c r="C4253" s="1" t="n">
        <v>46103</v>
      </c>
      <c r="D4253" t="inlineStr">
        <is>
          <t>KRONOBERGS LÄN</t>
        </is>
      </c>
      <c r="E4253" t="inlineStr">
        <is>
          <t>ALVESTA</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60730-2024</t>
        </is>
      </c>
      <c r="B4254" s="1" t="n">
        <v>45642</v>
      </c>
      <c r="C4254" s="1" t="n">
        <v>46103</v>
      </c>
      <c r="D4254" t="inlineStr">
        <is>
          <t>KRONOBERGS LÄN</t>
        </is>
      </c>
      <c r="E4254" t="inlineStr">
        <is>
          <t>UPPVIDINGE</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4217-2024</t>
        </is>
      </c>
      <c r="B4255" s="1" t="n">
        <v>45324.40112268519</v>
      </c>
      <c r="C4255" s="1" t="n">
        <v>46103</v>
      </c>
      <c r="D4255" t="inlineStr">
        <is>
          <t>KRONOBERGS LÄN</t>
        </is>
      </c>
      <c r="E4255" t="inlineStr">
        <is>
          <t>UPPVIDINGE</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31566-2025</t>
        </is>
      </c>
      <c r="B4256" s="1" t="n">
        <v>45833</v>
      </c>
      <c r="C4256" s="1" t="n">
        <v>46103</v>
      </c>
      <c r="D4256" t="inlineStr">
        <is>
          <t>KRONOBERGS LÄN</t>
        </is>
      </c>
      <c r="E4256" t="inlineStr">
        <is>
          <t>ALVESTA</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9336-2025</t>
        </is>
      </c>
      <c r="B4257" s="1" t="n">
        <v>45714.80880787037</v>
      </c>
      <c r="C4257" s="1" t="n">
        <v>46103</v>
      </c>
      <c r="D4257" t="inlineStr">
        <is>
          <t>KRONOBERGS LÄN</t>
        </is>
      </c>
      <c r="E4257" t="inlineStr">
        <is>
          <t>LJUNGBY</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60121-2023</t>
        </is>
      </c>
      <c r="B4258" s="1" t="n">
        <v>45258.48143518518</v>
      </c>
      <c r="C4258" s="1" t="n">
        <v>46103</v>
      </c>
      <c r="D4258" t="inlineStr">
        <is>
          <t>KRONOBERGS LÄN</t>
        </is>
      </c>
      <c r="E4258" t="inlineStr">
        <is>
          <t>MARKARYD</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16728-2025</t>
        </is>
      </c>
      <c r="B4259" s="1" t="n">
        <v>45754.52788194444</v>
      </c>
      <c r="C4259" s="1" t="n">
        <v>46103</v>
      </c>
      <c r="D4259" t="inlineStr">
        <is>
          <t>KRONOBERGS LÄN</t>
        </is>
      </c>
      <c r="E4259" t="inlineStr">
        <is>
          <t>LJUNGBY</t>
        </is>
      </c>
      <c r="G4259" t="n">
        <v>3.9</v>
      </c>
      <c r="H4259" t="n">
        <v>0</v>
      </c>
      <c r="I4259" t="n">
        <v>0</v>
      </c>
      <c r="J4259" t="n">
        <v>0</v>
      </c>
      <c r="K4259" t="n">
        <v>0</v>
      </c>
      <c r="L4259" t="n">
        <v>0</v>
      </c>
      <c r="M4259" t="n">
        <v>0</v>
      </c>
      <c r="N4259" t="n">
        <v>0</v>
      </c>
      <c r="O4259" t="n">
        <v>0</v>
      </c>
      <c r="P4259" t="n">
        <v>0</v>
      </c>
      <c r="Q4259" t="n">
        <v>0</v>
      </c>
      <c r="R4259" s="2" t="inlineStr"/>
    </row>
    <row r="4260" ht="15" customHeight="1">
      <c r="A4260" t="inlineStr">
        <is>
          <t>A 3588-2023</t>
        </is>
      </c>
      <c r="B4260" s="1" t="n">
        <v>44950</v>
      </c>
      <c r="C4260" s="1" t="n">
        <v>46103</v>
      </c>
      <c r="D4260" t="inlineStr">
        <is>
          <t>KRONOBERGS LÄN</t>
        </is>
      </c>
      <c r="E4260" t="inlineStr">
        <is>
          <t>TINGSRYD</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3604-2023</t>
        </is>
      </c>
      <c r="B4261" s="1" t="n">
        <v>44946</v>
      </c>
      <c r="C4261" s="1" t="n">
        <v>46103</v>
      </c>
      <c r="D4261" t="inlineStr">
        <is>
          <t>KRONOBERGS LÄN</t>
        </is>
      </c>
      <c r="E4261" t="inlineStr">
        <is>
          <t>UPPVIDINGE</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15573-2025</t>
        </is>
      </c>
      <c r="B4262" s="1" t="n">
        <v>45747.78493055556</v>
      </c>
      <c r="C4262" s="1" t="n">
        <v>46103</v>
      </c>
      <c r="D4262" t="inlineStr">
        <is>
          <t>KRONOBERGS LÄN</t>
        </is>
      </c>
      <c r="E4262" t="inlineStr">
        <is>
          <t>LJUNGBY</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15581-2025</t>
        </is>
      </c>
      <c r="B4263" s="1" t="n">
        <v>45747.79938657407</v>
      </c>
      <c r="C4263" s="1" t="n">
        <v>46103</v>
      </c>
      <c r="D4263" t="inlineStr">
        <is>
          <t>KRONOBERGS LÄN</t>
        </is>
      </c>
      <c r="E4263" t="inlineStr">
        <is>
          <t>LJUNGBY</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31431-2025</t>
        </is>
      </c>
      <c r="B4264" s="1" t="n">
        <v>45833</v>
      </c>
      <c r="C4264" s="1" t="n">
        <v>46103</v>
      </c>
      <c r="D4264" t="inlineStr">
        <is>
          <t>KRONOBERGS LÄN</t>
        </is>
      </c>
      <c r="E4264" t="inlineStr">
        <is>
          <t>ALVESTA</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7828-2024</t>
        </is>
      </c>
      <c r="B4265" s="1" t="n">
        <v>45349</v>
      </c>
      <c r="C4265" s="1" t="n">
        <v>46103</v>
      </c>
      <c r="D4265" t="inlineStr">
        <is>
          <t>KRONOBERGS LÄN</t>
        </is>
      </c>
      <c r="E4265" t="inlineStr">
        <is>
          <t>LJUNGBY</t>
        </is>
      </c>
      <c r="G4265" t="n">
        <v>0.4</v>
      </c>
      <c r="H4265" t="n">
        <v>0</v>
      </c>
      <c r="I4265" t="n">
        <v>0</v>
      </c>
      <c r="J4265" t="n">
        <v>0</v>
      </c>
      <c r="K4265" t="n">
        <v>0</v>
      </c>
      <c r="L4265" t="n">
        <v>0</v>
      </c>
      <c r="M4265" t="n">
        <v>0</v>
      </c>
      <c r="N4265" t="n">
        <v>0</v>
      </c>
      <c r="O4265" t="n">
        <v>0</v>
      </c>
      <c r="P4265" t="n">
        <v>0</v>
      </c>
      <c r="Q4265" t="n">
        <v>0</v>
      </c>
      <c r="R4265" s="2" t="inlineStr"/>
    </row>
    <row r="4266" ht="15" customHeight="1">
      <c r="A4266" t="inlineStr">
        <is>
          <t>A 47858-2023</t>
        </is>
      </c>
      <c r="B4266" s="1" t="n">
        <v>45204.42494212963</v>
      </c>
      <c r="C4266" s="1" t="n">
        <v>46103</v>
      </c>
      <c r="D4266" t="inlineStr">
        <is>
          <t>KRONOBERGS LÄN</t>
        </is>
      </c>
      <c r="E4266" t="inlineStr">
        <is>
          <t>UPPVIDINGE</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31243-2025</t>
        </is>
      </c>
      <c r="B4267" s="1" t="n">
        <v>45832.87528935185</v>
      </c>
      <c r="C4267" s="1" t="n">
        <v>46103</v>
      </c>
      <c r="D4267" t="inlineStr">
        <is>
          <t>KRONOBERGS LÄN</t>
        </is>
      </c>
      <c r="E4267" t="inlineStr">
        <is>
          <t>VÄXJÖ</t>
        </is>
      </c>
      <c r="G4267" t="n">
        <v>10.6</v>
      </c>
      <c r="H4267" t="n">
        <v>0</v>
      </c>
      <c r="I4267" t="n">
        <v>0</v>
      </c>
      <c r="J4267" t="n">
        <v>0</v>
      </c>
      <c r="K4267" t="n">
        <v>0</v>
      </c>
      <c r="L4267" t="n">
        <v>0</v>
      </c>
      <c r="M4267" t="n">
        <v>0</v>
      </c>
      <c r="N4267" t="n">
        <v>0</v>
      </c>
      <c r="O4267" t="n">
        <v>0</v>
      </c>
      <c r="P4267" t="n">
        <v>0</v>
      </c>
      <c r="Q4267" t="n">
        <v>0</v>
      </c>
      <c r="R4267" s="2" t="inlineStr"/>
    </row>
    <row r="4268" ht="15" customHeight="1">
      <c r="A4268" t="inlineStr">
        <is>
          <t>A 59065-2022</t>
        </is>
      </c>
      <c r="B4268" s="1" t="n">
        <v>44904.33903935185</v>
      </c>
      <c r="C4268" s="1" t="n">
        <v>46103</v>
      </c>
      <c r="D4268" t="inlineStr">
        <is>
          <t>KRONOBERGS LÄN</t>
        </is>
      </c>
      <c r="E4268" t="inlineStr">
        <is>
          <t>VÄXJÖ</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59066-2022</t>
        </is>
      </c>
      <c r="B4269" s="1" t="n">
        <v>44904.34511574074</v>
      </c>
      <c r="C4269" s="1" t="n">
        <v>46103</v>
      </c>
      <c r="D4269" t="inlineStr">
        <is>
          <t>KRONOBERGS LÄN</t>
        </is>
      </c>
      <c r="E4269" t="inlineStr">
        <is>
          <t>VÄXJÖ</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46479-2023</t>
        </is>
      </c>
      <c r="B4270" s="1" t="n">
        <v>45197.63912037037</v>
      </c>
      <c r="C4270" s="1" t="n">
        <v>46103</v>
      </c>
      <c r="D4270" t="inlineStr">
        <is>
          <t>KRONOBERGS LÄN</t>
        </is>
      </c>
      <c r="E4270" t="inlineStr">
        <is>
          <t>TINGSRYD</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31439-2025</t>
        </is>
      </c>
      <c r="B4271" s="1" t="n">
        <v>45833</v>
      </c>
      <c r="C4271" s="1" t="n">
        <v>46103</v>
      </c>
      <c r="D4271" t="inlineStr">
        <is>
          <t>KRONOBERGS LÄN</t>
        </is>
      </c>
      <c r="E4271" t="inlineStr">
        <is>
          <t>ALVESTA</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52539-2021</t>
        </is>
      </c>
      <c r="B4272" s="1" t="n">
        <v>44466.48996527777</v>
      </c>
      <c r="C4272" s="1" t="n">
        <v>46103</v>
      </c>
      <c r="D4272" t="inlineStr">
        <is>
          <t>KRONOBERGS LÄN</t>
        </is>
      </c>
      <c r="E4272" t="inlineStr">
        <is>
          <t>LJUNGBY</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31466-2025</t>
        </is>
      </c>
      <c r="B4273" s="1" t="n">
        <v>45833.55715277778</v>
      </c>
      <c r="C4273" s="1" t="n">
        <v>46103</v>
      </c>
      <c r="D4273" t="inlineStr">
        <is>
          <t>KRONOBERGS LÄN</t>
        </is>
      </c>
      <c r="E4273" t="inlineStr">
        <is>
          <t>TINGSRYD</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6018-2022</t>
        </is>
      </c>
      <c r="B4274" s="1" t="n">
        <v>44599.46640046296</v>
      </c>
      <c r="C4274" s="1" t="n">
        <v>46103</v>
      </c>
      <c r="D4274" t="inlineStr">
        <is>
          <t>KRONOBERGS LÄN</t>
        </is>
      </c>
      <c r="E4274" t="inlineStr">
        <is>
          <t>TINGSRYD</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31047-2025</t>
        </is>
      </c>
      <c r="B4275" s="1" t="n">
        <v>45832.55674768519</v>
      </c>
      <c r="C4275" s="1" t="n">
        <v>46103</v>
      </c>
      <c r="D4275" t="inlineStr">
        <is>
          <t>KRONOBERGS LÄN</t>
        </is>
      </c>
      <c r="E4275" t="inlineStr">
        <is>
          <t>TINGSRYD</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18060-2024</t>
        </is>
      </c>
      <c r="B4276" s="1" t="n">
        <v>45420.39990740741</v>
      </c>
      <c r="C4276" s="1" t="n">
        <v>46103</v>
      </c>
      <c r="D4276" t="inlineStr">
        <is>
          <t>KRONOBERGS LÄN</t>
        </is>
      </c>
      <c r="E4276" t="inlineStr">
        <is>
          <t>VÄXJÖ</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4465-2024</t>
        </is>
      </c>
      <c r="B4277" s="1" t="n">
        <v>45327.54628472222</v>
      </c>
      <c r="C4277" s="1" t="n">
        <v>46103</v>
      </c>
      <c r="D4277" t="inlineStr">
        <is>
          <t>KRONOBERGS LÄN</t>
        </is>
      </c>
      <c r="E4277" t="inlineStr">
        <is>
          <t>LESSEBO</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31560-2025</t>
        </is>
      </c>
      <c r="B4278" s="1" t="n">
        <v>45833.65425925926</v>
      </c>
      <c r="C4278" s="1" t="n">
        <v>46103</v>
      </c>
      <c r="D4278" t="inlineStr">
        <is>
          <t>KRONOBERGS LÄN</t>
        </is>
      </c>
      <c r="E4278" t="inlineStr">
        <is>
          <t>ÄLMHULT</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1618-2023</t>
        </is>
      </c>
      <c r="B4279" s="1" t="n">
        <v>44937.71841435185</v>
      </c>
      <c r="C4279" s="1" t="n">
        <v>46103</v>
      </c>
      <c r="D4279" t="inlineStr">
        <is>
          <t>KRONOBERGS LÄN</t>
        </is>
      </c>
      <c r="E4279" t="inlineStr">
        <is>
          <t>LJUNGBY</t>
        </is>
      </c>
      <c r="G4279" t="n">
        <v>4.6</v>
      </c>
      <c r="H4279" t="n">
        <v>0</v>
      </c>
      <c r="I4279" t="n">
        <v>0</v>
      </c>
      <c r="J4279" t="n">
        <v>0</v>
      </c>
      <c r="K4279" t="n">
        <v>0</v>
      </c>
      <c r="L4279" t="n">
        <v>0</v>
      </c>
      <c r="M4279" t="n">
        <v>0</v>
      </c>
      <c r="N4279" t="n">
        <v>0</v>
      </c>
      <c r="O4279" t="n">
        <v>0</v>
      </c>
      <c r="P4279" t="n">
        <v>0</v>
      </c>
      <c r="Q4279" t="n">
        <v>0</v>
      </c>
      <c r="R4279" s="2" t="inlineStr"/>
    </row>
    <row r="4280" ht="15" customHeight="1">
      <c r="A4280" t="inlineStr">
        <is>
          <t>A 57336-2024</t>
        </is>
      </c>
      <c r="B4280" s="1" t="n">
        <v>45629</v>
      </c>
      <c r="C4280" s="1" t="n">
        <v>46103</v>
      </c>
      <c r="D4280" t="inlineStr">
        <is>
          <t>KRONOBERGS LÄN</t>
        </is>
      </c>
      <c r="E4280" t="inlineStr">
        <is>
          <t>LJUNGBY</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31315-2025</t>
        </is>
      </c>
      <c r="B4281" s="1" t="n">
        <v>45833.39936342592</v>
      </c>
      <c r="C4281" s="1" t="n">
        <v>46103</v>
      </c>
      <c r="D4281" t="inlineStr">
        <is>
          <t>KRONOBERGS LÄN</t>
        </is>
      </c>
      <c r="E4281" t="inlineStr">
        <is>
          <t>VÄXJÖ</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31069-2025</t>
        </is>
      </c>
      <c r="B4282" s="1" t="n">
        <v>45832.57881944445</v>
      </c>
      <c r="C4282" s="1" t="n">
        <v>46103</v>
      </c>
      <c r="D4282" t="inlineStr">
        <is>
          <t>KRONOBERGS LÄN</t>
        </is>
      </c>
      <c r="E4282" t="inlineStr">
        <is>
          <t>ÄLMHULT</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20955-2024</t>
        </is>
      </c>
      <c r="B4283" s="1" t="n">
        <v>45439</v>
      </c>
      <c r="C4283" s="1" t="n">
        <v>46103</v>
      </c>
      <c r="D4283" t="inlineStr">
        <is>
          <t>KRONOBERGS LÄN</t>
        </is>
      </c>
      <c r="E4283" t="inlineStr">
        <is>
          <t>TINGSRYD</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24857-2023</t>
        </is>
      </c>
      <c r="B4284" s="1" t="n">
        <v>45085</v>
      </c>
      <c r="C4284" s="1" t="n">
        <v>46103</v>
      </c>
      <c r="D4284" t="inlineStr">
        <is>
          <t>KRONOBERGS LÄN</t>
        </is>
      </c>
      <c r="E4284" t="inlineStr">
        <is>
          <t>UPPVIDINGE</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24928-2023</t>
        </is>
      </c>
      <c r="B4285" s="1" t="n">
        <v>45085</v>
      </c>
      <c r="C4285" s="1" t="n">
        <v>46103</v>
      </c>
      <c r="D4285" t="inlineStr">
        <is>
          <t>KRONOBERGS LÄN</t>
        </is>
      </c>
      <c r="E4285" t="inlineStr">
        <is>
          <t>ÄLMHULT</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52844-2024</t>
        </is>
      </c>
      <c r="B4286" s="1" t="n">
        <v>45610.60157407408</v>
      </c>
      <c r="C4286" s="1" t="n">
        <v>46103</v>
      </c>
      <c r="D4286" t="inlineStr">
        <is>
          <t>KRONOBERGS LÄN</t>
        </is>
      </c>
      <c r="E4286" t="inlineStr">
        <is>
          <t>LJUNGBY</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31311-2025</t>
        </is>
      </c>
      <c r="B4287" s="1" t="n">
        <v>45833.39313657407</v>
      </c>
      <c r="C4287" s="1" t="n">
        <v>46103</v>
      </c>
      <c r="D4287" t="inlineStr">
        <is>
          <t>KRONOBERGS LÄN</t>
        </is>
      </c>
      <c r="E4287" t="inlineStr">
        <is>
          <t>ÄLMHULT</t>
        </is>
      </c>
      <c r="G4287" t="n">
        <v>4.4</v>
      </c>
      <c r="H4287" t="n">
        <v>0</v>
      </c>
      <c r="I4287" t="n">
        <v>0</v>
      </c>
      <c r="J4287" t="n">
        <v>0</v>
      </c>
      <c r="K4287" t="n">
        <v>0</v>
      </c>
      <c r="L4287" t="n">
        <v>0</v>
      </c>
      <c r="M4287" t="n">
        <v>0</v>
      </c>
      <c r="N4287" t="n">
        <v>0</v>
      </c>
      <c r="O4287" t="n">
        <v>0</v>
      </c>
      <c r="P4287" t="n">
        <v>0</v>
      </c>
      <c r="Q4287" t="n">
        <v>0</v>
      </c>
      <c r="R4287" s="2" t="inlineStr"/>
    </row>
    <row r="4288" ht="15" customHeight="1">
      <c r="A4288" t="inlineStr">
        <is>
          <t>A 31318-2025</t>
        </is>
      </c>
      <c r="B4288" s="1" t="n">
        <v>45833.40297453704</v>
      </c>
      <c r="C4288" s="1" t="n">
        <v>46103</v>
      </c>
      <c r="D4288" t="inlineStr">
        <is>
          <t>KRONOBERGS LÄN</t>
        </is>
      </c>
      <c r="E4288" t="inlineStr">
        <is>
          <t>VÄXJÖ</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306-2022</t>
        </is>
      </c>
      <c r="B4289" s="1" t="n">
        <v>44565</v>
      </c>
      <c r="C4289" s="1" t="n">
        <v>46103</v>
      </c>
      <c r="D4289" t="inlineStr">
        <is>
          <t>KRONOBERGS LÄN</t>
        </is>
      </c>
      <c r="E4289" t="inlineStr">
        <is>
          <t>MARKARYD</t>
        </is>
      </c>
      <c r="G4289" t="n">
        <v>8.199999999999999</v>
      </c>
      <c r="H4289" t="n">
        <v>0</v>
      </c>
      <c r="I4289" t="n">
        <v>0</v>
      </c>
      <c r="J4289" t="n">
        <v>0</v>
      </c>
      <c r="K4289" t="n">
        <v>0</v>
      </c>
      <c r="L4289" t="n">
        <v>0</v>
      </c>
      <c r="M4289" t="n">
        <v>0</v>
      </c>
      <c r="N4289" t="n">
        <v>0</v>
      </c>
      <c r="O4289" t="n">
        <v>0</v>
      </c>
      <c r="P4289" t="n">
        <v>0</v>
      </c>
      <c r="Q4289" t="n">
        <v>0</v>
      </c>
      <c r="R4289" s="2" t="inlineStr"/>
    </row>
    <row r="4290" ht="15" customHeight="1">
      <c r="A4290" t="inlineStr">
        <is>
          <t>A 9825-2022</t>
        </is>
      </c>
      <c r="B4290" s="1" t="n">
        <v>44620.45334490741</v>
      </c>
      <c r="C4290" s="1" t="n">
        <v>46103</v>
      </c>
      <c r="D4290" t="inlineStr">
        <is>
          <t>KRONOBERGS LÄN</t>
        </is>
      </c>
      <c r="E4290" t="inlineStr">
        <is>
          <t>LJUNGBY</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10595-2023</t>
        </is>
      </c>
      <c r="B4291" s="1" t="n">
        <v>44988.38652777778</v>
      </c>
      <c r="C4291" s="1" t="n">
        <v>46103</v>
      </c>
      <c r="D4291" t="inlineStr">
        <is>
          <t>KRONOBERGS LÄN</t>
        </is>
      </c>
      <c r="E4291" t="inlineStr">
        <is>
          <t>TINGSRYD</t>
        </is>
      </c>
      <c r="G4291" t="n">
        <v>3.3</v>
      </c>
      <c r="H4291" t="n">
        <v>0</v>
      </c>
      <c r="I4291" t="n">
        <v>0</v>
      </c>
      <c r="J4291" t="n">
        <v>0</v>
      </c>
      <c r="K4291" t="n">
        <v>0</v>
      </c>
      <c r="L4291" t="n">
        <v>0</v>
      </c>
      <c r="M4291" t="n">
        <v>0</v>
      </c>
      <c r="N4291" t="n">
        <v>0</v>
      </c>
      <c r="O4291" t="n">
        <v>0</v>
      </c>
      <c r="P4291" t="n">
        <v>0</v>
      </c>
      <c r="Q4291" t="n">
        <v>0</v>
      </c>
      <c r="R4291" s="2" t="inlineStr"/>
    </row>
    <row r="4292" ht="15" customHeight="1">
      <c r="A4292" t="inlineStr">
        <is>
          <t>A 31002-2025</t>
        </is>
      </c>
      <c r="B4292" s="1" t="n">
        <v>45832.49506944444</v>
      </c>
      <c r="C4292" s="1" t="n">
        <v>46103</v>
      </c>
      <c r="D4292" t="inlineStr">
        <is>
          <t>KRONOBERGS LÄN</t>
        </is>
      </c>
      <c r="E4292" t="inlineStr">
        <is>
          <t>TINGSRYD</t>
        </is>
      </c>
      <c r="G4292" t="n">
        <v>5.8</v>
      </c>
      <c r="H4292" t="n">
        <v>0</v>
      </c>
      <c r="I4292" t="n">
        <v>0</v>
      </c>
      <c r="J4292" t="n">
        <v>0</v>
      </c>
      <c r="K4292" t="n">
        <v>0</v>
      </c>
      <c r="L4292" t="n">
        <v>0</v>
      </c>
      <c r="M4292" t="n">
        <v>0</v>
      </c>
      <c r="N4292" t="n">
        <v>0</v>
      </c>
      <c r="O4292" t="n">
        <v>0</v>
      </c>
      <c r="P4292" t="n">
        <v>0</v>
      </c>
      <c r="Q4292" t="n">
        <v>0</v>
      </c>
      <c r="R4292" s="2" t="inlineStr"/>
    </row>
    <row r="4293" ht="15" customHeight="1">
      <c r="A4293" t="inlineStr">
        <is>
          <t>A 31462-2025</t>
        </is>
      </c>
      <c r="B4293" s="1" t="n">
        <v>45833.55179398148</v>
      </c>
      <c r="C4293" s="1" t="n">
        <v>46103</v>
      </c>
      <c r="D4293" t="inlineStr">
        <is>
          <t>KRONOBERGS LÄN</t>
        </is>
      </c>
      <c r="E4293" t="inlineStr">
        <is>
          <t>TINGSRYD</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4730-2025</t>
        </is>
      </c>
      <c r="B4294" s="1" t="n">
        <v>45688</v>
      </c>
      <c r="C4294" s="1" t="n">
        <v>46103</v>
      </c>
      <c r="D4294" t="inlineStr">
        <is>
          <t>KRONOBERGS LÄN</t>
        </is>
      </c>
      <c r="E4294" t="inlineStr">
        <is>
          <t>TINGSRYD</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19639-2024</t>
        </is>
      </c>
      <c r="B4295" s="1" t="n">
        <v>45432.37760416666</v>
      </c>
      <c r="C4295" s="1" t="n">
        <v>46103</v>
      </c>
      <c r="D4295" t="inlineStr">
        <is>
          <t>KRONOBERGS LÄN</t>
        </is>
      </c>
      <c r="E4295" t="inlineStr">
        <is>
          <t>TINGSRYD</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71802-2021</t>
        </is>
      </c>
      <c r="B4296" s="1" t="n">
        <v>44543</v>
      </c>
      <c r="C4296" s="1" t="n">
        <v>46103</v>
      </c>
      <c r="D4296" t="inlineStr">
        <is>
          <t>KRONOBERGS LÄN</t>
        </is>
      </c>
      <c r="E4296" t="inlineStr">
        <is>
          <t>ÄLMHULT</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19243-2024</t>
        </is>
      </c>
      <c r="B4297" s="1" t="n">
        <v>45428.57578703704</v>
      </c>
      <c r="C4297" s="1" t="n">
        <v>46103</v>
      </c>
      <c r="D4297" t="inlineStr">
        <is>
          <t>KRONOBERGS LÄN</t>
        </is>
      </c>
      <c r="E4297" t="inlineStr">
        <is>
          <t>UPPVIDINGE</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11600-2025</t>
        </is>
      </c>
      <c r="B4298" s="1" t="n">
        <v>45727.42905092592</v>
      </c>
      <c r="C4298" s="1" t="n">
        <v>46103</v>
      </c>
      <c r="D4298" t="inlineStr">
        <is>
          <t>KRONOBERGS LÄN</t>
        </is>
      </c>
      <c r="E4298" t="inlineStr">
        <is>
          <t>TINGSRYD</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11619-2025</t>
        </is>
      </c>
      <c r="B4299" s="1" t="n">
        <v>45727.4515625</v>
      </c>
      <c r="C4299" s="1" t="n">
        <v>46103</v>
      </c>
      <c r="D4299" t="inlineStr">
        <is>
          <t>KRONOBERGS LÄN</t>
        </is>
      </c>
      <c r="E4299" t="inlineStr">
        <is>
          <t>TINGSRYD</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31309-2024</t>
        </is>
      </c>
      <c r="B4300" s="1" t="n">
        <v>45504.53853009259</v>
      </c>
      <c r="C4300" s="1" t="n">
        <v>46103</v>
      </c>
      <c r="D4300" t="inlineStr">
        <is>
          <t>KRONOBERGS LÄN</t>
        </is>
      </c>
      <c r="E4300" t="inlineStr">
        <is>
          <t>VÄXJÖ</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50031-2022</t>
        </is>
      </c>
      <c r="B4301" s="1" t="n">
        <v>44865</v>
      </c>
      <c r="C4301" s="1" t="n">
        <v>46103</v>
      </c>
      <c r="D4301" t="inlineStr">
        <is>
          <t>KRONOBERGS LÄN</t>
        </is>
      </c>
      <c r="E4301" t="inlineStr">
        <is>
          <t>ÄLMHULT</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4453-2024</t>
        </is>
      </c>
      <c r="B4302" s="1" t="n">
        <v>45327.51895833333</v>
      </c>
      <c r="C4302" s="1" t="n">
        <v>46103</v>
      </c>
      <c r="D4302" t="inlineStr">
        <is>
          <t>KRONOBERGS LÄN</t>
        </is>
      </c>
      <c r="E4302" t="inlineStr">
        <is>
          <t>LESSEBO</t>
        </is>
      </c>
      <c r="F4302" t="inlineStr">
        <is>
          <t>Kommuner</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51436-2024</t>
        </is>
      </c>
      <c r="B4303" s="1" t="n">
        <v>45604.47508101852</v>
      </c>
      <c r="C4303" s="1" t="n">
        <v>46103</v>
      </c>
      <c r="D4303" t="inlineStr">
        <is>
          <t>KRONOBERGS LÄN</t>
        </is>
      </c>
      <c r="E4303" t="inlineStr">
        <is>
          <t>LJUNGBY</t>
        </is>
      </c>
      <c r="G4303" t="n">
        <v>7.9</v>
      </c>
      <c r="H4303" t="n">
        <v>0</v>
      </c>
      <c r="I4303" t="n">
        <v>0</v>
      </c>
      <c r="J4303" t="n">
        <v>0</v>
      </c>
      <c r="K4303" t="n">
        <v>0</v>
      </c>
      <c r="L4303" t="n">
        <v>0</v>
      </c>
      <c r="M4303" t="n">
        <v>0</v>
      </c>
      <c r="N4303" t="n">
        <v>0</v>
      </c>
      <c r="O4303" t="n">
        <v>0</v>
      </c>
      <c r="P4303" t="n">
        <v>0</v>
      </c>
      <c r="Q4303" t="n">
        <v>0</v>
      </c>
      <c r="R4303" s="2" t="inlineStr"/>
    </row>
    <row r="4304" ht="15" customHeight="1">
      <c r="A4304" t="inlineStr">
        <is>
          <t>A 51443-2024</t>
        </is>
      </c>
      <c r="B4304" s="1" t="n">
        <v>45604.48289351852</v>
      </c>
      <c r="C4304" s="1" t="n">
        <v>46103</v>
      </c>
      <c r="D4304" t="inlineStr">
        <is>
          <t>KRONOBERGS LÄN</t>
        </is>
      </c>
      <c r="E4304" t="inlineStr">
        <is>
          <t>UPPVIDINGE</t>
        </is>
      </c>
      <c r="F4304" t="inlineStr">
        <is>
          <t>Sveaskog</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30861-2025</t>
        </is>
      </c>
      <c r="B4305" s="1" t="n">
        <v>45832.00253472223</v>
      </c>
      <c r="C4305" s="1" t="n">
        <v>46103</v>
      </c>
      <c r="D4305" t="inlineStr">
        <is>
          <t>KRONOBERGS LÄN</t>
        </is>
      </c>
      <c r="E4305" t="inlineStr">
        <is>
          <t>VÄXJÖ</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10713-2024</t>
        </is>
      </c>
      <c r="B4306" s="1" t="n">
        <v>45369.44256944444</v>
      </c>
      <c r="C4306" s="1" t="n">
        <v>46103</v>
      </c>
      <c r="D4306" t="inlineStr">
        <is>
          <t>KRONOBERGS LÄN</t>
        </is>
      </c>
      <c r="E4306" t="inlineStr">
        <is>
          <t>UPPVIDINGE</t>
        </is>
      </c>
      <c r="G4306" t="n">
        <v>5.5</v>
      </c>
      <c r="H4306" t="n">
        <v>0</v>
      </c>
      <c r="I4306" t="n">
        <v>0</v>
      </c>
      <c r="J4306" t="n">
        <v>0</v>
      </c>
      <c r="K4306" t="n">
        <v>0</v>
      </c>
      <c r="L4306" t="n">
        <v>0</v>
      </c>
      <c r="M4306" t="n">
        <v>0</v>
      </c>
      <c r="N4306" t="n">
        <v>0</v>
      </c>
      <c r="O4306" t="n">
        <v>0</v>
      </c>
      <c r="P4306" t="n">
        <v>0</v>
      </c>
      <c r="Q4306" t="n">
        <v>0</v>
      </c>
      <c r="R4306" s="2" t="inlineStr"/>
    </row>
    <row r="4307" ht="15" customHeight="1">
      <c r="A4307" t="inlineStr">
        <is>
          <t>A 7989-2022</t>
        </is>
      </c>
      <c r="B4307" s="1" t="n">
        <v>44609</v>
      </c>
      <c r="C4307" s="1" t="n">
        <v>46103</v>
      </c>
      <c r="D4307" t="inlineStr">
        <is>
          <t>KRONOBERGS LÄN</t>
        </is>
      </c>
      <c r="E4307" t="inlineStr">
        <is>
          <t>TINGSRYD</t>
        </is>
      </c>
      <c r="F4307" t="inlineStr">
        <is>
          <t>Kommuner</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50162-2023</t>
        </is>
      </c>
      <c r="B4308" s="1" t="n">
        <v>45215</v>
      </c>
      <c r="C4308" s="1" t="n">
        <v>46103</v>
      </c>
      <c r="D4308" t="inlineStr">
        <is>
          <t>KRONOBERGS LÄN</t>
        </is>
      </c>
      <c r="E4308" t="inlineStr">
        <is>
          <t>LESSEBO</t>
        </is>
      </c>
      <c r="F4308" t="inlineStr">
        <is>
          <t>Sveaskog</t>
        </is>
      </c>
      <c r="G4308" t="n">
        <v>0.2</v>
      </c>
      <c r="H4308" t="n">
        <v>0</v>
      </c>
      <c r="I4308" t="n">
        <v>0</v>
      </c>
      <c r="J4308" t="n">
        <v>0</v>
      </c>
      <c r="K4308" t="n">
        <v>0</v>
      </c>
      <c r="L4308" t="n">
        <v>0</v>
      </c>
      <c r="M4308" t="n">
        <v>0</v>
      </c>
      <c r="N4308" t="n">
        <v>0</v>
      </c>
      <c r="O4308" t="n">
        <v>0</v>
      </c>
      <c r="P4308" t="n">
        <v>0</v>
      </c>
      <c r="Q4308" t="n">
        <v>0</v>
      </c>
      <c r="R4308" s="2" t="inlineStr"/>
    </row>
    <row r="4309" ht="15" customHeight="1">
      <c r="A4309" t="inlineStr">
        <is>
          <t>A 31604-2025</t>
        </is>
      </c>
      <c r="B4309" s="1" t="n">
        <v>45833.74201388889</v>
      </c>
      <c r="C4309" s="1" t="n">
        <v>46103</v>
      </c>
      <c r="D4309" t="inlineStr">
        <is>
          <t>KRONOBERGS LÄN</t>
        </is>
      </c>
      <c r="E4309" t="inlineStr">
        <is>
          <t>LJUNGBY</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413-2024</t>
        </is>
      </c>
      <c r="B4310" s="1" t="n">
        <v>45296</v>
      </c>
      <c r="C4310" s="1" t="n">
        <v>46103</v>
      </c>
      <c r="D4310" t="inlineStr">
        <is>
          <t>KRONOBERGS LÄN</t>
        </is>
      </c>
      <c r="E4310" t="inlineStr">
        <is>
          <t>ALVESTA</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46963-2024</t>
        </is>
      </c>
      <c r="B4311" s="1" t="n">
        <v>45583</v>
      </c>
      <c r="C4311" s="1" t="n">
        <v>46103</v>
      </c>
      <c r="D4311" t="inlineStr">
        <is>
          <t>KRONOBERGS LÄN</t>
        </is>
      </c>
      <c r="E4311" t="inlineStr">
        <is>
          <t>VÄXJÖ</t>
        </is>
      </c>
      <c r="F4311" t="inlineStr">
        <is>
          <t>Kyrkan</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26068-2025</t>
        </is>
      </c>
      <c r="B4312" s="1" t="n">
        <v>45805</v>
      </c>
      <c r="C4312" s="1" t="n">
        <v>46103</v>
      </c>
      <c r="D4312" t="inlineStr">
        <is>
          <t>KRONOBERGS LÄN</t>
        </is>
      </c>
      <c r="E4312" t="inlineStr">
        <is>
          <t>VÄXJÖ</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56826-2024</t>
        </is>
      </c>
      <c r="B4313" s="1" t="n">
        <v>45628.49322916667</v>
      </c>
      <c r="C4313" s="1" t="n">
        <v>46103</v>
      </c>
      <c r="D4313" t="inlineStr">
        <is>
          <t>KRONOBERGS LÄN</t>
        </is>
      </c>
      <c r="E4313" t="inlineStr">
        <is>
          <t>LJUNGBY</t>
        </is>
      </c>
      <c r="G4313" t="n">
        <v>9.6</v>
      </c>
      <c r="H4313" t="n">
        <v>0</v>
      </c>
      <c r="I4313" t="n">
        <v>0</v>
      </c>
      <c r="J4313" t="n">
        <v>0</v>
      </c>
      <c r="K4313" t="n">
        <v>0</v>
      </c>
      <c r="L4313" t="n">
        <v>0</v>
      </c>
      <c r="M4313" t="n">
        <v>0</v>
      </c>
      <c r="N4313" t="n">
        <v>0</v>
      </c>
      <c r="O4313" t="n">
        <v>0</v>
      </c>
      <c r="P4313" t="n">
        <v>0</v>
      </c>
      <c r="Q4313" t="n">
        <v>0</v>
      </c>
      <c r="R4313" s="2" t="inlineStr"/>
    </row>
    <row r="4314" ht="15" customHeight="1">
      <c r="A4314" t="inlineStr">
        <is>
          <t>A 29332-2024</t>
        </is>
      </c>
      <c r="B4314" s="1" t="n">
        <v>45483</v>
      </c>
      <c r="C4314" s="1" t="n">
        <v>46103</v>
      </c>
      <c r="D4314" t="inlineStr">
        <is>
          <t>KRONOBERGS LÄN</t>
        </is>
      </c>
      <c r="E4314" t="inlineStr">
        <is>
          <t>LJUNGBY</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12298-2023</t>
        </is>
      </c>
      <c r="B4315" s="1" t="n">
        <v>44998.80769675926</v>
      </c>
      <c r="C4315" s="1" t="n">
        <v>46103</v>
      </c>
      <c r="D4315" t="inlineStr">
        <is>
          <t>KRONOBERGS LÄN</t>
        </is>
      </c>
      <c r="E4315" t="inlineStr">
        <is>
          <t>ALVESTA</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31785-2025</t>
        </is>
      </c>
      <c r="B4316" s="1" t="n">
        <v>45834</v>
      </c>
      <c r="C4316" s="1" t="n">
        <v>46103</v>
      </c>
      <c r="D4316" t="inlineStr">
        <is>
          <t>KRONOBERGS LÄN</t>
        </is>
      </c>
      <c r="E4316" t="inlineStr">
        <is>
          <t>ALVESTA</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20624-2024</t>
        </is>
      </c>
      <c r="B4317" s="1" t="n">
        <v>45436.46581018518</v>
      </c>
      <c r="C4317" s="1" t="n">
        <v>46103</v>
      </c>
      <c r="D4317" t="inlineStr">
        <is>
          <t>KRONOBERGS LÄN</t>
        </is>
      </c>
      <c r="E4317" t="inlineStr">
        <is>
          <t>ALVESTA</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32078-2025</t>
        </is>
      </c>
      <c r="B4318" s="1" t="n">
        <v>45835.45113425926</v>
      </c>
      <c r="C4318" s="1" t="n">
        <v>46103</v>
      </c>
      <c r="D4318" t="inlineStr">
        <is>
          <t>KRONOBERGS LÄN</t>
        </is>
      </c>
      <c r="E4318" t="inlineStr">
        <is>
          <t>VÄXJÖ</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16994-2024</t>
        </is>
      </c>
      <c r="B4319" s="1" t="n">
        <v>45412.33927083333</v>
      </c>
      <c r="C4319" s="1" t="n">
        <v>46103</v>
      </c>
      <c r="D4319" t="inlineStr">
        <is>
          <t>KRONOBERGS LÄN</t>
        </is>
      </c>
      <c r="E4319" t="inlineStr">
        <is>
          <t>TINGSRYD</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51537-2024</t>
        </is>
      </c>
      <c r="B4320" s="1" t="n">
        <v>45603</v>
      </c>
      <c r="C4320" s="1" t="n">
        <v>46103</v>
      </c>
      <c r="D4320" t="inlineStr">
        <is>
          <t>KRONOBERGS LÄN</t>
        </is>
      </c>
      <c r="E4320" t="inlineStr">
        <is>
          <t>LJUNGBY</t>
        </is>
      </c>
      <c r="F4320" t="inlineStr">
        <is>
          <t>Kyrkan</t>
        </is>
      </c>
      <c r="G4320" t="n">
        <v>13.5</v>
      </c>
      <c r="H4320" t="n">
        <v>0</v>
      </c>
      <c r="I4320" t="n">
        <v>0</v>
      </c>
      <c r="J4320" t="n">
        <v>0</v>
      </c>
      <c r="K4320" t="n">
        <v>0</v>
      </c>
      <c r="L4320" t="n">
        <v>0</v>
      </c>
      <c r="M4320" t="n">
        <v>0</v>
      </c>
      <c r="N4320" t="n">
        <v>0</v>
      </c>
      <c r="O4320" t="n">
        <v>0</v>
      </c>
      <c r="P4320" t="n">
        <v>0</v>
      </c>
      <c r="Q4320" t="n">
        <v>0</v>
      </c>
      <c r="R4320" s="2" t="inlineStr"/>
    </row>
    <row r="4321" ht="15" customHeight="1">
      <c r="A4321" t="inlineStr">
        <is>
          <t>A 14043-2025</t>
        </is>
      </c>
      <c r="B4321" s="1" t="n">
        <v>45740.37105324074</v>
      </c>
      <c r="C4321" s="1" t="n">
        <v>46103</v>
      </c>
      <c r="D4321" t="inlineStr">
        <is>
          <t>KRONOBERGS LÄN</t>
        </is>
      </c>
      <c r="E4321" t="inlineStr">
        <is>
          <t>ALVESTA</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14067-2025</t>
        </is>
      </c>
      <c r="B4322" s="1" t="n">
        <v>45740.41976851852</v>
      </c>
      <c r="C4322" s="1" t="n">
        <v>46103</v>
      </c>
      <c r="D4322" t="inlineStr">
        <is>
          <t>KRONOBERGS LÄN</t>
        </is>
      </c>
      <c r="E4322" t="inlineStr">
        <is>
          <t>ALVESTA</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11175-2023</t>
        </is>
      </c>
      <c r="B4323" s="1" t="n">
        <v>44992</v>
      </c>
      <c r="C4323" s="1" t="n">
        <v>46103</v>
      </c>
      <c r="D4323" t="inlineStr">
        <is>
          <t>KRONOBERGS LÄN</t>
        </is>
      </c>
      <c r="E4323" t="inlineStr">
        <is>
          <t>MARKARYD</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16593-2025</t>
        </is>
      </c>
      <c r="B4324" s="1" t="n">
        <v>45753.32285879629</v>
      </c>
      <c r="C4324" s="1" t="n">
        <v>46103</v>
      </c>
      <c r="D4324" t="inlineStr">
        <is>
          <t>KRONOBERGS LÄN</t>
        </is>
      </c>
      <c r="E4324" t="inlineStr">
        <is>
          <t>VÄXJÖ</t>
        </is>
      </c>
      <c r="G4324" t="n">
        <v>0.3</v>
      </c>
      <c r="H4324" t="n">
        <v>0</v>
      </c>
      <c r="I4324" t="n">
        <v>0</v>
      </c>
      <c r="J4324" t="n">
        <v>0</v>
      </c>
      <c r="K4324" t="n">
        <v>0</v>
      </c>
      <c r="L4324" t="n">
        <v>0</v>
      </c>
      <c r="M4324" t="n">
        <v>0</v>
      </c>
      <c r="N4324" t="n">
        <v>0</v>
      </c>
      <c r="O4324" t="n">
        <v>0</v>
      </c>
      <c r="P4324" t="n">
        <v>0</v>
      </c>
      <c r="Q4324" t="n">
        <v>0</v>
      </c>
      <c r="R4324" s="2" t="inlineStr"/>
    </row>
    <row r="4325" ht="15" customHeight="1">
      <c r="A4325" t="inlineStr">
        <is>
          <t>A 31754-2025</t>
        </is>
      </c>
      <c r="B4325" s="1" t="n">
        <v>45834</v>
      </c>
      <c r="C4325" s="1" t="n">
        <v>46103</v>
      </c>
      <c r="D4325" t="inlineStr">
        <is>
          <t>KRONOBERGS LÄN</t>
        </is>
      </c>
      <c r="E4325" t="inlineStr">
        <is>
          <t>ALVESTA</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19824-2025</t>
        </is>
      </c>
      <c r="B4326" s="1" t="n">
        <v>45771</v>
      </c>
      <c r="C4326" s="1" t="n">
        <v>46103</v>
      </c>
      <c r="D4326" t="inlineStr">
        <is>
          <t>KRONOBERGS LÄN</t>
        </is>
      </c>
      <c r="E4326" t="inlineStr">
        <is>
          <t>TINGSRYD</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19873-2025</t>
        </is>
      </c>
      <c r="B4327" s="1" t="n">
        <v>45771.54695601852</v>
      </c>
      <c r="C4327" s="1" t="n">
        <v>46103</v>
      </c>
      <c r="D4327" t="inlineStr">
        <is>
          <t>KRONOBERGS LÄN</t>
        </is>
      </c>
      <c r="E4327" t="inlineStr">
        <is>
          <t>ÄLMHULT</t>
        </is>
      </c>
      <c r="F4327" t="inlineStr">
        <is>
          <t>Sveaskog</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31793-2025</t>
        </is>
      </c>
      <c r="B4328" s="1" t="n">
        <v>45834</v>
      </c>
      <c r="C4328" s="1" t="n">
        <v>46103</v>
      </c>
      <c r="D4328" t="inlineStr">
        <is>
          <t>KRONOBERGS LÄN</t>
        </is>
      </c>
      <c r="E4328" t="inlineStr">
        <is>
          <t>ALVESTA</t>
        </is>
      </c>
      <c r="G4328" t="n">
        <v>3.2</v>
      </c>
      <c r="H4328" t="n">
        <v>0</v>
      </c>
      <c r="I4328" t="n">
        <v>0</v>
      </c>
      <c r="J4328" t="n">
        <v>0</v>
      </c>
      <c r="K4328" t="n">
        <v>0</v>
      </c>
      <c r="L4328" t="n">
        <v>0</v>
      </c>
      <c r="M4328" t="n">
        <v>0</v>
      </c>
      <c r="N4328" t="n">
        <v>0</v>
      </c>
      <c r="O4328" t="n">
        <v>0</v>
      </c>
      <c r="P4328" t="n">
        <v>0</v>
      </c>
      <c r="Q4328" t="n">
        <v>0</v>
      </c>
      <c r="R4328" s="2" t="inlineStr"/>
    </row>
    <row r="4329" ht="15" customHeight="1">
      <c r="A4329" t="inlineStr">
        <is>
          <t>A 62309-2023</t>
        </is>
      </c>
      <c r="B4329" s="1" t="n">
        <v>45267</v>
      </c>
      <c r="C4329" s="1" t="n">
        <v>46103</v>
      </c>
      <c r="D4329" t="inlineStr">
        <is>
          <t>KRONOBERGS LÄN</t>
        </is>
      </c>
      <c r="E4329" t="inlineStr">
        <is>
          <t>MARKARYD</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17782-2024</t>
        </is>
      </c>
      <c r="B4330" s="1" t="n">
        <v>45418.67614583333</v>
      </c>
      <c r="C4330" s="1" t="n">
        <v>46103</v>
      </c>
      <c r="D4330" t="inlineStr">
        <is>
          <t>KRONOBERGS LÄN</t>
        </is>
      </c>
      <c r="E4330" t="inlineStr">
        <is>
          <t>ALVESTA</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14923-2021</t>
        </is>
      </c>
      <c r="B4331" s="1" t="n">
        <v>44281</v>
      </c>
      <c r="C4331" s="1" t="n">
        <v>46103</v>
      </c>
      <c r="D4331" t="inlineStr">
        <is>
          <t>KRONOBERGS LÄN</t>
        </is>
      </c>
      <c r="E4331" t="inlineStr">
        <is>
          <t>LJUNGBY</t>
        </is>
      </c>
      <c r="F4331" t="inlineStr">
        <is>
          <t>Kommuner</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29916-2022</t>
        </is>
      </c>
      <c r="B4332" s="1" t="n">
        <v>44756</v>
      </c>
      <c r="C4332" s="1" t="n">
        <v>46103</v>
      </c>
      <c r="D4332" t="inlineStr">
        <is>
          <t>KRONOBERGS LÄN</t>
        </is>
      </c>
      <c r="E4332" t="inlineStr">
        <is>
          <t>TINGSRYD</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48869-2024</t>
        </is>
      </c>
      <c r="B4333" s="1" t="n">
        <v>45594</v>
      </c>
      <c r="C4333" s="1" t="n">
        <v>46103</v>
      </c>
      <c r="D4333" t="inlineStr">
        <is>
          <t>KRONOBERGS LÄN</t>
        </is>
      </c>
      <c r="E4333" t="inlineStr">
        <is>
          <t>MARKARYD</t>
        </is>
      </c>
      <c r="G4333" t="n">
        <v>4.6</v>
      </c>
      <c r="H4333" t="n">
        <v>0</v>
      </c>
      <c r="I4333" t="n">
        <v>0</v>
      </c>
      <c r="J4333" t="n">
        <v>0</v>
      </c>
      <c r="K4333" t="n">
        <v>0</v>
      </c>
      <c r="L4333" t="n">
        <v>0</v>
      </c>
      <c r="M4333" t="n">
        <v>0</v>
      </c>
      <c r="N4333" t="n">
        <v>0</v>
      </c>
      <c r="O4333" t="n">
        <v>0</v>
      </c>
      <c r="P4333" t="n">
        <v>0</v>
      </c>
      <c r="Q4333" t="n">
        <v>0</v>
      </c>
      <c r="R4333" s="2" t="inlineStr"/>
    </row>
    <row r="4334" ht="15" customHeight="1">
      <c r="A4334" t="inlineStr">
        <is>
          <t>A 20028-2021</t>
        </is>
      </c>
      <c r="B4334" s="1" t="n">
        <v>44313</v>
      </c>
      <c r="C4334" s="1" t="n">
        <v>46103</v>
      </c>
      <c r="D4334" t="inlineStr">
        <is>
          <t>KRONOBERGS LÄN</t>
        </is>
      </c>
      <c r="E4334" t="inlineStr">
        <is>
          <t>ALVESTA</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32233-2025</t>
        </is>
      </c>
      <c r="B4335" s="1" t="n">
        <v>45835.60259259259</v>
      </c>
      <c r="C4335" s="1" t="n">
        <v>46103</v>
      </c>
      <c r="D4335" t="inlineStr">
        <is>
          <t>KRONOBERGS LÄN</t>
        </is>
      </c>
      <c r="E4335" t="inlineStr">
        <is>
          <t>ÄLMHULT</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4636-2023</t>
        </is>
      </c>
      <c r="B4336" s="1" t="n">
        <v>44953</v>
      </c>
      <c r="C4336" s="1" t="n">
        <v>46103</v>
      </c>
      <c r="D4336" t="inlineStr">
        <is>
          <t>KRONOBERGS LÄN</t>
        </is>
      </c>
      <c r="E4336" t="inlineStr">
        <is>
          <t>TINGSRYD</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31994-2025</t>
        </is>
      </c>
      <c r="B4337" s="1" t="n">
        <v>45835.37094907407</v>
      </c>
      <c r="C4337" s="1" t="n">
        <v>46103</v>
      </c>
      <c r="D4337" t="inlineStr">
        <is>
          <t>KRONOBERGS LÄN</t>
        </is>
      </c>
      <c r="E4337" t="inlineStr">
        <is>
          <t>UPPVIDINGE</t>
        </is>
      </c>
      <c r="G4337" t="n">
        <v>5.3</v>
      </c>
      <c r="H4337" t="n">
        <v>0</v>
      </c>
      <c r="I4337" t="n">
        <v>0</v>
      </c>
      <c r="J4337" t="n">
        <v>0</v>
      </c>
      <c r="K4337" t="n">
        <v>0</v>
      </c>
      <c r="L4337" t="n">
        <v>0</v>
      </c>
      <c r="M4337" t="n">
        <v>0</v>
      </c>
      <c r="N4337" t="n">
        <v>0</v>
      </c>
      <c r="O4337" t="n">
        <v>0</v>
      </c>
      <c r="P4337" t="n">
        <v>0</v>
      </c>
      <c r="Q4337" t="n">
        <v>0</v>
      </c>
      <c r="R4337" s="2" t="inlineStr"/>
    </row>
    <row r="4338" ht="15" customHeight="1">
      <c r="A4338" t="inlineStr">
        <is>
          <t>A 54616-2024</t>
        </is>
      </c>
      <c r="B4338" s="1" t="n">
        <v>45617.72848379629</v>
      </c>
      <c r="C4338" s="1" t="n">
        <v>46103</v>
      </c>
      <c r="D4338" t="inlineStr">
        <is>
          <t>KRONOBERGS LÄN</t>
        </is>
      </c>
      <c r="E4338" t="inlineStr">
        <is>
          <t>VÄXJÖ</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32007-2025</t>
        </is>
      </c>
      <c r="B4339" s="1" t="n">
        <v>45835.3862962963</v>
      </c>
      <c r="C4339" s="1" t="n">
        <v>46103</v>
      </c>
      <c r="D4339" t="inlineStr">
        <is>
          <t>KRONOBERGS LÄN</t>
        </is>
      </c>
      <c r="E4339" t="inlineStr">
        <is>
          <t>VÄXJÖ</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52833-2022</t>
        </is>
      </c>
      <c r="B4340" s="1" t="n">
        <v>44872</v>
      </c>
      <c r="C4340" s="1" t="n">
        <v>46103</v>
      </c>
      <c r="D4340" t="inlineStr">
        <is>
          <t>KRONOBERGS LÄN</t>
        </is>
      </c>
      <c r="E4340" t="inlineStr">
        <is>
          <t>VÄXJÖ</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32080-2025</t>
        </is>
      </c>
      <c r="B4341" s="1" t="n">
        <v>45835.45200231481</v>
      </c>
      <c r="C4341" s="1" t="n">
        <v>46103</v>
      </c>
      <c r="D4341" t="inlineStr">
        <is>
          <t>KRONOBERGS LÄN</t>
        </is>
      </c>
      <c r="E4341" t="inlineStr">
        <is>
          <t>VÄXJÖ</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6119-2022</t>
        </is>
      </c>
      <c r="B4342" s="1" t="n">
        <v>44599</v>
      </c>
      <c r="C4342" s="1" t="n">
        <v>46103</v>
      </c>
      <c r="D4342" t="inlineStr">
        <is>
          <t>KRONOBERGS LÄN</t>
        </is>
      </c>
      <c r="E4342" t="inlineStr">
        <is>
          <t>UPPVIDINGE</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6139-2022</t>
        </is>
      </c>
      <c r="B4343" s="1" t="n">
        <v>44599.69871527778</v>
      </c>
      <c r="C4343" s="1" t="n">
        <v>46103</v>
      </c>
      <c r="D4343" t="inlineStr">
        <is>
          <t>KRONOBERGS LÄN</t>
        </is>
      </c>
      <c r="E4343" t="inlineStr">
        <is>
          <t>TINGSRYD</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39389-2024</t>
        </is>
      </c>
      <c r="B4344" s="1" t="n">
        <v>45551.50974537037</v>
      </c>
      <c r="C4344" s="1" t="n">
        <v>46103</v>
      </c>
      <c r="D4344" t="inlineStr">
        <is>
          <t>KRONOBERGS LÄN</t>
        </is>
      </c>
      <c r="E4344" t="inlineStr">
        <is>
          <t>LESSEBO</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7887-2025</t>
        </is>
      </c>
      <c r="B4345" s="1" t="n">
        <v>45706.93050925926</v>
      </c>
      <c r="C4345" s="1" t="n">
        <v>46103</v>
      </c>
      <c r="D4345" t="inlineStr">
        <is>
          <t>KRONOBERGS LÄN</t>
        </is>
      </c>
      <c r="E4345" t="inlineStr">
        <is>
          <t>ALVESTA</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21173-2021</t>
        </is>
      </c>
      <c r="B4346" s="1" t="n">
        <v>44320</v>
      </c>
      <c r="C4346" s="1" t="n">
        <v>46103</v>
      </c>
      <c r="D4346" t="inlineStr">
        <is>
          <t>KRONOBERGS LÄN</t>
        </is>
      </c>
      <c r="E4346" t="inlineStr">
        <is>
          <t>ALVESTA</t>
        </is>
      </c>
      <c r="G4346" t="n">
        <v>5.7</v>
      </c>
      <c r="H4346" t="n">
        <v>0</v>
      </c>
      <c r="I4346" t="n">
        <v>0</v>
      </c>
      <c r="J4346" t="n">
        <v>0</v>
      </c>
      <c r="K4346" t="n">
        <v>0</v>
      </c>
      <c r="L4346" t="n">
        <v>0</v>
      </c>
      <c r="M4346" t="n">
        <v>0</v>
      </c>
      <c r="N4346" t="n">
        <v>0</v>
      </c>
      <c r="O4346" t="n">
        <v>0</v>
      </c>
      <c r="P4346" t="n">
        <v>0</v>
      </c>
      <c r="Q4346" t="n">
        <v>0</v>
      </c>
      <c r="R4346" s="2" t="inlineStr"/>
    </row>
    <row r="4347" ht="15" customHeight="1">
      <c r="A4347" t="inlineStr">
        <is>
          <t>A 2038-2023</t>
        </is>
      </c>
      <c r="B4347" s="1" t="n">
        <v>44938</v>
      </c>
      <c r="C4347" s="1" t="n">
        <v>46103</v>
      </c>
      <c r="D4347" t="inlineStr">
        <is>
          <t>KRONOBERGS LÄN</t>
        </is>
      </c>
      <c r="E4347" t="inlineStr">
        <is>
          <t>ALVESTA</t>
        </is>
      </c>
      <c r="G4347" t="n">
        <v>4</v>
      </c>
      <c r="H4347" t="n">
        <v>0</v>
      </c>
      <c r="I4347" t="n">
        <v>0</v>
      </c>
      <c r="J4347" t="n">
        <v>0</v>
      </c>
      <c r="K4347" t="n">
        <v>0</v>
      </c>
      <c r="L4347" t="n">
        <v>0</v>
      </c>
      <c r="M4347" t="n">
        <v>0</v>
      </c>
      <c r="N4347" t="n">
        <v>0</v>
      </c>
      <c r="O4347" t="n">
        <v>0</v>
      </c>
      <c r="P4347" t="n">
        <v>0</v>
      </c>
      <c r="Q4347" t="n">
        <v>0</v>
      </c>
      <c r="R4347" s="2" t="inlineStr"/>
    </row>
    <row r="4348" ht="15" customHeight="1">
      <c r="A4348" t="inlineStr">
        <is>
          <t>A 31778-2025</t>
        </is>
      </c>
      <c r="B4348" s="1" t="n">
        <v>45834</v>
      </c>
      <c r="C4348" s="1" t="n">
        <v>46103</v>
      </c>
      <c r="D4348" t="inlineStr">
        <is>
          <t>KRONOBERGS LÄN</t>
        </is>
      </c>
      <c r="E4348" t="inlineStr">
        <is>
          <t>ALVESTA</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31790-2025</t>
        </is>
      </c>
      <c r="B4349" s="1" t="n">
        <v>45834</v>
      </c>
      <c r="C4349" s="1" t="n">
        <v>46103</v>
      </c>
      <c r="D4349" t="inlineStr">
        <is>
          <t>KRONOBERGS LÄN</t>
        </is>
      </c>
      <c r="E4349" t="inlineStr">
        <is>
          <t>ALVESTA</t>
        </is>
      </c>
      <c r="G4349" t="n">
        <v>4.1</v>
      </c>
      <c r="H4349" t="n">
        <v>0</v>
      </c>
      <c r="I4349" t="n">
        <v>0</v>
      </c>
      <c r="J4349" t="n">
        <v>0</v>
      </c>
      <c r="K4349" t="n">
        <v>0</v>
      </c>
      <c r="L4349" t="n">
        <v>0</v>
      </c>
      <c r="M4349" t="n">
        <v>0</v>
      </c>
      <c r="N4349" t="n">
        <v>0</v>
      </c>
      <c r="O4349" t="n">
        <v>0</v>
      </c>
      <c r="P4349" t="n">
        <v>0</v>
      </c>
      <c r="Q4349" t="n">
        <v>0</v>
      </c>
      <c r="R4349" s="2" t="inlineStr"/>
    </row>
    <row r="4350" ht="15" customHeight="1">
      <c r="A4350" t="inlineStr">
        <is>
          <t>A 13191-2023</t>
        </is>
      </c>
      <c r="B4350" s="1" t="n">
        <v>45002</v>
      </c>
      <c r="C4350" s="1" t="n">
        <v>46103</v>
      </c>
      <c r="D4350" t="inlineStr">
        <is>
          <t>KRONOBERGS LÄN</t>
        </is>
      </c>
      <c r="E4350" t="inlineStr">
        <is>
          <t>TINGSRYD</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32110-2025</t>
        </is>
      </c>
      <c r="B4351" s="1" t="n">
        <v>45835.48375</v>
      </c>
      <c r="C4351" s="1" t="n">
        <v>46103</v>
      </c>
      <c r="D4351" t="inlineStr">
        <is>
          <t>KRONOBERGS LÄN</t>
        </is>
      </c>
      <c r="E4351" t="inlineStr">
        <is>
          <t>UPPVIDINGE</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5514-2022</t>
        </is>
      </c>
      <c r="B4352" s="1" t="n">
        <v>44595.55912037037</v>
      </c>
      <c r="C4352" s="1" t="n">
        <v>46103</v>
      </c>
      <c r="D4352" t="inlineStr">
        <is>
          <t>KRONOBERGS LÄN</t>
        </is>
      </c>
      <c r="E4352" t="inlineStr">
        <is>
          <t>UPPVIDINGE</t>
        </is>
      </c>
      <c r="G4352" t="n">
        <v>3.4</v>
      </c>
      <c r="H4352" t="n">
        <v>0</v>
      </c>
      <c r="I4352" t="n">
        <v>0</v>
      </c>
      <c r="J4352" t="n">
        <v>0</v>
      </c>
      <c r="K4352" t="n">
        <v>0</v>
      </c>
      <c r="L4352" t="n">
        <v>0</v>
      </c>
      <c r="M4352" t="n">
        <v>0</v>
      </c>
      <c r="N4352" t="n">
        <v>0</v>
      </c>
      <c r="O4352" t="n">
        <v>0</v>
      </c>
      <c r="P4352" t="n">
        <v>0</v>
      </c>
      <c r="Q4352" t="n">
        <v>0</v>
      </c>
      <c r="R4352" s="2" t="inlineStr"/>
    </row>
    <row r="4353" ht="15" customHeight="1">
      <c r="A4353" t="inlineStr">
        <is>
          <t>A 32549-2021</t>
        </is>
      </c>
      <c r="B4353" s="1" t="n">
        <v>44370</v>
      </c>
      <c r="C4353" s="1" t="n">
        <v>46103</v>
      </c>
      <c r="D4353" t="inlineStr">
        <is>
          <t>KRONOBERGS LÄN</t>
        </is>
      </c>
      <c r="E4353" t="inlineStr">
        <is>
          <t>VÄXJÖ</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16214-2022</t>
        </is>
      </c>
      <c r="B4354" s="1" t="n">
        <v>44670</v>
      </c>
      <c r="C4354" s="1" t="n">
        <v>46103</v>
      </c>
      <c r="D4354" t="inlineStr">
        <is>
          <t>KRONOBERGS LÄN</t>
        </is>
      </c>
      <c r="E4354" t="inlineStr">
        <is>
          <t>VÄXJÖ</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19063-2023</t>
        </is>
      </c>
      <c r="B4355" s="1" t="n">
        <v>45048.34269675926</v>
      </c>
      <c r="C4355" s="1" t="n">
        <v>46103</v>
      </c>
      <c r="D4355" t="inlineStr">
        <is>
          <t>KRONOBERGS LÄN</t>
        </is>
      </c>
      <c r="E4355" t="inlineStr">
        <is>
          <t>ÄLMHULT</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31761-2025</t>
        </is>
      </c>
      <c r="B4356" s="1" t="n">
        <v>45834.49287037037</v>
      </c>
      <c r="C4356" s="1" t="n">
        <v>46103</v>
      </c>
      <c r="D4356" t="inlineStr">
        <is>
          <t>KRONOBERGS LÄN</t>
        </is>
      </c>
      <c r="E4356" t="inlineStr">
        <is>
          <t>ÄLMHULT</t>
        </is>
      </c>
      <c r="G4356" t="n">
        <v>5.5</v>
      </c>
      <c r="H4356" t="n">
        <v>0</v>
      </c>
      <c r="I4356" t="n">
        <v>0</v>
      </c>
      <c r="J4356" t="n">
        <v>0</v>
      </c>
      <c r="K4356" t="n">
        <v>0</v>
      </c>
      <c r="L4356" t="n">
        <v>0</v>
      </c>
      <c r="M4356" t="n">
        <v>0</v>
      </c>
      <c r="N4356" t="n">
        <v>0</v>
      </c>
      <c r="O4356" t="n">
        <v>0</v>
      </c>
      <c r="P4356" t="n">
        <v>0</v>
      </c>
      <c r="Q4356" t="n">
        <v>0</v>
      </c>
      <c r="R4356" s="2" t="inlineStr"/>
    </row>
    <row r="4357" ht="15" customHeight="1">
      <c r="A4357" t="inlineStr">
        <is>
          <t>A 31765-2025</t>
        </is>
      </c>
      <c r="B4357" s="1" t="n">
        <v>45834.49486111111</v>
      </c>
      <c r="C4357" s="1" t="n">
        <v>46103</v>
      </c>
      <c r="D4357" t="inlineStr">
        <is>
          <t>KRONOBERGS LÄN</t>
        </is>
      </c>
      <c r="E4357" t="inlineStr">
        <is>
          <t>TINGSRYD</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31781-2025</t>
        </is>
      </c>
      <c r="B4358" s="1" t="n">
        <v>45834</v>
      </c>
      <c r="C4358" s="1" t="n">
        <v>46103</v>
      </c>
      <c r="D4358" t="inlineStr">
        <is>
          <t>KRONOBERGS LÄN</t>
        </is>
      </c>
      <c r="E4358" t="inlineStr">
        <is>
          <t>ALVESTA</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14718-2025</t>
        </is>
      </c>
      <c r="B4359" s="1" t="n">
        <v>45742.61196759259</v>
      </c>
      <c r="C4359" s="1" t="n">
        <v>46103</v>
      </c>
      <c r="D4359" t="inlineStr">
        <is>
          <t>KRONOBERGS LÄN</t>
        </is>
      </c>
      <c r="E4359" t="inlineStr">
        <is>
          <t>LJUNGBY</t>
        </is>
      </c>
      <c r="G4359" t="n">
        <v>11.4</v>
      </c>
      <c r="H4359" t="n">
        <v>0</v>
      </c>
      <c r="I4359" t="n">
        <v>0</v>
      </c>
      <c r="J4359" t="n">
        <v>0</v>
      </c>
      <c r="K4359" t="n">
        <v>0</v>
      </c>
      <c r="L4359" t="n">
        <v>0</v>
      </c>
      <c r="M4359" t="n">
        <v>0</v>
      </c>
      <c r="N4359" t="n">
        <v>0</v>
      </c>
      <c r="O4359" t="n">
        <v>0</v>
      </c>
      <c r="P4359" t="n">
        <v>0</v>
      </c>
      <c r="Q4359" t="n">
        <v>0</v>
      </c>
      <c r="R4359" s="2" t="inlineStr"/>
    </row>
    <row r="4360" ht="15" customHeight="1">
      <c r="A4360" t="inlineStr">
        <is>
          <t>A 32000-2025</t>
        </is>
      </c>
      <c r="B4360" s="1" t="n">
        <v>45835.37918981481</v>
      </c>
      <c r="C4360" s="1" t="n">
        <v>46103</v>
      </c>
      <c r="D4360" t="inlineStr">
        <is>
          <t>KRONOBERGS LÄN</t>
        </is>
      </c>
      <c r="E4360" t="inlineStr">
        <is>
          <t>VÄXJÖ</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4318-2024</t>
        </is>
      </c>
      <c r="B4361" s="1" t="n">
        <v>45324</v>
      </c>
      <c r="C4361" s="1" t="n">
        <v>46103</v>
      </c>
      <c r="D4361" t="inlineStr">
        <is>
          <t>KRONOBERGS LÄN</t>
        </is>
      </c>
      <c r="E4361" t="inlineStr">
        <is>
          <t>VÄXJÖ</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4336-2024</t>
        </is>
      </c>
      <c r="B4362" s="1" t="n">
        <v>45324.71243055556</v>
      </c>
      <c r="C4362" s="1" t="n">
        <v>46103</v>
      </c>
      <c r="D4362" t="inlineStr">
        <is>
          <t>KRONOBERGS LÄN</t>
        </is>
      </c>
      <c r="E4362" t="inlineStr">
        <is>
          <t>LJUNGBY</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61626-2023</t>
        </is>
      </c>
      <c r="B4363" s="1" t="n">
        <v>45265.54988425926</v>
      </c>
      <c r="C4363" s="1" t="n">
        <v>46103</v>
      </c>
      <c r="D4363" t="inlineStr">
        <is>
          <t>KRONOBERGS LÄN</t>
        </is>
      </c>
      <c r="E4363" t="inlineStr">
        <is>
          <t>MARKARYD</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61631-2023</t>
        </is>
      </c>
      <c r="B4364" s="1" t="n">
        <v>45265.55644675926</v>
      </c>
      <c r="C4364" s="1" t="n">
        <v>46103</v>
      </c>
      <c r="D4364" t="inlineStr">
        <is>
          <t>KRONOBERGS LÄN</t>
        </is>
      </c>
      <c r="E4364" t="inlineStr">
        <is>
          <t>MARKARYD</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30100-2022</t>
        </is>
      </c>
      <c r="B4365" s="1" t="n">
        <v>44757.39927083333</v>
      </c>
      <c r="C4365" s="1" t="n">
        <v>46103</v>
      </c>
      <c r="D4365" t="inlineStr">
        <is>
          <t>KRONOBERGS LÄN</t>
        </is>
      </c>
      <c r="E4365" t="inlineStr">
        <is>
          <t>UPPVIDINGE</t>
        </is>
      </c>
      <c r="F4365" t="inlineStr">
        <is>
          <t>Sveaskog</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30107-2022</t>
        </is>
      </c>
      <c r="B4366" s="1" t="n">
        <v>44757.40454861111</v>
      </c>
      <c r="C4366" s="1" t="n">
        <v>46103</v>
      </c>
      <c r="D4366" t="inlineStr">
        <is>
          <t>KRONOBERGS LÄN</t>
        </is>
      </c>
      <c r="E4366" t="inlineStr">
        <is>
          <t>UPPVIDINGE</t>
        </is>
      </c>
      <c r="F4366" t="inlineStr">
        <is>
          <t>Sveaskog</t>
        </is>
      </c>
      <c r="G4366" t="n">
        <v>3.3</v>
      </c>
      <c r="H4366" t="n">
        <v>0</v>
      </c>
      <c r="I4366" t="n">
        <v>0</v>
      </c>
      <c r="J4366" t="n">
        <v>0</v>
      </c>
      <c r="K4366" t="n">
        <v>0</v>
      </c>
      <c r="L4366" t="n">
        <v>0</v>
      </c>
      <c r="M4366" t="n">
        <v>0</v>
      </c>
      <c r="N4366" t="n">
        <v>0</v>
      </c>
      <c r="O4366" t="n">
        <v>0</v>
      </c>
      <c r="P4366" t="n">
        <v>0</v>
      </c>
      <c r="Q4366" t="n">
        <v>0</v>
      </c>
      <c r="R4366" s="2" t="inlineStr"/>
    </row>
    <row r="4367" ht="15" customHeight="1">
      <c r="A4367" t="inlineStr">
        <is>
          <t>A 32197-2025</t>
        </is>
      </c>
      <c r="B4367" s="1" t="n">
        <v>45835.57680555555</v>
      </c>
      <c r="C4367" s="1" t="n">
        <v>46103</v>
      </c>
      <c r="D4367" t="inlineStr">
        <is>
          <t>KRONOBERGS LÄN</t>
        </is>
      </c>
      <c r="E4367" t="inlineStr">
        <is>
          <t>ÄLMHULT</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16449-2023</t>
        </is>
      </c>
      <c r="B4368" s="1" t="n">
        <v>45029.47953703703</v>
      </c>
      <c r="C4368" s="1" t="n">
        <v>46103</v>
      </c>
      <c r="D4368" t="inlineStr">
        <is>
          <t>KRONOBERGS LÄN</t>
        </is>
      </c>
      <c r="E4368" t="inlineStr">
        <is>
          <t>VÄXJÖ</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20616-2024</t>
        </is>
      </c>
      <c r="B4369" s="1" t="n">
        <v>45436.45458333333</v>
      </c>
      <c r="C4369" s="1" t="n">
        <v>46103</v>
      </c>
      <c r="D4369" t="inlineStr">
        <is>
          <t>KRONOBERGS LÄN</t>
        </is>
      </c>
      <c r="E4369" t="inlineStr">
        <is>
          <t>ALVESTA</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13223-2025</t>
        </is>
      </c>
      <c r="B4370" s="1" t="n">
        <v>45735.45677083333</v>
      </c>
      <c r="C4370" s="1" t="n">
        <v>46103</v>
      </c>
      <c r="D4370" t="inlineStr">
        <is>
          <t>KRONOBERGS LÄN</t>
        </is>
      </c>
      <c r="E4370" t="inlineStr">
        <is>
          <t>LJUNGBY</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31999-2025</t>
        </is>
      </c>
      <c r="B4371" s="1" t="n">
        <v>45835.37766203703</v>
      </c>
      <c r="C4371" s="1" t="n">
        <v>46103</v>
      </c>
      <c r="D4371" t="inlineStr">
        <is>
          <t>KRONOBERGS LÄN</t>
        </is>
      </c>
      <c r="E4371" t="inlineStr">
        <is>
          <t>VÄXJÖ</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32014-2025</t>
        </is>
      </c>
      <c r="B4372" s="1" t="n">
        <v>45835.40136574074</v>
      </c>
      <c r="C4372" s="1" t="n">
        <v>46103</v>
      </c>
      <c r="D4372" t="inlineStr">
        <is>
          <t>KRONOBERGS LÄN</t>
        </is>
      </c>
      <c r="E4372" t="inlineStr">
        <is>
          <t>LJUNGBY</t>
        </is>
      </c>
      <c r="G4372" t="n">
        <v>2.8</v>
      </c>
      <c r="H4372" t="n">
        <v>0</v>
      </c>
      <c r="I4372" t="n">
        <v>0</v>
      </c>
      <c r="J4372" t="n">
        <v>0</v>
      </c>
      <c r="K4372" t="n">
        <v>0</v>
      </c>
      <c r="L4372" t="n">
        <v>0</v>
      </c>
      <c r="M4372" t="n">
        <v>0</v>
      </c>
      <c r="N4372" t="n">
        <v>0</v>
      </c>
      <c r="O4372" t="n">
        <v>0</v>
      </c>
      <c r="P4372" t="n">
        <v>0</v>
      </c>
      <c r="Q4372" t="n">
        <v>0</v>
      </c>
      <c r="R4372" s="2" t="inlineStr"/>
    </row>
    <row r="4373" ht="15" customHeight="1">
      <c r="A4373" t="inlineStr">
        <is>
          <t>A 35997-2024</t>
        </is>
      </c>
      <c r="B4373" s="1" t="n">
        <v>45533.54414351852</v>
      </c>
      <c r="C4373" s="1" t="n">
        <v>46103</v>
      </c>
      <c r="D4373" t="inlineStr">
        <is>
          <t>KRONOBERGS LÄN</t>
        </is>
      </c>
      <c r="E4373" t="inlineStr">
        <is>
          <t>TINGSRYD</t>
        </is>
      </c>
      <c r="G4373" t="n">
        <v>4.4</v>
      </c>
      <c r="H4373" t="n">
        <v>0</v>
      </c>
      <c r="I4373" t="n">
        <v>0</v>
      </c>
      <c r="J4373" t="n">
        <v>0</v>
      </c>
      <c r="K4373" t="n">
        <v>0</v>
      </c>
      <c r="L4373" t="n">
        <v>0</v>
      </c>
      <c r="M4373" t="n">
        <v>0</v>
      </c>
      <c r="N4373" t="n">
        <v>0</v>
      </c>
      <c r="O4373" t="n">
        <v>0</v>
      </c>
      <c r="P4373" t="n">
        <v>0</v>
      </c>
      <c r="Q4373" t="n">
        <v>0</v>
      </c>
      <c r="R4373" s="2" t="inlineStr"/>
    </row>
    <row r="4374" ht="15" customHeight="1">
      <c r="A4374" t="inlineStr">
        <is>
          <t>A 36000-2024</t>
        </is>
      </c>
      <c r="B4374" s="1" t="n">
        <v>45533.54564814815</v>
      </c>
      <c r="C4374" s="1" t="n">
        <v>46103</v>
      </c>
      <c r="D4374" t="inlineStr">
        <is>
          <t>KRONOBERGS LÄN</t>
        </is>
      </c>
      <c r="E4374" t="inlineStr">
        <is>
          <t>ÄLMHULT</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14263-2022</t>
        </is>
      </c>
      <c r="B4375" s="1" t="n">
        <v>44651</v>
      </c>
      <c r="C4375" s="1" t="n">
        <v>46103</v>
      </c>
      <c r="D4375" t="inlineStr">
        <is>
          <t>KRONOBERGS LÄN</t>
        </is>
      </c>
      <c r="E4375" t="inlineStr">
        <is>
          <t>VÄXJÖ</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32011-2025</t>
        </is>
      </c>
      <c r="B4376" s="1" t="n">
        <v>45835.39804398148</v>
      </c>
      <c r="C4376" s="1" t="n">
        <v>46103</v>
      </c>
      <c r="D4376" t="inlineStr">
        <is>
          <t>KRONOBERGS LÄN</t>
        </is>
      </c>
      <c r="E4376" t="inlineStr">
        <is>
          <t>LJUNGBY</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32825-2025</t>
        </is>
      </c>
      <c r="B4377" s="1" t="n">
        <v>45839.54353009259</v>
      </c>
      <c r="C4377" s="1" t="n">
        <v>46103</v>
      </c>
      <c r="D4377" t="inlineStr">
        <is>
          <t>KRONOBERGS LÄN</t>
        </is>
      </c>
      <c r="E4377" t="inlineStr">
        <is>
          <t>ÄLMHULT</t>
        </is>
      </c>
      <c r="G4377" t="n">
        <v>3.9</v>
      </c>
      <c r="H4377" t="n">
        <v>0</v>
      </c>
      <c r="I4377" t="n">
        <v>0</v>
      </c>
      <c r="J4377" t="n">
        <v>0</v>
      </c>
      <c r="K4377" t="n">
        <v>0</v>
      </c>
      <c r="L4377" t="n">
        <v>0</v>
      </c>
      <c r="M4377" t="n">
        <v>0</v>
      </c>
      <c r="N4377" t="n">
        <v>0</v>
      </c>
      <c r="O4377" t="n">
        <v>0</v>
      </c>
      <c r="P4377" t="n">
        <v>0</v>
      </c>
      <c r="Q4377" t="n">
        <v>0</v>
      </c>
      <c r="R4377" s="2" t="inlineStr"/>
    </row>
    <row r="4378" ht="15" customHeight="1">
      <c r="A4378" t="inlineStr">
        <is>
          <t>A 32538-2025</t>
        </is>
      </c>
      <c r="B4378" s="1" t="n">
        <v>45838</v>
      </c>
      <c r="C4378" s="1" t="n">
        <v>46103</v>
      </c>
      <c r="D4378" t="inlineStr">
        <is>
          <t>KRONOBERGS LÄN</t>
        </is>
      </c>
      <c r="E4378" t="inlineStr">
        <is>
          <t>ALVESTA</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12893-2023</t>
        </is>
      </c>
      <c r="B4379" s="1" t="n">
        <v>45001</v>
      </c>
      <c r="C4379" s="1" t="n">
        <v>46103</v>
      </c>
      <c r="D4379" t="inlineStr">
        <is>
          <t>KRONOBERGS LÄN</t>
        </is>
      </c>
      <c r="E4379" t="inlineStr">
        <is>
          <t>ÄLMHULT</t>
        </is>
      </c>
      <c r="G4379" t="n">
        <v>4.3</v>
      </c>
      <c r="H4379" t="n">
        <v>0</v>
      </c>
      <c r="I4379" t="n">
        <v>0</v>
      </c>
      <c r="J4379" t="n">
        <v>0</v>
      </c>
      <c r="K4379" t="n">
        <v>0</v>
      </c>
      <c r="L4379" t="n">
        <v>0</v>
      </c>
      <c r="M4379" t="n">
        <v>0</v>
      </c>
      <c r="N4379" t="n">
        <v>0</v>
      </c>
      <c r="O4379" t="n">
        <v>0</v>
      </c>
      <c r="P4379" t="n">
        <v>0</v>
      </c>
      <c r="Q4379" t="n">
        <v>0</v>
      </c>
      <c r="R4379" s="2" t="inlineStr"/>
    </row>
    <row r="4380" ht="15" customHeight="1">
      <c r="A4380" t="inlineStr">
        <is>
          <t>A 12894-2023</t>
        </is>
      </c>
      <c r="B4380" s="1" t="n">
        <v>45001</v>
      </c>
      <c r="C4380" s="1" t="n">
        <v>46103</v>
      </c>
      <c r="D4380" t="inlineStr">
        <is>
          <t>KRONOBERGS LÄN</t>
        </is>
      </c>
      <c r="E4380" t="inlineStr">
        <is>
          <t>UPPVIDINGE</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32650-2025</t>
        </is>
      </c>
      <c r="B4381" s="1" t="n">
        <v>45838.67675925926</v>
      </c>
      <c r="C4381" s="1" t="n">
        <v>46103</v>
      </c>
      <c r="D4381" t="inlineStr">
        <is>
          <t>KRONOBERGS LÄN</t>
        </is>
      </c>
      <c r="E4381" t="inlineStr">
        <is>
          <t>UPPVIDINGE</t>
        </is>
      </c>
      <c r="F4381" t="inlineStr">
        <is>
          <t>Kommuner</t>
        </is>
      </c>
      <c r="G4381" t="n">
        <v>4.1</v>
      </c>
      <c r="H4381" t="n">
        <v>0</v>
      </c>
      <c r="I4381" t="n">
        <v>0</v>
      </c>
      <c r="J4381" t="n">
        <v>0</v>
      </c>
      <c r="K4381" t="n">
        <v>0</v>
      </c>
      <c r="L4381" t="n">
        <v>0</v>
      </c>
      <c r="M4381" t="n">
        <v>0</v>
      </c>
      <c r="N4381" t="n">
        <v>0</v>
      </c>
      <c r="O4381" t="n">
        <v>0</v>
      </c>
      <c r="P4381" t="n">
        <v>0</v>
      </c>
      <c r="Q4381" t="n">
        <v>0</v>
      </c>
      <c r="R4381" s="2" t="inlineStr"/>
    </row>
    <row r="4382" ht="15" customHeight="1">
      <c r="A4382" t="inlineStr">
        <is>
          <t>A 32868-2025</t>
        </is>
      </c>
      <c r="B4382" s="1" t="n">
        <v>45839</v>
      </c>
      <c r="C4382" s="1" t="n">
        <v>46103</v>
      </c>
      <c r="D4382" t="inlineStr">
        <is>
          <t>KRONOBERGS LÄN</t>
        </is>
      </c>
      <c r="E4382" t="inlineStr">
        <is>
          <t>VÄXJÖ</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10070-2025</t>
        </is>
      </c>
      <c r="B4383" s="1" t="n">
        <v>45719.54616898148</v>
      </c>
      <c r="C4383" s="1" t="n">
        <v>46103</v>
      </c>
      <c r="D4383" t="inlineStr">
        <is>
          <t>KRONOBERGS LÄN</t>
        </is>
      </c>
      <c r="E4383" t="inlineStr">
        <is>
          <t>VÄXJÖ</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10075-2025</t>
        </is>
      </c>
      <c r="B4384" s="1" t="n">
        <v>45719</v>
      </c>
      <c r="C4384" s="1" t="n">
        <v>46103</v>
      </c>
      <c r="D4384" t="inlineStr">
        <is>
          <t>KRONOBERGS LÄN</t>
        </is>
      </c>
      <c r="E4384" t="inlineStr">
        <is>
          <t>VÄXJÖ</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32712-2025</t>
        </is>
      </c>
      <c r="B4385" s="1" t="n">
        <v>45839.36814814815</v>
      </c>
      <c r="C4385" s="1" t="n">
        <v>46103</v>
      </c>
      <c r="D4385" t="inlineStr">
        <is>
          <t>KRONOBERGS LÄN</t>
        </is>
      </c>
      <c r="E4385" t="inlineStr">
        <is>
          <t>LESSEBO</t>
        </is>
      </c>
      <c r="F4385" t="inlineStr">
        <is>
          <t>Sveaskog</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37113-2021</t>
        </is>
      </c>
      <c r="B4386" s="1" t="n">
        <v>44393</v>
      </c>
      <c r="C4386" s="1" t="n">
        <v>46103</v>
      </c>
      <c r="D4386" t="inlineStr">
        <is>
          <t>KRONOBERGS LÄN</t>
        </is>
      </c>
      <c r="E4386" t="inlineStr">
        <is>
          <t>VÄXJÖ</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35934-2024</t>
        </is>
      </c>
      <c r="B4387" s="1" t="n">
        <v>45533.45201388889</v>
      </c>
      <c r="C4387" s="1" t="n">
        <v>46103</v>
      </c>
      <c r="D4387" t="inlineStr">
        <is>
          <t>KRONOBERGS LÄN</t>
        </is>
      </c>
      <c r="E4387" t="inlineStr">
        <is>
          <t>VÄXJÖ</t>
        </is>
      </c>
      <c r="G4387" t="n">
        <v>5.6</v>
      </c>
      <c r="H4387" t="n">
        <v>0</v>
      </c>
      <c r="I4387" t="n">
        <v>0</v>
      </c>
      <c r="J4387" t="n">
        <v>0</v>
      </c>
      <c r="K4387" t="n">
        <v>0</v>
      </c>
      <c r="L4387" t="n">
        <v>0</v>
      </c>
      <c r="M4387" t="n">
        <v>0</v>
      </c>
      <c r="N4387" t="n">
        <v>0</v>
      </c>
      <c r="O4387" t="n">
        <v>0</v>
      </c>
      <c r="P4387" t="n">
        <v>0</v>
      </c>
      <c r="Q4387" t="n">
        <v>0</v>
      </c>
      <c r="R4387" s="2" t="inlineStr"/>
    </row>
    <row r="4388" ht="15" customHeight="1">
      <c r="A4388" t="inlineStr">
        <is>
          <t>A 35963-2024</t>
        </is>
      </c>
      <c r="B4388" s="1" t="n">
        <v>45533</v>
      </c>
      <c r="C4388" s="1" t="n">
        <v>46103</v>
      </c>
      <c r="D4388" t="inlineStr">
        <is>
          <t>KRONOBERGS LÄN</t>
        </is>
      </c>
      <c r="E4388" t="inlineStr">
        <is>
          <t>LJUNGBY</t>
        </is>
      </c>
      <c r="F4388" t="inlineStr">
        <is>
          <t>Kyrkan</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12676-2025</t>
        </is>
      </c>
      <c r="B4389" s="1" t="n">
        <v>45733.43582175926</v>
      </c>
      <c r="C4389" s="1" t="n">
        <v>46103</v>
      </c>
      <c r="D4389" t="inlineStr">
        <is>
          <t>KRONOBERGS LÄN</t>
        </is>
      </c>
      <c r="E4389" t="inlineStr">
        <is>
          <t>LJUNGBY</t>
        </is>
      </c>
      <c r="G4389" t="n">
        <v>4.2</v>
      </c>
      <c r="H4389" t="n">
        <v>0</v>
      </c>
      <c r="I4389" t="n">
        <v>0</v>
      </c>
      <c r="J4389" t="n">
        <v>0</v>
      </c>
      <c r="K4389" t="n">
        <v>0</v>
      </c>
      <c r="L4389" t="n">
        <v>0</v>
      </c>
      <c r="M4389" t="n">
        <v>0</v>
      </c>
      <c r="N4389" t="n">
        <v>0</v>
      </c>
      <c r="O4389" t="n">
        <v>0</v>
      </c>
      <c r="P4389" t="n">
        <v>0</v>
      </c>
      <c r="Q4389" t="n">
        <v>0</v>
      </c>
      <c r="R4389" s="2" t="inlineStr"/>
    </row>
    <row r="4390" ht="15" customHeight="1">
      <c r="A4390" t="inlineStr">
        <is>
          <t>A 64773-2023</t>
        </is>
      </c>
      <c r="B4390" s="1" t="n">
        <v>45282.32709490741</v>
      </c>
      <c r="C4390" s="1" t="n">
        <v>46103</v>
      </c>
      <c r="D4390" t="inlineStr">
        <is>
          <t>KRONOBERGS LÄN</t>
        </is>
      </c>
      <c r="E4390" t="inlineStr">
        <is>
          <t>ÄLMHULT</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61632-2023</t>
        </is>
      </c>
      <c r="B4391" s="1" t="n">
        <v>45265.55729166666</v>
      </c>
      <c r="C4391" s="1" t="n">
        <v>46103</v>
      </c>
      <c r="D4391" t="inlineStr">
        <is>
          <t>KRONOBERGS LÄN</t>
        </is>
      </c>
      <c r="E4391" t="inlineStr">
        <is>
          <t>MARKARYD</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32879-2025</t>
        </is>
      </c>
      <c r="B4392" s="1" t="n">
        <v>45839.59554398148</v>
      </c>
      <c r="C4392" s="1" t="n">
        <v>46103</v>
      </c>
      <c r="D4392" t="inlineStr">
        <is>
          <t>KRONOBERGS LÄN</t>
        </is>
      </c>
      <c r="E4392" t="inlineStr">
        <is>
          <t>TINGSRYD</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32645-2025</t>
        </is>
      </c>
      <c r="B4393" s="1" t="n">
        <v>45838.66364583333</v>
      </c>
      <c r="C4393" s="1" t="n">
        <v>46103</v>
      </c>
      <c r="D4393" t="inlineStr">
        <is>
          <t>KRONOBERGS LÄN</t>
        </is>
      </c>
      <c r="E4393" t="inlineStr">
        <is>
          <t>LJUNGBY</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12753-2025</t>
        </is>
      </c>
      <c r="B4394" s="1" t="n">
        <v>45733.56050925926</v>
      </c>
      <c r="C4394" s="1" t="n">
        <v>46103</v>
      </c>
      <c r="D4394" t="inlineStr">
        <is>
          <t>KRONOBERGS LÄN</t>
        </is>
      </c>
      <c r="E4394" t="inlineStr">
        <is>
          <t>ÄLMHULT</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32693-2025</t>
        </is>
      </c>
      <c r="B4395" s="1" t="n">
        <v>45839.30163194444</v>
      </c>
      <c r="C4395" s="1" t="n">
        <v>46103</v>
      </c>
      <c r="D4395" t="inlineStr">
        <is>
          <t>KRONOBERGS LÄN</t>
        </is>
      </c>
      <c r="E4395" t="inlineStr">
        <is>
          <t>ALVESTA</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12787-2025</t>
        </is>
      </c>
      <c r="B4396" s="1" t="n">
        <v>45733.60265046296</v>
      </c>
      <c r="C4396" s="1" t="n">
        <v>46103</v>
      </c>
      <c r="D4396" t="inlineStr">
        <is>
          <t>KRONOBERGS LÄN</t>
        </is>
      </c>
      <c r="E4396" t="inlineStr">
        <is>
          <t>LJUNGBY</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62026-2023</t>
        </is>
      </c>
      <c r="B4397" s="1" t="n">
        <v>45266</v>
      </c>
      <c r="C4397" s="1" t="n">
        <v>46103</v>
      </c>
      <c r="D4397" t="inlineStr">
        <is>
          <t>KRONOBERGS LÄN</t>
        </is>
      </c>
      <c r="E4397" t="inlineStr">
        <is>
          <t>LJUNGBY</t>
        </is>
      </c>
      <c r="G4397" t="n">
        <v>3.9</v>
      </c>
      <c r="H4397" t="n">
        <v>0</v>
      </c>
      <c r="I4397" t="n">
        <v>0</v>
      </c>
      <c r="J4397" t="n">
        <v>0</v>
      </c>
      <c r="K4397" t="n">
        <v>0</v>
      </c>
      <c r="L4397" t="n">
        <v>0</v>
      </c>
      <c r="M4397" t="n">
        <v>0</v>
      </c>
      <c r="N4397" t="n">
        <v>0</v>
      </c>
      <c r="O4397" t="n">
        <v>0</v>
      </c>
      <c r="P4397" t="n">
        <v>0</v>
      </c>
      <c r="Q4397" t="n">
        <v>0</v>
      </c>
      <c r="R4397" s="2" t="inlineStr"/>
    </row>
    <row r="4398" ht="15" customHeight="1">
      <c r="A4398" t="inlineStr">
        <is>
          <t>A 32881-2025</t>
        </is>
      </c>
      <c r="B4398" s="1" t="n">
        <v>45839</v>
      </c>
      <c r="C4398" s="1" t="n">
        <v>46103</v>
      </c>
      <c r="D4398" t="inlineStr">
        <is>
          <t>KRONOBERGS LÄN</t>
        </is>
      </c>
      <c r="E4398" t="inlineStr">
        <is>
          <t>UPPVIDINGE</t>
        </is>
      </c>
      <c r="G4398" t="n">
        <v>5.6</v>
      </c>
      <c r="H4398" t="n">
        <v>0</v>
      </c>
      <c r="I4398" t="n">
        <v>0</v>
      </c>
      <c r="J4398" t="n">
        <v>0</v>
      </c>
      <c r="K4398" t="n">
        <v>0</v>
      </c>
      <c r="L4398" t="n">
        <v>0</v>
      </c>
      <c r="M4398" t="n">
        <v>0</v>
      </c>
      <c r="N4398" t="n">
        <v>0</v>
      </c>
      <c r="O4398" t="n">
        <v>0</v>
      </c>
      <c r="P4398" t="n">
        <v>0</v>
      </c>
      <c r="Q4398" t="n">
        <v>0</v>
      </c>
      <c r="R4398" s="2" t="inlineStr"/>
    </row>
    <row r="4399" ht="15" customHeight="1">
      <c r="A4399" t="inlineStr">
        <is>
          <t>A 32045-2024</t>
        </is>
      </c>
      <c r="B4399" s="1" t="n">
        <v>45510.89869212963</v>
      </c>
      <c r="C4399" s="1" t="n">
        <v>46103</v>
      </c>
      <c r="D4399" t="inlineStr">
        <is>
          <t>KRONOBERGS LÄN</t>
        </is>
      </c>
      <c r="E4399" t="inlineStr">
        <is>
          <t>LJUNGBY</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61398-2023</t>
        </is>
      </c>
      <c r="B4400" s="1" t="n">
        <v>45264.6516087963</v>
      </c>
      <c r="C4400" s="1" t="n">
        <v>46103</v>
      </c>
      <c r="D4400" t="inlineStr">
        <is>
          <t>KRONOBERGS LÄN</t>
        </is>
      </c>
      <c r="E4400" t="inlineStr">
        <is>
          <t>UPPVIDINGE</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11352-2023</t>
        </is>
      </c>
      <c r="B4401" s="1" t="n">
        <v>44993.38681712963</v>
      </c>
      <c r="C4401" s="1" t="n">
        <v>46103</v>
      </c>
      <c r="D4401" t="inlineStr">
        <is>
          <t>KRONOBERGS LÄN</t>
        </is>
      </c>
      <c r="E4401" t="inlineStr">
        <is>
          <t>TINGSRYD</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41810-2024</t>
        </is>
      </c>
      <c r="B4402" s="1" t="n">
        <v>45561.3744212963</v>
      </c>
      <c r="C4402" s="1" t="n">
        <v>46103</v>
      </c>
      <c r="D4402" t="inlineStr">
        <is>
          <t>KRONOBERGS LÄN</t>
        </is>
      </c>
      <c r="E4402" t="inlineStr">
        <is>
          <t>UPPVIDINGE</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10735-2025</t>
        </is>
      </c>
      <c r="B4403" s="1" t="n">
        <v>45722.40604166667</v>
      </c>
      <c r="C4403" s="1" t="n">
        <v>46103</v>
      </c>
      <c r="D4403" t="inlineStr">
        <is>
          <t>KRONOBERGS LÄN</t>
        </is>
      </c>
      <c r="E4403" t="inlineStr">
        <is>
          <t>UPPVIDINGE</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51512-2024</t>
        </is>
      </c>
      <c r="B4404" s="1" t="n">
        <v>45604.56101851852</v>
      </c>
      <c r="C4404" s="1" t="n">
        <v>46103</v>
      </c>
      <c r="D4404" t="inlineStr">
        <is>
          <t>KRONOBERGS LÄN</t>
        </is>
      </c>
      <c r="E4404" t="inlineStr">
        <is>
          <t>UPPVIDINGE</t>
        </is>
      </c>
      <c r="F4404" t="inlineStr">
        <is>
          <t>Sveaskog</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51518-2024</t>
        </is>
      </c>
      <c r="B4405" s="1" t="n">
        <v>45604.56623842593</v>
      </c>
      <c r="C4405" s="1" t="n">
        <v>46103</v>
      </c>
      <c r="D4405" t="inlineStr">
        <is>
          <t>KRONOBERGS LÄN</t>
        </is>
      </c>
      <c r="E4405" t="inlineStr">
        <is>
          <t>UPPVIDINGE</t>
        </is>
      </c>
      <c r="F4405" t="inlineStr">
        <is>
          <t>Sveaskog</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51523-2024</t>
        </is>
      </c>
      <c r="B4406" s="1" t="n">
        <v>45604.56958333333</v>
      </c>
      <c r="C4406" s="1" t="n">
        <v>46103</v>
      </c>
      <c r="D4406" t="inlineStr">
        <is>
          <t>KRONOBERGS LÄN</t>
        </is>
      </c>
      <c r="E4406" t="inlineStr">
        <is>
          <t>UPPVIDINGE</t>
        </is>
      </c>
      <c r="F4406" t="inlineStr">
        <is>
          <t>Sveaskog</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9424-2025</t>
        </is>
      </c>
      <c r="B4407" s="1" t="n">
        <v>45715.40141203703</v>
      </c>
      <c r="C4407" s="1" t="n">
        <v>46103</v>
      </c>
      <c r="D4407" t="inlineStr">
        <is>
          <t>KRONOBERGS LÄN</t>
        </is>
      </c>
      <c r="E4407" t="inlineStr">
        <is>
          <t>VÄXJÖ</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13400-2025</t>
        </is>
      </c>
      <c r="B4408" s="1" t="n">
        <v>45735.76244212963</v>
      </c>
      <c r="C4408" s="1" t="n">
        <v>46103</v>
      </c>
      <c r="D4408" t="inlineStr">
        <is>
          <t>KRONOBERGS LÄN</t>
        </is>
      </c>
      <c r="E4408" t="inlineStr">
        <is>
          <t>TINGSRYD</t>
        </is>
      </c>
      <c r="G4408" t="n">
        <v>0.2</v>
      </c>
      <c r="H4408" t="n">
        <v>0</v>
      </c>
      <c r="I4408" t="n">
        <v>0</v>
      </c>
      <c r="J4408" t="n">
        <v>0</v>
      </c>
      <c r="K4408" t="n">
        <v>0</v>
      </c>
      <c r="L4408" t="n">
        <v>0</v>
      </c>
      <c r="M4408" t="n">
        <v>0</v>
      </c>
      <c r="N4408" t="n">
        <v>0</v>
      </c>
      <c r="O4408" t="n">
        <v>0</v>
      </c>
      <c r="P4408" t="n">
        <v>0</v>
      </c>
      <c r="Q4408" t="n">
        <v>0</v>
      </c>
      <c r="R4408" s="2" t="inlineStr"/>
    </row>
    <row r="4409" ht="15" customHeight="1">
      <c r="A4409" t="inlineStr">
        <is>
          <t>A 13401-2025</t>
        </is>
      </c>
      <c r="B4409" s="1" t="n">
        <v>45735.76439814815</v>
      </c>
      <c r="C4409" s="1" t="n">
        <v>46103</v>
      </c>
      <c r="D4409" t="inlineStr">
        <is>
          <t>KRONOBERGS LÄN</t>
        </is>
      </c>
      <c r="E4409" t="inlineStr">
        <is>
          <t>TINGSRYD</t>
        </is>
      </c>
      <c r="G4409" t="n">
        <v>0.1</v>
      </c>
      <c r="H4409" t="n">
        <v>0</v>
      </c>
      <c r="I4409" t="n">
        <v>0</v>
      </c>
      <c r="J4409" t="n">
        <v>0</v>
      </c>
      <c r="K4409" t="n">
        <v>0</v>
      </c>
      <c r="L4409" t="n">
        <v>0</v>
      </c>
      <c r="M4409" t="n">
        <v>0</v>
      </c>
      <c r="N4409" t="n">
        <v>0</v>
      </c>
      <c r="O4409" t="n">
        <v>0</v>
      </c>
      <c r="P4409" t="n">
        <v>0</v>
      </c>
      <c r="Q4409" t="n">
        <v>0</v>
      </c>
      <c r="R4409" s="2" t="inlineStr"/>
    </row>
    <row r="4410" ht="15" customHeight="1">
      <c r="A4410" t="inlineStr">
        <is>
          <t>A 17552-2023</t>
        </is>
      </c>
      <c r="B4410" s="1" t="n">
        <v>45036.50671296296</v>
      </c>
      <c r="C4410" s="1" t="n">
        <v>46103</v>
      </c>
      <c r="D4410" t="inlineStr">
        <is>
          <t>KRONOBERGS LÄN</t>
        </is>
      </c>
      <c r="E4410" t="inlineStr">
        <is>
          <t>LESSEBO</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35543-2023</t>
        </is>
      </c>
      <c r="B4411" s="1" t="n">
        <v>45147</v>
      </c>
      <c r="C4411" s="1" t="n">
        <v>46103</v>
      </c>
      <c r="D4411" t="inlineStr">
        <is>
          <t>KRONOBERGS LÄN</t>
        </is>
      </c>
      <c r="E4411" t="inlineStr">
        <is>
          <t>VÄXJÖ</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32625-2025</t>
        </is>
      </c>
      <c r="B4412" s="1" t="n">
        <v>45838.64799768518</v>
      </c>
      <c r="C4412" s="1" t="n">
        <v>46103</v>
      </c>
      <c r="D4412" t="inlineStr">
        <is>
          <t>KRONOBERGS LÄN</t>
        </is>
      </c>
      <c r="E4412" t="inlineStr">
        <is>
          <t>ALVESTA</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16081-2021</t>
        </is>
      </c>
      <c r="B4413" s="1" t="n">
        <v>44288.50678240741</v>
      </c>
      <c r="C4413" s="1" t="n">
        <v>46103</v>
      </c>
      <c r="D4413" t="inlineStr">
        <is>
          <t>KRONOBERGS LÄN</t>
        </is>
      </c>
      <c r="E4413" t="inlineStr">
        <is>
          <t>TINGSRYD</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37840-2021</t>
        </is>
      </c>
      <c r="B4414" s="1" t="n">
        <v>44403</v>
      </c>
      <c r="C4414" s="1" t="n">
        <v>46103</v>
      </c>
      <c r="D4414" t="inlineStr">
        <is>
          <t>KRONOBERGS LÄN</t>
        </is>
      </c>
      <c r="E4414" t="inlineStr">
        <is>
          <t>ÄLMHULT</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32529-2025</t>
        </is>
      </c>
      <c r="B4415" s="1" t="n">
        <v>45838</v>
      </c>
      <c r="C4415" s="1" t="n">
        <v>46103</v>
      </c>
      <c r="D4415" t="inlineStr">
        <is>
          <t>KRONOBERGS LÄN</t>
        </is>
      </c>
      <c r="E4415" t="inlineStr">
        <is>
          <t>ALVESTA</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32539-2025</t>
        </is>
      </c>
      <c r="B4416" s="1" t="n">
        <v>45838</v>
      </c>
      <c r="C4416" s="1" t="n">
        <v>46103</v>
      </c>
      <c r="D4416" t="inlineStr">
        <is>
          <t>KRONOBERGS LÄN</t>
        </is>
      </c>
      <c r="E4416" t="inlineStr">
        <is>
          <t>ALVESTA</t>
        </is>
      </c>
      <c r="G4416" t="n">
        <v>5.7</v>
      </c>
      <c r="H4416" t="n">
        <v>0</v>
      </c>
      <c r="I4416" t="n">
        <v>0</v>
      </c>
      <c r="J4416" t="n">
        <v>0</v>
      </c>
      <c r="K4416" t="n">
        <v>0</v>
      </c>
      <c r="L4416" t="n">
        <v>0</v>
      </c>
      <c r="M4416" t="n">
        <v>0</v>
      </c>
      <c r="N4416" t="n">
        <v>0</v>
      </c>
      <c r="O4416" t="n">
        <v>0</v>
      </c>
      <c r="P4416" t="n">
        <v>0</v>
      </c>
      <c r="Q4416" t="n">
        <v>0</v>
      </c>
      <c r="R4416" s="2" t="inlineStr"/>
    </row>
    <row r="4417" ht="15" customHeight="1">
      <c r="A4417" t="inlineStr">
        <is>
          <t>A 65092-2023</t>
        </is>
      </c>
      <c r="B4417" s="1" t="n">
        <v>45288</v>
      </c>
      <c r="C4417" s="1" t="n">
        <v>46103</v>
      </c>
      <c r="D4417" t="inlineStr">
        <is>
          <t>KRONOBERGS LÄN</t>
        </is>
      </c>
      <c r="E4417" t="inlineStr">
        <is>
          <t>ALVESTA</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65115-2023</t>
        </is>
      </c>
      <c r="B4418" s="1" t="n">
        <v>45288.46611111111</v>
      </c>
      <c r="C4418" s="1" t="n">
        <v>46103</v>
      </c>
      <c r="D4418" t="inlineStr">
        <is>
          <t>KRONOBERGS LÄN</t>
        </is>
      </c>
      <c r="E4418" t="inlineStr">
        <is>
          <t>UPPVIDINGE</t>
        </is>
      </c>
      <c r="F4418" t="inlineStr">
        <is>
          <t>Sveaskog</t>
        </is>
      </c>
      <c r="G4418" t="n">
        <v>2.9</v>
      </c>
      <c r="H4418" t="n">
        <v>0</v>
      </c>
      <c r="I4418" t="n">
        <v>0</v>
      </c>
      <c r="J4418" t="n">
        <v>0</v>
      </c>
      <c r="K4418" t="n">
        <v>0</v>
      </c>
      <c r="L4418" t="n">
        <v>0</v>
      </c>
      <c r="M4418" t="n">
        <v>0</v>
      </c>
      <c r="N4418" t="n">
        <v>0</v>
      </c>
      <c r="O4418" t="n">
        <v>0</v>
      </c>
      <c r="P4418" t="n">
        <v>0</v>
      </c>
      <c r="Q4418" t="n">
        <v>0</v>
      </c>
      <c r="R4418" s="2" t="inlineStr"/>
    </row>
    <row r="4419" ht="15" customHeight="1">
      <c r="A4419" t="inlineStr">
        <is>
          <t>A 32387-2025</t>
        </is>
      </c>
      <c r="B4419" s="1" t="n">
        <v>45837.87837962963</v>
      </c>
      <c r="C4419" s="1" t="n">
        <v>46103</v>
      </c>
      <c r="D4419" t="inlineStr">
        <is>
          <t>KRONOBERGS LÄN</t>
        </is>
      </c>
      <c r="E4419" t="inlineStr">
        <is>
          <t>LJUNGBY</t>
        </is>
      </c>
      <c r="G4419" t="n">
        <v>2.8</v>
      </c>
      <c r="H4419" t="n">
        <v>0</v>
      </c>
      <c r="I4419" t="n">
        <v>0</v>
      </c>
      <c r="J4419" t="n">
        <v>0</v>
      </c>
      <c r="K4419" t="n">
        <v>0</v>
      </c>
      <c r="L4419" t="n">
        <v>0</v>
      </c>
      <c r="M4419" t="n">
        <v>0</v>
      </c>
      <c r="N4419" t="n">
        <v>0</v>
      </c>
      <c r="O4419" t="n">
        <v>0</v>
      </c>
      <c r="P4419" t="n">
        <v>0</v>
      </c>
      <c r="Q4419" t="n">
        <v>0</v>
      </c>
      <c r="R4419" s="2" t="inlineStr"/>
    </row>
    <row r="4420" ht="15" customHeight="1">
      <c r="A4420" t="inlineStr">
        <is>
          <t>A 32390-2025</t>
        </is>
      </c>
      <c r="B4420" s="1" t="n">
        <v>45837.90488425926</v>
      </c>
      <c r="C4420" s="1" t="n">
        <v>46103</v>
      </c>
      <c r="D4420" t="inlineStr">
        <is>
          <t>KRONOBERGS LÄN</t>
        </is>
      </c>
      <c r="E4420" t="inlineStr">
        <is>
          <t>LJUNGBY</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43466-2024</t>
        </is>
      </c>
      <c r="B4421" s="1" t="n">
        <v>45568</v>
      </c>
      <c r="C4421" s="1" t="n">
        <v>46103</v>
      </c>
      <c r="D4421" t="inlineStr">
        <is>
          <t>KRONOBERGS LÄN</t>
        </is>
      </c>
      <c r="E4421" t="inlineStr">
        <is>
          <t>TINGSRYD</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25344-2025</t>
        </is>
      </c>
      <c r="B4422" s="1" t="n">
        <v>45800</v>
      </c>
      <c r="C4422" s="1" t="n">
        <v>46103</v>
      </c>
      <c r="D4422" t="inlineStr">
        <is>
          <t>KRONOBERGS LÄN</t>
        </is>
      </c>
      <c r="E4422" t="inlineStr">
        <is>
          <t>ALVESTA</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12718-2022</t>
        </is>
      </c>
      <c r="B4423" s="1" t="n">
        <v>44641</v>
      </c>
      <c r="C4423" s="1" t="n">
        <v>46103</v>
      </c>
      <c r="D4423" t="inlineStr">
        <is>
          <t>KRONOBERGS LÄN</t>
        </is>
      </c>
      <c r="E4423" t="inlineStr">
        <is>
          <t>ÄLMHULT</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32493-2025</t>
        </is>
      </c>
      <c r="B4424" s="1" t="n">
        <v>45838.44895833333</v>
      </c>
      <c r="C4424" s="1" t="n">
        <v>46103</v>
      </c>
      <c r="D4424" t="inlineStr">
        <is>
          <t>KRONOBERGS LÄN</t>
        </is>
      </c>
      <c r="E4424" t="inlineStr">
        <is>
          <t>TINGSRYD</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32884-2025</t>
        </is>
      </c>
      <c r="B4425" s="1" t="n">
        <v>45839.59809027778</v>
      </c>
      <c r="C4425" s="1" t="n">
        <v>46103</v>
      </c>
      <c r="D4425" t="inlineStr">
        <is>
          <t>KRONOBERGS LÄN</t>
        </is>
      </c>
      <c r="E4425" t="inlineStr">
        <is>
          <t>TINGSRYD</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19034-2025</t>
        </is>
      </c>
      <c r="B4426" s="1" t="n">
        <v>45764.67251157408</v>
      </c>
      <c r="C4426" s="1" t="n">
        <v>46103</v>
      </c>
      <c r="D4426" t="inlineStr">
        <is>
          <t>KRONOBERGS LÄN</t>
        </is>
      </c>
      <c r="E4426" t="inlineStr">
        <is>
          <t>UPPVIDINGE</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20221-2024</t>
        </is>
      </c>
      <c r="B4427" s="1" t="n">
        <v>45434.6920949074</v>
      </c>
      <c r="C4427" s="1" t="n">
        <v>46103</v>
      </c>
      <c r="D4427" t="inlineStr">
        <is>
          <t>KRONOBERGS LÄN</t>
        </is>
      </c>
      <c r="E4427" t="inlineStr">
        <is>
          <t>TINGSRYD</t>
        </is>
      </c>
      <c r="G4427" t="n">
        <v>4.3</v>
      </c>
      <c r="H4427" t="n">
        <v>0</v>
      </c>
      <c r="I4427" t="n">
        <v>0</v>
      </c>
      <c r="J4427" t="n">
        <v>0</v>
      </c>
      <c r="K4427" t="n">
        <v>0</v>
      </c>
      <c r="L4427" t="n">
        <v>0</v>
      </c>
      <c r="M4427" t="n">
        <v>0</v>
      </c>
      <c r="N4427" t="n">
        <v>0</v>
      </c>
      <c r="O4427" t="n">
        <v>0</v>
      </c>
      <c r="P4427" t="n">
        <v>0</v>
      </c>
      <c r="Q4427" t="n">
        <v>0</v>
      </c>
      <c r="R4427" s="2" t="inlineStr"/>
    </row>
    <row r="4428" ht="15" customHeight="1">
      <c r="A4428" t="inlineStr">
        <is>
          <t>A 32858-2025</t>
        </is>
      </c>
      <c r="B4428" s="1" t="n">
        <v>45839.58087962963</v>
      </c>
      <c r="C4428" s="1" t="n">
        <v>46103</v>
      </c>
      <c r="D4428" t="inlineStr">
        <is>
          <t>KRONOBERGS LÄN</t>
        </is>
      </c>
      <c r="E4428" t="inlineStr">
        <is>
          <t>UPPVIDINGE</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32719-2025</t>
        </is>
      </c>
      <c r="B4429" s="1" t="n">
        <v>45839</v>
      </c>
      <c r="C4429" s="1" t="n">
        <v>46103</v>
      </c>
      <c r="D4429" t="inlineStr">
        <is>
          <t>KRONOBERGS LÄN</t>
        </is>
      </c>
      <c r="E4429" t="inlineStr">
        <is>
          <t>UPPVIDINGE</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32381-2025</t>
        </is>
      </c>
      <c r="B4430" s="1" t="n">
        <v>45837.77806712963</v>
      </c>
      <c r="C4430" s="1" t="n">
        <v>46103</v>
      </c>
      <c r="D4430" t="inlineStr">
        <is>
          <t>KRONOBERGS LÄN</t>
        </is>
      </c>
      <c r="E4430" t="inlineStr">
        <is>
          <t>MARKARYD</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4357-2024</t>
        </is>
      </c>
      <c r="B4431" s="1" t="n">
        <v>45325.3631712963</v>
      </c>
      <c r="C4431" s="1" t="n">
        <v>46103</v>
      </c>
      <c r="D4431" t="inlineStr">
        <is>
          <t>KRONOBERGS LÄN</t>
        </is>
      </c>
      <c r="E4431" t="inlineStr">
        <is>
          <t>TINGSRYD</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32598-2025</t>
        </is>
      </c>
      <c r="B4432" s="1" t="n">
        <v>45838.6196875</v>
      </c>
      <c r="C4432" s="1" t="n">
        <v>46103</v>
      </c>
      <c r="D4432" t="inlineStr">
        <is>
          <t>KRONOBERGS LÄN</t>
        </is>
      </c>
      <c r="E4432" t="inlineStr">
        <is>
          <t>UPPVIDINGE</t>
        </is>
      </c>
      <c r="G4432" t="n">
        <v>4.4</v>
      </c>
      <c r="H4432" t="n">
        <v>0</v>
      </c>
      <c r="I4432" t="n">
        <v>0</v>
      </c>
      <c r="J4432" t="n">
        <v>0</v>
      </c>
      <c r="K4432" t="n">
        <v>0</v>
      </c>
      <c r="L4432" t="n">
        <v>0</v>
      </c>
      <c r="M4432" t="n">
        <v>0</v>
      </c>
      <c r="N4432" t="n">
        <v>0</v>
      </c>
      <c r="O4432" t="n">
        <v>0</v>
      </c>
      <c r="P4432" t="n">
        <v>0</v>
      </c>
      <c r="Q4432" t="n">
        <v>0</v>
      </c>
      <c r="R4432" s="2" t="inlineStr"/>
    </row>
    <row r="4433" ht="15" customHeight="1">
      <c r="A4433" t="inlineStr">
        <is>
          <t>A 47775-2023</t>
        </is>
      </c>
      <c r="B4433" s="1" t="n">
        <v>45203</v>
      </c>
      <c r="C4433" s="1" t="n">
        <v>46103</v>
      </c>
      <c r="D4433" t="inlineStr">
        <is>
          <t>KRONOBERGS LÄN</t>
        </is>
      </c>
      <c r="E4433" t="inlineStr">
        <is>
          <t>MARKARYD</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32675-2025</t>
        </is>
      </c>
      <c r="B4434" s="1" t="n">
        <v>45838.73699074074</v>
      </c>
      <c r="C4434" s="1" t="n">
        <v>46103</v>
      </c>
      <c r="D4434" t="inlineStr">
        <is>
          <t>KRONOBERGS LÄN</t>
        </is>
      </c>
      <c r="E4434" t="inlineStr">
        <is>
          <t>ALVESTA</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32626-2025</t>
        </is>
      </c>
      <c r="B4435" s="1" t="n">
        <v>45838.65013888889</v>
      </c>
      <c r="C4435" s="1" t="n">
        <v>46103</v>
      </c>
      <c r="D4435" t="inlineStr">
        <is>
          <t>KRONOBERGS LÄN</t>
        </is>
      </c>
      <c r="E4435" t="inlineStr">
        <is>
          <t>ALVESTA</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32384-2025</t>
        </is>
      </c>
      <c r="B4436" s="1" t="n">
        <v>45837.8068287037</v>
      </c>
      <c r="C4436" s="1" t="n">
        <v>46103</v>
      </c>
      <c r="D4436" t="inlineStr">
        <is>
          <t>KRONOBERGS LÄN</t>
        </is>
      </c>
      <c r="E4436" t="inlineStr">
        <is>
          <t>MARKARYD</t>
        </is>
      </c>
      <c r="G4436" t="n">
        <v>3.8</v>
      </c>
      <c r="H4436" t="n">
        <v>0</v>
      </c>
      <c r="I4436" t="n">
        <v>0</v>
      </c>
      <c r="J4436" t="n">
        <v>0</v>
      </c>
      <c r="K4436" t="n">
        <v>0</v>
      </c>
      <c r="L4436" t="n">
        <v>0</v>
      </c>
      <c r="M4436" t="n">
        <v>0</v>
      </c>
      <c r="N4436" t="n">
        <v>0</v>
      </c>
      <c r="O4436" t="n">
        <v>0</v>
      </c>
      <c r="P4436" t="n">
        <v>0</v>
      </c>
      <c r="Q4436" t="n">
        <v>0</v>
      </c>
      <c r="R4436" s="2" t="inlineStr"/>
    </row>
    <row r="4437" ht="15" customHeight="1">
      <c r="A4437" t="inlineStr">
        <is>
          <t>A 40088-2022</t>
        </is>
      </c>
      <c r="B4437" s="1" t="n">
        <v>44820.47260416667</v>
      </c>
      <c r="C4437" s="1" t="n">
        <v>46103</v>
      </c>
      <c r="D4437" t="inlineStr">
        <is>
          <t>KRONOBERGS LÄN</t>
        </is>
      </c>
      <c r="E4437" t="inlineStr">
        <is>
          <t>LJUNGBY</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47885-2023</t>
        </is>
      </c>
      <c r="B4438" s="1" t="n">
        <v>45198</v>
      </c>
      <c r="C4438" s="1" t="n">
        <v>46103</v>
      </c>
      <c r="D4438" t="inlineStr">
        <is>
          <t>KRONOBERGS LÄN</t>
        </is>
      </c>
      <c r="E4438" t="inlineStr">
        <is>
          <t>ALVESTA</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63116-2023</t>
        </is>
      </c>
      <c r="B4439" s="1" t="n">
        <v>45273</v>
      </c>
      <c r="C4439" s="1" t="n">
        <v>46103</v>
      </c>
      <c r="D4439" t="inlineStr">
        <is>
          <t>KRONOBERGS LÄN</t>
        </is>
      </c>
      <c r="E4439" t="inlineStr">
        <is>
          <t>ÄLMHULT</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63118-2023</t>
        </is>
      </c>
      <c r="B4440" s="1" t="n">
        <v>45273.43924768519</v>
      </c>
      <c r="C4440" s="1" t="n">
        <v>46103</v>
      </c>
      <c r="D4440" t="inlineStr">
        <is>
          <t>KRONOBERGS LÄN</t>
        </is>
      </c>
      <c r="E4440" t="inlineStr">
        <is>
          <t>ÄLMHULT</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32806-2025</t>
        </is>
      </c>
      <c r="B4441" s="1" t="n">
        <v>45839.50266203703</v>
      </c>
      <c r="C4441" s="1" t="n">
        <v>46103</v>
      </c>
      <c r="D4441" t="inlineStr">
        <is>
          <t>KRONOBERGS LÄN</t>
        </is>
      </c>
      <c r="E4441" t="inlineStr">
        <is>
          <t>ÄLMHULT</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13978-2024</t>
        </is>
      </c>
      <c r="B4442" s="1" t="n">
        <v>45392.39776620371</v>
      </c>
      <c r="C4442" s="1" t="n">
        <v>46103</v>
      </c>
      <c r="D4442" t="inlineStr">
        <is>
          <t>KRONOBERGS LÄN</t>
        </is>
      </c>
      <c r="E4442" t="inlineStr">
        <is>
          <t>VÄXJÖ</t>
        </is>
      </c>
      <c r="F4442" t="inlineStr">
        <is>
          <t>Sveaskog</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14126-2024</t>
        </is>
      </c>
      <c r="B4443" s="1" t="n">
        <v>45392</v>
      </c>
      <c r="C4443" s="1" t="n">
        <v>46103</v>
      </c>
      <c r="D4443" t="inlineStr">
        <is>
          <t>KRONOBERGS LÄN</t>
        </is>
      </c>
      <c r="E4443" t="inlineStr">
        <is>
          <t>VÄXJÖ</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33703-2025</t>
        </is>
      </c>
      <c r="B4444" s="1" t="n">
        <v>45841.74796296296</v>
      </c>
      <c r="C4444" s="1" t="n">
        <v>46103</v>
      </c>
      <c r="D4444" t="inlineStr">
        <is>
          <t>KRONOBERGS LÄN</t>
        </is>
      </c>
      <c r="E4444" t="inlineStr">
        <is>
          <t>UPPVIDINGE</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608-2023</t>
        </is>
      </c>
      <c r="B4445" s="1" t="n">
        <v>44930.59520833333</v>
      </c>
      <c r="C4445" s="1" t="n">
        <v>46103</v>
      </c>
      <c r="D4445" t="inlineStr">
        <is>
          <t>KRONOBERGS LÄN</t>
        </is>
      </c>
      <c r="E4445" t="inlineStr">
        <is>
          <t>TINGSRYD</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33617-2025</t>
        </is>
      </c>
      <c r="B4446" s="1" t="n">
        <v>45841.62547453704</v>
      </c>
      <c r="C4446" s="1" t="n">
        <v>46103</v>
      </c>
      <c r="D4446" t="inlineStr">
        <is>
          <t>KRONOBERGS LÄN</t>
        </is>
      </c>
      <c r="E4446" t="inlineStr">
        <is>
          <t>ALVESTA</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33699-2025</t>
        </is>
      </c>
      <c r="B4447" s="1" t="n">
        <v>45841.70883101852</v>
      </c>
      <c r="C4447" s="1" t="n">
        <v>46103</v>
      </c>
      <c r="D4447" t="inlineStr">
        <is>
          <t>KRONOBERGS LÄN</t>
        </is>
      </c>
      <c r="E4447" t="inlineStr">
        <is>
          <t>ALVESTA</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20111-2024</t>
        </is>
      </c>
      <c r="B4448" s="1" t="n">
        <v>45434.50174768519</v>
      </c>
      <c r="C4448" s="1" t="n">
        <v>46103</v>
      </c>
      <c r="D4448" t="inlineStr">
        <is>
          <t>KRONOBERGS LÄN</t>
        </is>
      </c>
      <c r="E4448" t="inlineStr">
        <is>
          <t>TINGSRYD</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53698-2023</t>
        </is>
      </c>
      <c r="B4449" s="1" t="n">
        <v>45230</v>
      </c>
      <c r="C4449" s="1" t="n">
        <v>46103</v>
      </c>
      <c r="D4449" t="inlineStr">
        <is>
          <t>KRONOBERGS LÄN</t>
        </is>
      </c>
      <c r="E4449" t="inlineStr">
        <is>
          <t>UPPVIDINGE</t>
        </is>
      </c>
      <c r="F4449" t="inlineStr">
        <is>
          <t>Sveaskog</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15496-2025</t>
        </is>
      </c>
      <c r="B4450" s="1" t="n">
        <v>45747</v>
      </c>
      <c r="C4450" s="1" t="n">
        <v>46103</v>
      </c>
      <c r="D4450" t="inlineStr">
        <is>
          <t>KRONOBERGS LÄN</t>
        </is>
      </c>
      <c r="E4450" t="inlineStr">
        <is>
          <t>UPPVIDINGE</t>
        </is>
      </c>
      <c r="F4450" t="inlineStr">
        <is>
          <t>Kommuner</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15526-2025</t>
        </is>
      </c>
      <c r="B4451" s="1" t="n">
        <v>45747</v>
      </c>
      <c r="C4451" s="1" t="n">
        <v>46103</v>
      </c>
      <c r="D4451" t="inlineStr">
        <is>
          <t>KRONOBERGS LÄN</t>
        </is>
      </c>
      <c r="E4451" t="inlineStr">
        <is>
          <t>UPPVIDINGE</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20926-2023</t>
        </is>
      </c>
      <c r="B4452" s="1" t="n">
        <v>45061</v>
      </c>
      <c r="C4452" s="1" t="n">
        <v>46103</v>
      </c>
      <c r="D4452" t="inlineStr">
        <is>
          <t>KRONOBERGS LÄN</t>
        </is>
      </c>
      <c r="E4452" t="inlineStr">
        <is>
          <t>TINGSRYD</t>
        </is>
      </c>
      <c r="F4452" t="inlineStr">
        <is>
          <t>Övriga Aktiebolag</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30599-2025</t>
        </is>
      </c>
      <c r="B4453" s="1" t="n">
        <v>45831</v>
      </c>
      <c r="C4453" s="1" t="n">
        <v>46103</v>
      </c>
      <c r="D4453" t="inlineStr">
        <is>
          <t>KRONOBERGS LÄN</t>
        </is>
      </c>
      <c r="E4453" t="inlineStr">
        <is>
          <t>VÄXJÖ</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30666-2025</t>
        </is>
      </c>
      <c r="B4454" s="1" t="n">
        <v>45831.51474537037</v>
      </c>
      <c r="C4454" s="1" t="n">
        <v>46103</v>
      </c>
      <c r="D4454" t="inlineStr">
        <is>
          <t>KRONOBERGS LÄN</t>
        </is>
      </c>
      <c r="E4454" t="inlineStr">
        <is>
          <t>VÄXJÖ</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28565-2023</t>
        </is>
      </c>
      <c r="B4455" s="1" t="n">
        <v>45103</v>
      </c>
      <c r="C4455" s="1" t="n">
        <v>46103</v>
      </c>
      <c r="D4455" t="inlineStr">
        <is>
          <t>KRONOBERGS LÄN</t>
        </is>
      </c>
      <c r="E4455" t="inlineStr">
        <is>
          <t>VÄXJÖ</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28567-2023</t>
        </is>
      </c>
      <c r="B4456" s="1" t="n">
        <v>45103</v>
      </c>
      <c r="C4456" s="1" t="n">
        <v>46103</v>
      </c>
      <c r="D4456" t="inlineStr">
        <is>
          <t>KRONOBERGS LÄN</t>
        </is>
      </c>
      <c r="E4456" t="inlineStr">
        <is>
          <t>VÄXJÖ</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28576-2023</t>
        </is>
      </c>
      <c r="B4457" s="1" t="n">
        <v>45103.55109953704</v>
      </c>
      <c r="C4457" s="1" t="n">
        <v>46103</v>
      </c>
      <c r="D4457" t="inlineStr">
        <is>
          <t>KRONOBERGS LÄN</t>
        </is>
      </c>
      <c r="E4457" t="inlineStr">
        <is>
          <t>VÄXJÖ</t>
        </is>
      </c>
      <c r="G4457" t="n">
        <v>0.2</v>
      </c>
      <c r="H4457" t="n">
        <v>0</v>
      </c>
      <c r="I4457" t="n">
        <v>0</v>
      </c>
      <c r="J4457" t="n">
        <v>0</v>
      </c>
      <c r="K4457" t="n">
        <v>0</v>
      </c>
      <c r="L4457" t="n">
        <v>0</v>
      </c>
      <c r="M4457" t="n">
        <v>0</v>
      </c>
      <c r="N4457" t="n">
        <v>0</v>
      </c>
      <c r="O4457" t="n">
        <v>0</v>
      </c>
      <c r="P4457" t="n">
        <v>0</v>
      </c>
      <c r="Q4457" t="n">
        <v>0</v>
      </c>
      <c r="R4457" s="2" t="inlineStr"/>
    </row>
    <row r="4458" ht="15" customHeight="1">
      <c r="A4458" t="inlineStr">
        <is>
          <t>A 33565-2025</t>
        </is>
      </c>
      <c r="B4458" s="1" t="n">
        <v>45841</v>
      </c>
      <c r="C4458" s="1" t="n">
        <v>46103</v>
      </c>
      <c r="D4458" t="inlineStr">
        <is>
          <t>KRONOBERGS LÄN</t>
        </is>
      </c>
      <c r="E4458" t="inlineStr">
        <is>
          <t>TINGSRYD</t>
        </is>
      </c>
      <c r="G4458" t="n">
        <v>8.4</v>
      </c>
      <c r="H4458" t="n">
        <v>0</v>
      </c>
      <c r="I4458" t="n">
        <v>0</v>
      </c>
      <c r="J4458" t="n">
        <v>0</v>
      </c>
      <c r="K4458" t="n">
        <v>0</v>
      </c>
      <c r="L4458" t="n">
        <v>0</v>
      </c>
      <c r="M4458" t="n">
        <v>0</v>
      </c>
      <c r="N4458" t="n">
        <v>0</v>
      </c>
      <c r="O4458" t="n">
        <v>0</v>
      </c>
      <c r="P4458" t="n">
        <v>0</v>
      </c>
      <c r="Q4458" t="n">
        <v>0</v>
      </c>
      <c r="R4458" s="2" t="inlineStr"/>
    </row>
    <row r="4459" ht="15" customHeight="1">
      <c r="A4459" t="inlineStr">
        <is>
          <t>A 7871-2024</t>
        </is>
      </c>
      <c r="B4459" s="1" t="n">
        <v>45350.33565972222</v>
      </c>
      <c r="C4459" s="1" t="n">
        <v>46103</v>
      </c>
      <c r="D4459" t="inlineStr">
        <is>
          <t>KRONOBERGS LÄN</t>
        </is>
      </c>
      <c r="E4459" t="inlineStr">
        <is>
          <t>VÄXJÖ</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9027-2024</t>
        </is>
      </c>
      <c r="B4460" s="1" t="n">
        <v>45357</v>
      </c>
      <c r="C4460" s="1" t="n">
        <v>46103</v>
      </c>
      <c r="D4460" t="inlineStr">
        <is>
          <t>KRONOBERGS LÄN</t>
        </is>
      </c>
      <c r="E4460" t="inlineStr">
        <is>
          <t>LJUNGBY</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33094-2025</t>
        </is>
      </c>
      <c r="B4461" s="1" t="n">
        <v>45840.47287037037</v>
      </c>
      <c r="C4461" s="1" t="n">
        <v>46103</v>
      </c>
      <c r="D4461" t="inlineStr">
        <is>
          <t>KRONOBERGS LÄN</t>
        </is>
      </c>
      <c r="E4461" t="inlineStr">
        <is>
          <t>TINGSRYD</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33100-2025</t>
        </is>
      </c>
      <c r="B4462" s="1" t="n">
        <v>45840.479375</v>
      </c>
      <c r="C4462" s="1" t="n">
        <v>46103</v>
      </c>
      <c r="D4462" t="inlineStr">
        <is>
          <t>KRONOBERGS LÄN</t>
        </is>
      </c>
      <c r="E4462" t="inlineStr">
        <is>
          <t>UPPVIDINGE</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33151-2025</t>
        </is>
      </c>
      <c r="B4463" s="1" t="n">
        <v>45840.5487037037</v>
      </c>
      <c r="C4463" s="1" t="n">
        <v>46103</v>
      </c>
      <c r="D4463" t="inlineStr">
        <is>
          <t>KRONOBERGS LÄN</t>
        </is>
      </c>
      <c r="E4463" t="inlineStr">
        <is>
          <t>LJUNGBY</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33355-2023</t>
        </is>
      </c>
      <c r="B4464" s="1" t="n">
        <v>45117</v>
      </c>
      <c r="C4464" s="1" t="n">
        <v>46103</v>
      </c>
      <c r="D4464" t="inlineStr">
        <is>
          <t>KRONOBERGS LÄN</t>
        </is>
      </c>
      <c r="E4464" t="inlineStr">
        <is>
          <t>TINGSRYD</t>
        </is>
      </c>
      <c r="G4464" t="n">
        <v>8.800000000000001</v>
      </c>
      <c r="H4464" t="n">
        <v>0</v>
      </c>
      <c r="I4464" t="n">
        <v>0</v>
      </c>
      <c r="J4464" t="n">
        <v>0</v>
      </c>
      <c r="K4464" t="n">
        <v>0</v>
      </c>
      <c r="L4464" t="n">
        <v>0</v>
      </c>
      <c r="M4464" t="n">
        <v>0</v>
      </c>
      <c r="N4464" t="n">
        <v>0</v>
      </c>
      <c r="O4464" t="n">
        <v>0</v>
      </c>
      <c r="P4464" t="n">
        <v>0</v>
      </c>
      <c r="Q4464" t="n">
        <v>0</v>
      </c>
      <c r="R4464" s="2" t="inlineStr"/>
    </row>
    <row r="4465" ht="15" customHeight="1">
      <c r="A4465" t="inlineStr">
        <is>
          <t>A 33365-2023</t>
        </is>
      </c>
      <c r="B4465" s="1" t="n">
        <v>45117</v>
      </c>
      <c r="C4465" s="1" t="n">
        <v>46103</v>
      </c>
      <c r="D4465" t="inlineStr">
        <is>
          <t>KRONOBERGS LÄN</t>
        </is>
      </c>
      <c r="E4465" t="inlineStr">
        <is>
          <t>TINGSRYD</t>
        </is>
      </c>
      <c r="G4465" t="n">
        <v>5.1</v>
      </c>
      <c r="H4465" t="n">
        <v>0</v>
      </c>
      <c r="I4465" t="n">
        <v>0</v>
      </c>
      <c r="J4465" t="n">
        <v>0</v>
      </c>
      <c r="K4465" t="n">
        <v>0</v>
      </c>
      <c r="L4465" t="n">
        <v>0</v>
      </c>
      <c r="M4465" t="n">
        <v>0</v>
      </c>
      <c r="N4465" t="n">
        <v>0</v>
      </c>
      <c r="O4465" t="n">
        <v>0</v>
      </c>
      <c r="P4465" t="n">
        <v>0</v>
      </c>
      <c r="Q4465" t="n">
        <v>0</v>
      </c>
      <c r="R4465" s="2" t="inlineStr"/>
    </row>
    <row r="4466" ht="15" customHeight="1">
      <c r="A4466" t="inlineStr">
        <is>
          <t>A 58046-2023</t>
        </is>
      </c>
      <c r="B4466" s="1" t="n">
        <v>45247</v>
      </c>
      <c r="C4466" s="1" t="n">
        <v>46103</v>
      </c>
      <c r="D4466" t="inlineStr">
        <is>
          <t>KRONOBERGS LÄN</t>
        </is>
      </c>
      <c r="E4466" t="inlineStr">
        <is>
          <t>VÄXJÖ</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9355-2024</t>
        </is>
      </c>
      <c r="B4467" s="1" t="n">
        <v>45359.32324074074</v>
      </c>
      <c r="C4467" s="1" t="n">
        <v>46103</v>
      </c>
      <c r="D4467" t="inlineStr">
        <is>
          <t>KRONOBERGS LÄN</t>
        </is>
      </c>
      <c r="E4467" t="inlineStr">
        <is>
          <t>VÄXJÖ</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9391-2024</t>
        </is>
      </c>
      <c r="B4468" s="1" t="n">
        <v>45359.41071759259</v>
      </c>
      <c r="C4468" s="1" t="n">
        <v>46103</v>
      </c>
      <c r="D4468" t="inlineStr">
        <is>
          <t>KRONOBERGS LÄN</t>
        </is>
      </c>
      <c r="E4468" t="inlineStr">
        <is>
          <t>ALVESTA</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7793-2025</t>
        </is>
      </c>
      <c r="B4469" s="1" t="n">
        <v>45706.59630787037</v>
      </c>
      <c r="C4469" s="1" t="n">
        <v>46103</v>
      </c>
      <c r="D4469" t="inlineStr">
        <is>
          <t>KRONOBERGS LÄN</t>
        </is>
      </c>
      <c r="E4469" t="inlineStr">
        <is>
          <t>ÄLMHULT</t>
        </is>
      </c>
      <c r="G4469" t="n">
        <v>3.6</v>
      </c>
      <c r="H4469" t="n">
        <v>0</v>
      </c>
      <c r="I4469" t="n">
        <v>0</v>
      </c>
      <c r="J4469" t="n">
        <v>0</v>
      </c>
      <c r="K4469" t="n">
        <v>0</v>
      </c>
      <c r="L4469" t="n">
        <v>0</v>
      </c>
      <c r="M4469" t="n">
        <v>0</v>
      </c>
      <c r="N4469" t="n">
        <v>0</v>
      </c>
      <c r="O4469" t="n">
        <v>0</v>
      </c>
      <c r="P4469" t="n">
        <v>0</v>
      </c>
      <c r="Q4469" t="n">
        <v>0</v>
      </c>
      <c r="R4469" s="2" t="inlineStr"/>
    </row>
    <row r="4470" ht="15" customHeight="1">
      <c r="A4470" t="inlineStr">
        <is>
          <t>A 33694-2025</t>
        </is>
      </c>
      <c r="B4470" s="1" t="n">
        <v>45841.70002314815</v>
      </c>
      <c r="C4470" s="1" t="n">
        <v>46103</v>
      </c>
      <c r="D4470" t="inlineStr">
        <is>
          <t>KRONOBERGS LÄN</t>
        </is>
      </c>
      <c r="E4470" t="inlineStr">
        <is>
          <t>ALVESTA</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41149-2024</t>
        </is>
      </c>
      <c r="B4471" s="1" t="n">
        <v>45559</v>
      </c>
      <c r="C4471" s="1" t="n">
        <v>46103</v>
      </c>
      <c r="D4471" t="inlineStr">
        <is>
          <t>KRONOBERGS LÄN</t>
        </is>
      </c>
      <c r="E4471" t="inlineStr">
        <is>
          <t>VÄXJÖ</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45623-2024</t>
        </is>
      </c>
      <c r="B4472" s="1" t="n">
        <v>45579</v>
      </c>
      <c r="C4472" s="1" t="n">
        <v>46103</v>
      </c>
      <c r="D4472" t="inlineStr">
        <is>
          <t>KRONOBERGS LÄN</t>
        </is>
      </c>
      <c r="E4472" t="inlineStr">
        <is>
          <t>VÄXJÖ</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12343-2024</t>
        </is>
      </c>
      <c r="B4473" s="1" t="n">
        <v>45378.75538194444</v>
      </c>
      <c r="C4473" s="1" t="n">
        <v>46103</v>
      </c>
      <c r="D4473" t="inlineStr">
        <is>
          <t>KRONOBERGS LÄN</t>
        </is>
      </c>
      <c r="E4473" t="inlineStr">
        <is>
          <t>MARKARYD</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33697-2025</t>
        </is>
      </c>
      <c r="B4474" s="1" t="n">
        <v>45841.7075462963</v>
      </c>
      <c r="C4474" s="1" t="n">
        <v>46103</v>
      </c>
      <c r="D4474" t="inlineStr">
        <is>
          <t>KRONOBERGS LÄN</t>
        </is>
      </c>
      <c r="E4474" t="inlineStr">
        <is>
          <t>ALVESTA</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33701-2025</t>
        </is>
      </c>
      <c r="B4475" s="1" t="n">
        <v>45841.73791666667</v>
      </c>
      <c r="C4475" s="1" t="n">
        <v>46103</v>
      </c>
      <c r="D4475" t="inlineStr">
        <is>
          <t>KRONOBERGS LÄN</t>
        </is>
      </c>
      <c r="E4475" t="inlineStr">
        <is>
          <t>UPPVIDINGE</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18961-2025</t>
        </is>
      </c>
      <c r="B4476" s="1" t="n">
        <v>45764.52859953704</v>
      </c>
      <c r="C4476" s="1" t="n">
        <v>46103</v>
      </c>
      <c r="D4476" t="inlineStr">
        <is>
          <t>KRONOBERGS LÄN</t>
        </is>
      </c>
      <c r="E4476" t="inlineStr">
        <is>
          <t>LJUNGBY</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33066-2025</t>
        </is>
      </c>
      <c r="B4477" s="1" t="n">
        <v>45840.44729166666</v>
      </c>
      <c r="C4477" s="1" t="n">
        <v>46103</v>
      </c>
      <c r="D4477" t="inlineStr">
        <is>
          <t>KRONOBERGS LÄN</t>
        </is>
      </c>
      <c r="E4477" t="inlineStr">
        <is>
          <t>VÄXJÖ</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19005-2025</t>
        </is>
      </c>
      <c r="B4478" s="1" t="n">
        <v>45764.5834837963</v>
      </c>
      <c r="C4478" s="1" t="n">
        <v>46103</v>
      </c>
      <c r="D4478" t="inlineStr">
        <is>
          <t>KRONOBERGS LÄN</t>
        </is>
      </c>
      <c r="E4478" t="inlineStr">
        <is>
          <t>VÄXJÖ</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14595-2024</t>
        </is>
      </c>
      <c r="B4479" s="1" t="n">
        <v>45395.69365740741</v>
      </c>
      <c r="C4479" s="1" t="n">
        <v>46103</v>
      </c>
      <c r="D4479" t="inlineStr">
        <is>
          <t>KRONOBERGS LÄN</t>
        </is>
      </c>
      <c r="E4479" t="inlineStr">
        <is>
          <t>TINGSRYD</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330-2024</t>
        </is>
      </c>
      <c r="B4480" s="1" t="n">
        <v>45295</v>
      </c>
      <c r="C4480" s="1" t="n">
        <v>46103</v>
      </c>
      <c r="D4480" t="inlineStr">
        <is>
          <t>KRONOBERGS LÄN</t>
        </is>
      </c>
      <c r="E4480" t="inlineStr">
        <is>
          <t>UPPVIDINGE</t>
        </is>
      </c>
      <c r="F4480" t="inlineStr">
        <is>
          <t>Sveaskog</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53201-2024</t>
        </is>
      </c>
      <c r="B4481" s="1" t="n">
        <v>45612.42126157408</v>
      </c>
      <c r="C4481" s="1" t="n">
        <v>46103</v>
      </c>
      <c r="D4481" t="inlineStr">
        <is>
          <t>KRONOBERGS LÄN</t>
        </is>
      </c>
      <c r="E4481" t="inlineStr">
        <is>
          <t>ÄLMHULT</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53661-2024</t>
        </is>
      </c>
      <c r="B4482" s="1" t="n">
        <v>45615.32158564815</v>
      </c>
      <c r="C4482" s="1" t="n">
        <v>46103</v>
      </c>
      <c r="D4482" t="inlineStr">
        <is>
          <t>KRONOBERGS LÄN</t>
        </is>
      </c>
      <c r="E4482" t="inlineStr">
        <is>
          <t>ÄLMHULT</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33311-2025</t>
        </is>
      </c>
      <c r="B4483" s="1" t="n">
        <v>45841.33027777778</v>
      </c>
      <c r="C4483" s="1" t="n">
        <v>46103</v>
      </c>
      <c r="D4483" t="inlineStr">
        <is>
          <t>KRONOBERGS LÄN</t>
        </is>
      </c>
      <c r="E4483" t="inlineStr">
        <is>
          <t>ÄLMHULT</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33110-2025</t>
        </is>
      </c>
      <c r="B4484" s="1" t="n">
        <v>45840.48662037037</v>
      </c>
      <c r="C4484" s="1" t="n">
        <v>46103</v>
      </c>
      <c r="D4484" t="inlineStr">
        <is>
          <t>KRONOBERGS LÄN</t>
        </is>
      </c>
      <c r="E4484" t="inlineStr">
        <is>
          <t>ALVESTA</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33116-2025</t>
        </is>
      </c>
      <c r="B4485" s="1" t="n">
        <v>45840.49215277778</v>
      </c>
      <c r="C4485" s="1" t="n">
        <v>46103</v>
      </c>
      <c r="D4485" t="inlineStr">
        <is>
          <t>KRONOBERGS LÄN</t>
        </is>
      </c>
      <c r="E4485" t="inlineStr">
        <is>
          <t>UPPVIDINGE</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33152-2025</t>
        </is>
      </c>
      <c r="B4486" s="1" t="n">
        <v>45840.55074074074</v>
      </c>
      <c r="C4486" s="1" t="n">
        <v>46103</v>
      </c>
      <c r="D4486" t="inlineStr">
        <is>
          <t>KRONOBERGS LÄN</t>
        </is>
      </c>
      <c r="E4486" t="inlineStr">
        <is>
          <t>LJUNGBY</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44746-2023</t>
        </is>
      </c>
      <c r="B4487" s="1" t="n">
        <v>45190.39688657408</v>
      </c>
      <c r="C4487" s="1" t="n">
        <v>46103</v>
      </c>
      <c r="D4487" t="inlineStr">
        <is>
          <t>KRONOBERGS LÄN</t>
        </is>
      </c>
      <c r="E4487" t="inlineStr">
        <is>
          <t>UPPVIDINGE</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58473-2023</t>
        </is>
      </c>
      <c r="B4488" s="1" t="n">
        <v>45250.99255787037</v>
      </c>
      <c r="C4488" s="1" t="n">
        <v>46103</v>
      </c>
      <c r="D4488" t="inlineStr">
        <is>
          <t>KRONOBERGS LÄN</t>
        </is>
      </c>
      <c r="E4488" t="inlineStr">
        <is>
          <t>ÄLMHULT</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58474-2023</t>
        </is>
      </c>
      <c r="B4489" s="1" t="n">
        <v>45250.99520833333</v>
      </c>
      <c r="C4489" s="1" t="n">
        <v>46103</v>
      </c>
      <c r="D4489" t="inlineStr">
        <is>
          <t>KRONOBERGS LÄN</t>
        </is>
      </c>
      <c r="E4489" t="inlineStr">
        <is>
          <t>ÄLMHULT</t>
        </is>
      </c>
      <c r="G4489" t="n">
        <v>0.1</v>
      </c>
      <c r="H4489" t="n">
        <v>0</v>
      </c>
      <c r="I4489" t="n">
        <v>0</v>
      </c>
      <c r="J4489" t="n">
        <v>0</v>
      </c>
      <c r="K4489" t="n">
        <v>0</v>
      </c>
      <c r="L4489" t="n">
        <v>0</v>
      </c>
      <c r="M4489" t="n">
        <v>0</v>
      </c>
      <c r="N4489" t="n">
        <v>0</v>
      </c>
      <c r="O4489" t="n">
        <v>0</v>
      </c>
      <c r="P4489" t="n">
        <v>0</v>
      </c>
      <c r="Q4489" t="n">
        <v>0</v>
      </c>
      <c r="R4489" s="2" t="inlineStr"/>
    </row>
    <row r="4490" ht="15" customHeight="1">
      <c r="A4490" t="inlineStr">
        <is>
          <t>A 58496-2023</t>
        </is>
      </c>
      <c r="B4490" s="1" t="n">
        <v>45251.35104166667</v>
      </c>
      <c r="C4490" s="1" t="n">
        <v>46103</v>
      </c>
      <c r="D4490" t="inlineStr">
        <is>
          <t>KRONOBERGS LÄN</t>
        </is>
      </c>
      <c r="E4490" t="inlineStr">
        <is>
          <t>ÄLMHULT</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38428-2024</t>
        </is>
      </c>
      <c r="B4491" s="1" t="n">
        <v>45546.38291666667</v>
      </c>
      <c r="C4491" s="1" t="n">
        <v>46103</v>
      </c>
      <c r="D4491" t="inlineStr">
        <is>
          <t>KRONOBERGS LÄN</t>
        </is>
      </c>
      <c r="E4491" t="inlineStr">
        <is>
          <t>ÄLMHULT</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33547-2025</t>
        </is>
      </c>
      <c r="B4492" s="1" t="n">
        <v>45841.57072916667</v>
      </c>
      <c r="C4492" s="1" t="n">
        <v>46103</v>
      </c>
      <c r="D4492" t="inlineStr">
        <is>
          <t>KRONOBERGS LÄN</t>
        </is>
      </c>
      <c r="E4492" t="inlineStr">
        <is>
          <t>LJUNGBY</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19070-2024</t>
        </is>
      </c>
      <c r="B4493" s="1" t="n">
        <v>45427.93607638889</v>
      </c>
      <c r="C4493" s="1" t="n">
        <v>46103</v>
      </c>
      <c r="D4493" t="inlineStr">
        <is>
          <t>KRONOBERGS LÄN</t>
        </is>
      </c>
      <c r="E4493" t="inlineStr">
        <is>
          <t>UPPVIDINGE</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19074-2024</t>
        </is>
      </c>
      <c r="B4494" s="1" t="n">
        <v>45427</v>
      </c>
      <c r="C4494" s="1" t="n">
        <v>46103</v>
      </c>
      <c r="D4494" t="inlineStr">
        <is>
          <t>KRONOBERGS LÄN</t>
        </is>
      </c>
      <c r="E4494" t="inlineStr">
        <is>
          <t>VÄXJÖ</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19225-2024</t>
        </is>
      </c>
      <c r="B4495" s="1" t="n">
        <v>45428.55946759259</v>
      </c>
      <c r="C4495" s="1" t="n">
        <v>46103</v>
      </c>
      <c r="D4495" t="inlineStr">
        <is>
          <t>KRONOBERGS LÄN</t>
        </is>
      </c>
      <c r="E4495" t="inlineStr">
        <is>
          <t>UPPVIDINGE</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42490-2023</t>
        </is>
      </c>
      <c r="B4496" s="1" t="n">
        <v>45180.87385416667</v>
      </c>
      <c r="C4496" s="1" t="n">
        <v>46103</v>
      </c>
      <c r="D4496" t="inlineStr">
        <is>
          <t>KRONOBERGS LÄN</t>
        </is>
      </c>
      <c r="E4496" t="inlineStr">
        <is>
          <t>ÄLMHULT</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42536-2023</t>
        </is>
      </c>
      <c r="B4497" s="1" t="n">
        <v>45181.35542824074</v>
      </c>
      <c r="C4497" s="1" t="n">
        <v>46103</v>
      </c>
      <c r="D4497" t="inlineStr">
        <is>
          <t>KRONOBERGS LÄN</t>
        </is>
      </c>
      <c r="E4497" t="inlineStr">
        <is>
          <t>MARKARYD</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33819-2025</t>
        </is>
      </c>
      <c r="B4498" s="1" t="n">
        <v>45842.46383101852</v>
      </c>
      <c r="C4498" s="1" t="n">
        <v>46103</v>
      </c>
      <c r="D4498" t="inlineStr">
        <is>
          <t>KRONOBERGS LÄN</t>
        </is>
      </c>
      <c r="E4498" t="inlineStr">
        <is>
          <t>MARKARYD</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42615-2023</t>
        </is>
      </c>
      <c r="B4499" s="1" t="n">
        <v>45181</v>
      </c>
      <c r="C4499" s="1" t="n">
        <v>46103</v>
      </c>
      <c r="D4499" t="inlineStr">
        <is>
          <t>KRONOBERGS LÄN</t>
        </is>
      </c>
      <c r="E4499" t="inlineStr">
        <is>
          <t>LJUNGBY</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33858-2025</t>
        </is>
      </c>
      <c r="B4500" s="1" t="n">
        <v>45842</v>
      </c>
      <c r="C4500" s="1" t="n">
        <v>46103</v>
      </c>
      <c r="D4500" t="inlineStr">
        <is>
          <t>KRONOBERGS LÄN</t>
        </is>
      </c>
      <c r="E4500" t="inlineStr">
        <is>
          <t>ÄLMHULT</t>
        </is>
      </c>
      <c r="G4500" t="n">
        <v>14.1</v>
      </c>
      <c r="H4500" t="n">
        <v>0</v>
      </c>
      <c r="I4500" t="n">
        <v>0</v>
      </c>
      <c r="J4500" t="n">
        <v>0</v>
      </c>
      <c r="K4500" t="n">
        <v>0</v>
      </c>
      <c r="L4500" t="n">
        <v>0</v>
      </c>
      <c r="M4500" t="n">
        <v>0</v>
      </c>
      <c r="N4500" t="n">
        <v>0</v>
      </c>
      <c r="O4500" t="n">
        <v>0</v>
      </c>
      <c r="P4500" t="n">
        <v>0</v>
      </c>
      <c r="Q4500" t="n">
        <v>0</v>
      </c>
      <c r="R4500" s="2" t="inlineStr"/>
    </row>
    <row r="4501" ht="15" customHeight="1">
      <c r="A4501" t="inlineStr">
        <is>
          <t>A 40882-2023</t>
        </is>
      </c>
      <c r="B4501" s="1" t="n">
        <v>45173.37136574074</v>
      </c>
      <c r="C4501" s="1" t="n">
        <v>46103</v>
      </c>
      <c r="D4501" t="inlineStr">
        <is>
          <t>KRONOBERGS LÄN</t>
        </is>
      </c>
      <c r="E4501" t="inlineStr">
        <is>
          <t>TINGSRYD</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40912-2023</t>
        </is>
      </c>
      <c r="B4502" s="1" t="n">
        <v>45173.41140046297</v>
      </c>
      <c r="C4502" s="1" t="n">
        <v>46103</v>
      </c>
      <c r="D4502" t="inlineStr">
        <is>
          <t>KRONOBERGS LÄN</t>
        </is>
      </c>
      <c r="E4502" t="inlineStr">
        <is>
          <t>LESSEBO</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27540-2023</t>
        </is>
      </c>
      <c r="B4503" s="1" t="n">
        <v>45097</v>
      </c>
      <c r="C4503" s="1" t="n">
        <v>46103</v>
      </c>
      <c r="D4503" t="inlineStr">
        <is>
          <t>KRONOBERGS LÄN</t>
        </is>
      </c>
      <c r="E4503" t="inlineStr">
        <is>
          <t>LJUNGBY</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58195-2023</t>
        </is>
      </c>
      <c r="B4504" s="1" t="n">
        <v>45250.4330787037</v>
      </c>
      <c r="C4504" s="1" t="n">
        <v>46103</v>
      </c>
      <c r="D4504" t="inlineStr">
        <is>
          <t>KRONOBERGS LÄN</t>
        </is>
      </c>
      <c r="E4504" t="inlineStr">
        <is>
          <t>VÄXJÖ</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25937-2023</t>
        </is>
      </c>
      <c r="B4505" s="1" t="n">
        <v>45090.69125</v>
      </c>
      <c r="C4505" s="1" t="n">
        <v>46103</v>
      </c>
      <c r="D4505" t="inlineStr">
        <is>
          <t>KRONOBERGS LÄN</t>
        </is>
      </c>
      <c r="E4505" t="inlineStr">
        <is>
          <t>TINGSRYD</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8834-2024</t>
        </is>
      </c>
      <c r="B4506" s="1" t="n">
        <v>45356.68475694444</v>
      </c>
      <c r="C4506" s="1" t="n">
        <v>46103</v>
      </c>
      <c r="D4506" t="inlineStr">
        <is>
          <t>KRONOBERGS LÄN</t>
        </is>
      </c>
      <c r="E4506" t="inlineStr">
        <is>
          <t>LJUNGBY</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24415-2023</t>
        </is>
      </c>
      <c r="B4507" s="1" t="n">
        <v>45082.45512731482</v>
      </c>
      <c r="C4507" s="1" t="n">
        <v>46103</v>
      </c>
      <c r="D4507" t="inlineStr">
        <is>
          <t>KRONOBERGS LÄN</t>
        </is>
      </c>
      <c r="E4507" t="inlineStr">
        <is>
          <t>TINGSRYD</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34103-2025</t>
        </is>
      </c>
      <c r="B4508" s="1" t="n">
        <v>45845</v>
      </c>
      <c r="C4508" s="1" t="n">
        <v>46103</v>
      </c>
      <c r="D4508" t="inlineStr">
        <is>
          <t>KRONOBERGS LÄN</t>
        </is>
      </c>
      <c r="E4508" t="inlineStr">
        <is>
          <t>ALVESTA</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34169-2025</t>
        </is>
      </c>
      <c r="B4509" s="1" t="n">
        <v>45845</v>
      </c>
      <c r="C4509" s="1" t="n">
        <v>46103</v>
      </c>
      <c r="D4509" t="inlineStr">
        <is>
          <t>KRONOBERGS LÄN</t>
        </is>
      </c>
      <c r="E4509" t="inlineStr">
        <is>
          <t>LJUNGBY</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12916-2025</t>
        </is>
      </c>
      <c r="B4510" s="1" t="n">
        <v>45733.84600694444</v>
      </c>
      <c r="C4510" s="1" t="n">
        <v>46103</v>
      </c>
      <c r="D4510" t="inlineStr">
        <is>
          <t>KRONOBERGS LÄN</t>
        </is>
      </c>
      <c r="E4510" t="inlineStr">
        <is>
          <t>VÄXJÖ</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20925-2021</t>
        </is>
      </c>
      <c r="B4511" s="1" t="n">
        <v>44316</v>
      </c>
      <c r="C4511" s="1" t="n">
        <v>46103</v>
      </c>
      <c r="D4511" t="inlineStr">
        <is>
          <t>KRONOBERGS LÄN</t>
        </is>
      </c>
      <c r="E4511" t="inlineStr">
        <is>
          <t>TINGSRYD</t>
        </is>
      </c>
      <c r="G4511" t="n">
        <v>4.9</v>
      </c>
      <c r="H4511" t="n">
        <v>0</v>
      </c>
      <c r="I4511" t="n">
        <v>0</v>
      </c>
      <c r="J4511" t="n">
        <v>0</v>
      </c>
      <c r="K4511" t="n">
        <v>0</v>
      </c>
      <c r="L4511" t="n">
        <v>0</v>
      </c>
      <c r="M4511" t="n">
        <v>0</v>
      </c>
      <c r="N4511" t="n">
        <v>0</v>
      </c>
      <c r="O4511" t="n">
        <v>0</v>
      </c>
      <c r="P4511" t="n">
        <v>0</v>
      </c>
      <c r="Q4511" t="n">
        <v>0</v>
      </c>
      <c r="R4511" s="2" t="inlineStr"/>
    </row>
    <row r="4512" ht="15" customHeight="1">
      <c r="A4512" t="inlineStr">
        <is>
          <t>A 33771-2025</t>
        </is>
      </c>
      <c r="B4512" s="1" t="n">
        <v>45842.39072916667</v>
      </c>
      <c r="C4512" s="1" t="n">
        <v>46103</v>
      </c>
      <c r="D4512" t="inlineStr">
        <is>
          <t>KRONOBERGS LÄN</t>
        </is>
      </c>
      <c r="E4512" t="inlineStr">
        <is>
          <t>ÄLMHULT</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47149-2023</t>
        </is>
      </c>
      <c r="B4513" s="1" t="n">
        <v>45201.86790509259</v>
      </c>
      <c r="C4513" s="1" t="n">
        <v>46103</v>
      </c>
      <c r="D4513" t="inlineStr">
        <is>
          <t>KRONOBERGS LÄN</t>
        </is>
      </c>
      <c r="E4513" t="inlineStr">
        <is>
          <t>TINGSRYD</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35388-2023</t>
        </is>
      </c>
      <c r="B4514" s="1" t="n">
        <v>45146</v>
      </c>
      <c r="C4514" s="1" t="n">
        <v>46103</v>
      </c>
      <c r="D4514" t="inlineStr">
        <is>
          <t>KRONOBERGS LÄN</t>
        </is>
      </c>
      <c r="E4514" t="inlineStr">
        <is>
          <t>UPPVIDINGE</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67620-2021</t>
        </is>
      </c>
      <c r="B4515" s="1" t="n">
        <v>44524.66444444445</v>
      </c>
      <c r="C4515" s="1" t="n">
        <v>46103</v>
      </c>
      <c r="D4515" t="inlineStr">
        <is>
          <t>KRONOBERGS LÄN</t>
        </is>
      </c>
      <c r="E4515" t="inlineStr">
        <is>
          <t>UPPVIDINGE</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33923-2025</t>
        </is>
      </c>
      <c r="B4516" s="1" t="n">
        <v>45842.62019675926</v>
      </c>
      <c r="C4516" s="1" t="n">
        <v>46103</v>
      </c>
      <c r="D4516" t="inlineStr">
        <is>
          <t>KRONOBERGS LÄN</t>
        </is>
      </c>
      <c r="E4516" t="inlineStr">
        <is>
          <t>LJUNGBY</t>
        </is>
      </c>
      <c r="G4516" t="n">
        <v>5.1</v>
      </c>
      <c r="H4516" t="n">
        <v>0</v>
      </c>
      <c r="I4516" t="n">
        <v>0</v>
      </c>
      <c r="J4516" t="n">
        <v>0</v>
      </c>
      <c r="K4516" t="n">
        <v>0</v>
      </c>
      <c r="L4516" t="n">
        <v>0</v>
      </c>
      <c r="M4516" t="n">
        <v>0</v>
      </c>
      <c r="N4516" t="n">
        <v>0</v>
      </c>
      <c r="O4516" t="n">
        <v>0</v>
      </c>
      <c r="P4516" t="n">
        <v>0</v>
      </c>
      <c r="Q4516" t="n">
        <v>0</v>
      </c>
      <c r="R4516" s="2" t="inlineStr"/>
    </row>
    <row r="4517" ht="15" customHeight="1">
      <c r="A4517" t="inlineStr">
        <is>
          <t>A 33926-2025</t>
        </is>
      </c>
      <c r="B4517" s="1" t="n">
        <v>45842.62362268518</v>
      </c>
      <c r="C4517" s="1" t="n">
        <v>46103</v>
      </c>
      <c r="D4517" t="inlineStr">
        <is>
          <t>KRONOBERGS LÄN</t>
        </is>
      </c>
      <c r="E4517" t="inlineStr">
        <is>
          <t>LJUNGBY</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41725-2023</t>
        </is>
      </c>
      <c r="B4518" s="1" t="n">
        <v>45176.40626157408</v>
      </c>
      <c r="C4518" s="1" t="n">
        <v>46103</v>
      </c>
      <c r="D4518" t="inlineStr">
        <is>
          <t>KRONOBERGS LÄN</t>
        </is>
      </c>
      <c r="E4518" t="inlineStr">
        <is>
          <t>VÄXJÖ</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33722-2025</t>
        </is>
      </c>
      <c r="B4519" s="1" t="n">
        <v>45841.91457175926</v>
      </c>
      <c r="C4519" s="1" t="n">
        <v>46103</v>
      </c>
      <c r="D4519" t="inlineStr">
        <is>
          <t>KRONOBERGS LÄN</t>
        </is>
      </c>
      <c r="E4519" t="inlineStr">
        <is>
          <t>TINGSRYD</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41746-2021</t>
        </is>
      </c>
      <c r="B4520" s="1" t="n">
        <v>44425</v>
      </c>
      <c r="C4520" s="1" t="n">
        <v>46103</v>
      </c>
      <c r="D4520" t="inlineStr">
        <is>
          <t>KRONOBERGS LÄN</t>
        </is>
      </c>
      <c r="E4520" t="inlineStr">
        <is>
          <t>TINGSRYD</t>
        </is>
      </c>
      <c r="G4520" t="n">
        <v>3.6</v>
      </c>
      <c r="H4520" t="n">
        <v>0</v>
      </c>
      <c r="I4520" t="n">
        <v>0</v>
      </c>
      <c r="J4520" t="n">
        <v>0</v>
      </c>
      <c r="K4520" t="n">
        <v>0</v>
      </c>
      <c r="L4520" t="n">
        <v>0</v>
      </c>
      <c r="M4520" t="n">
        <v>0</v>
      </c>
      <c r="N4520" t="n">
        <v>0</v>
      </c>
      <c r="O4520" t="n">
        <v>0</v>
      </c>
      <c r="P4520" t="n">
        <v>0</v>
      </c>
      <c r="Q4520" t="n">
        <v>0</v>
      </c>
      <c r="R4520" s="2" t="inlineStr"/>
    </row>
    <row r="4521" ht="15" customHeight="1">
      <c r="A4521" t="inlineStr">
        <is>
          <t>A 33732-2025</t>
        </is>
      </c>
      <c r="B4521" s="1" t="n">
        <v>45842.31827546296</v>
      </c>
      <c r="C4521" s="1" t="n">
        <v>46103</v>
      </c>
      <c r="D4521" t="inlineStr">
        <is>
          <t>KRONOBERGS LÄN</t>
        </is>
      </c>
      <c r="E4521" t="inlineStr">
        <is>
          <t>ÄLMHULT</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54106-2024</t>
        </is>
      </c>
      <c r="B4522" s="1" t="n">
        <v>45616.53303240741</v>
      </c>
      <c r="C4522" s="1" t="n">
        <v>46103</v>
      </c>
      <c r="D4522" t="inlineStr">
        <is>
          <t>KRONOBERGS LÄN</t>
        </is>
      </c>
      <c r="E4522" t="inlineStr">
        <is>
          <t>ÄLMHULT</t>
        </is>
      </c>
      <c r="G4522" t="n">
        <v>5.1</v>
      </c>
      <c r="H4522" t="n">
        <v>0</v>
      </c>
      <c r="I4522" t="n">
        <v>0</v>
      </c>
      <c r="J4522" t="n">
        <v>0</v>
      </c>
      <c r="K4522" t="n">
        <v>0</v>
      </c>
      <c r="L4522" t="n">
        <v>0</v>
      </c>
      <c r="M4522" t="n">
        <v>0</v>
      </c>
      <c r="N4522" t="n">
        <v>0</v>
      </c>
      <c r="O4522" t="n">
        <v>0</v>
      </c>
      <c r="P4522" t="n">
        <v>0</v>
      </c>
      <c r="Q4522" t="n">
        <v>0</v>
      </c>
      <c r="R4522" s="2" t="inlineStr"/>
    </row>
    <row r="4523" ht="15" customHeight="1">
      <c r="A4523" t="inlineStr">
        <is>
          <t>A 33754-2025</t>
        </is>
      </c>
      <c r="B4523" s="1" t="n">
        <v>45842.37513888889</v>
      </c>
      <c r="C4523" s="1" t="n">
        <v>46103</v>
      </c>
      <c r="D4523" t="inlineStr">
        <is>
          <t>KRONOBERGS LÄN</t>
        </is>
      </c>
      <c r="E4523" t="inlineStr">
        <is>
          <t>ÄLMHULT</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39747-2024</t>
        </is>
      </c>
      <c r="B4524" s="1" t="n">
        <v>45552.66143518518</v>
      </c>
      <c r="C4524" s="1" t="n">
        <v>46103</v>
      </c>
      <c r="D4524" t="inlineStr">
        <is>
          <t>KRONOBERGS LÄN</t>
        </is>
      </c>
      <c r="E4524" t="inlineStr">
        <is>
          <t>TINGSRYD</t>
        </is>
      </c>
      <c r="G4524" t="n">
        <v>4.4</v>
      </c>
      <c r="H4524" t="n">
        <v>0</v>
      </c>
      <c r="I4524" t="n">
        <v>0</v>
      </c>
      <c r="J4524" t="n">
        <v>0</v>
      </c>
      <c r="K4524" t="n">
        <v>0</v>
      </c>
      <c r="L4524" t="n">
        <v>0</v>
      </c>
      <c r="M4524" t="n">
        <v>0</v>
      </c>
      <c r="N4524" t="n">
        <v>0</v>
      </c>
      <c r="O4524" t="n">
        <v>0</v>
      </c>
      <c r="P4524" t="n">
        <v>0</v>
      </c>
      <c r="Q4524" t="n">
        <v>0</v>
      </c>
      <c r="R4524" s="2" t="inlineStr"/>
    </row>
    <row r="4525" ht="15" customHeight="1">
      <c r="A4525" t="inlineStr">
        <is>
          <t>A 2805-2025</t>
        </is>
      </c>
      <c r="B4525" s="1" t="n">
        <v>45677.59115740741</v>
      </c>
      <c r="C4525" s="1" t="n">
        <v>46103</v>
      </c>
      <c r="D4525" t="inlineStr">
        <is>
          <t>KRONOBERGS LÄN</t>
        </is>
      </c>
      <c r="E4525" t="inlineStr">
        <is>
          <t>TINGSRYD</t>
        </is>
      </c>
      <c r="F4525" t="inlineStr">
        <is>
          <t>Sveaskog</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37067-2024</t>
        </is>
      </c>
      <c r="B4526" s="1" t="n">
        <v>45539.4634375</v>
      </c>
      <c r="C4526" s="1" t="n">
        <v>46103</v>
      </c>
      <c r="D4526" t="inlineStr">
        <is>
          <t>KRONOBERGS LÄN</t>
        </is>
      </c>
      <c r="E4526" t="inlineStr">
        <is>
          <t>ÄLMHULT</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939-2025</t>
        </is>
      </c>
      <c r="B4527" s="1" t="n">
        <v>45666</v>
      </c>
      <c r="C4527" s="1" t="n">
        <v>46103</v>
      </c>
      <c r="D4527" t="inlineStr">
        <is>
          <t>KRONOBERGS LÄN</t>
        </is>
      </c>
      <c r="E4527" t="inlineStr">
        <is>
          <t>UPPVIDINGE</t>
        </is>
      </c>
      <c r="G4527" t="n">
        <v>4</v>
      </c>
      <c r="H4527" t="n">
        <v>0</v>
      </c>
      <c r="I4527" t="n">
        <v>0</v>
      </c>
      <c r="J4527" t="n">
        <v>0</v>
      </c>
      <c r="K4527" t="n">
        <v>0</v>
      </c>
      <c r="L4527" t="n">
        <v>0</v>
      </c>
      <c r="M4527" t="n">
        <v>0</v>
      </c>
      <c r="N4527" t="n">
        <v>0</v>
      </c>
      <c r="O4527" t="n">
        <v>0</v>
      </c>
      <c r="P4527" t="n">
        <v>0</v>
      </c>
      <c r="Q4527" t="n">
        <v>0</v>
      </c>
      <c r="R4527" s="2" t="inlineStr"/>
    </row>
    <row r="4528" ht="15" customHeight="1">
      <c r="A4528" t="inlineStr">
        <is>
          <t>A 35103-2024</t>
        </is>
      </c>
      <c r="B4528" s="1" t="n">
        <v>45529.48743055556</v>
      </c>
      <c r="C4528" s="1" t="n">
        <v>46103</v>
      </c>
      <c r="D4528" t="inlineStr">
        <is>
          <t>KRONOBERGS LÄN</t>
        </is>
      </c>
      <c r="E4528" t="inlineStr">
        <is>
          <t>ÄLMHULT</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33839-2025</t>
        </is>
      </c>
      <c r="B4529" s="1" t="n">
        <v>45842.47915509259</v>
      </c>
      <c r="C4529" s="1" t="n">
        <v>46103</v>
      </c>
      <c r="D4529" t="inlineStr">
        <is>
          <t>KRONOBERGS LÄN</t>
        </is>
      </c>
      <c r="E4529" t="inlineStr">
        <is>
          <t>UPPVIDINGE</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52275-2024</t>
        </is>
      </c>
      <c r="B4530" s="1" t="n">
        <v>45608.66239583334</v>
      </c>
      <c r="C4530" s="1" t="n">
        <v>46103</v>
      </c>
      <c r="D4530" t="inlineStr">
        <is>
          <t>KRONOBERGS LÄN</t>
        </is>
      </c>
      <c r="E4530" t="inlineStr">
        <is>
          <t>ÄLMHULT</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61420-2023</t>
        </is>
      </c>
      <c r="B4531" s="1" t="n">
        <v>45264.68074074074</v>
      </c>
      <c r="C4531" s="1" t="n">
        <v>46103</v>
      </c>
      <c r="D4531" t="inlineStr">
        <is>
          <t>KRONOBERGS LÄN</t>
        </is>
      </c>
      <c r="E4531" t="inlineStr">
        <is>
          <t>LJUNGBY</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19236-2024</t>
        </is>
      </c>
      <c r="B4532" s="1" t="n">
        <v>45428.5703587963</v>
      </c>
      <c r="C4532" s="1" t="n">
        <v>46103</v>
      </c>
      <c r="D4532" t="inlineStr">
        <is>
          <t>KRONOBERGS LÄN</t>
        </is>
      </c>
      <c r="E4532" t="inlineStr">
        <is>
          <t>UPPVIDINGE</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19242-2024</t>
        </is>
      </c>
      <c r="B4533" s="1" t="n">
        <v>45428.57371527778</v>
      </c>
      <c r="C4533" s="1" t="n">
        <v>46103</v>
      </c>
      <c r="D4533" t="inlineStr">
        <is>
          <t>KRONOBERGS LÄN</t>
        </is>
      </c>
      <c r="E4533" t="inlineStr">
        <is>
          <t>UPPVIDINGE</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52040-2024</t>
        </is>
      </c>
      <c r="B4534" s="1" t="n">
        <v>45608.31934027778</v>
      </c>
      <c r="C4534" s="1" t="n">
        <v>46103</v>
      </c>
      <c r="D4534" t="inlineStr">
        <is>
          <t>KRONOBERGS LÄN</t>
        </is>
      </c>
      <c r="E4534" t="inlineStr">
        <is>
          <t>ALVESTA</t>
        </is>
      </c>
      <c r="G4534" t="n">
        <v>5.1</v>
      </c>
      <c r="H4534" t="n">
        <v>0</v>
      </c>
      <c r="I4534" t="n">
        <v>0</v>
      </c>
      <c r="J4534" t="n">
        <v>0</v>
      </c>
      <c r="K4534" t="n">
        <v>0</v>
      </c>
      <c r="L4534" t="n">
        <v>0</v>
      </c>
      <c r="M4534" t="n">
        <v>0</v>
      </c>
      <c r="N4534" t="n">
        <v>0</v>
      </c>
      <c r="O4534" t="n">
        <v>0</v>
      </c>
      <c r="P4534" t="n">
        <v>0</v>
      </c>
      <c r="Q4534" t="n">
        <v>0</v>
      </c>
      <c r="R4534" s="2" t="inlineStr"/>
    </row>
    <row r="4535" ht="15" customHeight="1">
      <c r="A4535" t="inlineStr">
        <is>
          <t>A 57133-2022</t>
        </is>
      </c>
      <c r="B4535" s="1" t="n">
        <v>44895</v>
      </c>
      <c r="C4535" s="1" t="n">
        <v>46103</v>
      </c>
      <c r="D4535" t="inlineStr">
        <is>
          <t>KRONOBERGS LÄN</t>
        </is>
      </c>
      <c r="E4535" t="inlineStr">
        <is>
          <t>LJUNGBY</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57144-2022</t>
        </is>
      </c>
      <c r="B4536" s="1" t="n">
        <v>44895</v>
      </c>
      <c r="C4536" s="1" t="n">
        <v>46103</v>
      </c>
      <c r="D4536" t="inlineStr">
        <is>
          <t>KRONOBERGS LÄN</t>
        </is>
      </c>
      <c r="E4536" t="inlineStr">
        <is>
          <t>LJUNGBY</t>
        </is>
      </c>
      <c r="G4536" t="n">
        <v>4.4</v>
      </c>
      <c r="H4536" t="n">
        <v>0</v>
      </c>
      <c r="I4536" t="n">
        <v>0</v>
      </c>
      <c r="J4536" t="n">
        <v>0</v>
      </c>
      <c r="K4536" t="n">
        <v>0</v>
      </c>
      <c r="L4536" t="n">
        <v>0</v>
      </c>
      <c r="M4536" t="n">
        <v>0</v>
      </c>
      <c r="N4536" t="n">
        <v>0</v>
      </c>
      <c r="O4536" t="n">
        <v>0</v>
      </c>
      <c r="P4536" t="n">
        <v>0</v>
      </c>
      <c r="Q4536" t="n">
        <v>0</v>
      </c>
      <c r="R4536" s="2" t="inlineStr"/>
    </row>
    <row r="4537" ht="15" customHeight="1">
      <c r="A4537" t="inlineStr">
        <is>
          <t>A 57157-2022</t>
        </is>
      </c>
      <c r="B4537" s="1" t="n">
        <v>44895.58759259259</v>
      </c>
      <c r="C4537" s="1" t="n">
        <v>46103</v>
      </c>
      <c r="D4537" t="inlineStr">
        <is>
          <t>KRONOBERGS LÄN</t>
        </is>
      </c>
      <c r="E4537" t="inlineStr">
        <is>
          <t>LJUNGBY</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17514-2021</t>
        </is>
      </c>
      <c r="B4538" s="1" t="n">
        <v>44299.58810185185</v>
      </c>
      <c r="C4538" s="1" t="n">
        <v>46103</v>
      </c>
      <c r="D4538" t="inlineStr">
        <is>
          <t>KRONOBERGS LÄN</t>
        </is>
      </c>
      <c r="E4538" t="inlineStr">
        <is>
          <t>TINGSRYD</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59538-2024</t>
        </is>
      </c>
      <c r="B4539" s="1" t="n">
        <v>45637</v>
      </c>
      <c r="C4539" s="1" t="n">
        <v>46103</v>
      </c>
      <c r="D4539" t="inlineStr">
        <is>
          <t>KRONOBERGS LÄN</t>
        </is>
      </c>
      <c r="E4539" t="inlineStr">
        <is>
          <t>ALVESTA</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73647-2021</t>
        </is>
      </c>
      <c r="B4540" s="1" t="n">
        <v>44552</v>
      </c>
      <c r="C4540" s="1" t="n">
        <v>46103</v>
      </c>
      <c r="D4540" t="inlineStr">
        <is>
          <t>KRONOBERGS LÄN</t>
        </is>
      </c>
      <c r="E4540" t="inlineStr">
        <is>
          <t>VÄXJÖ</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3111-2025</t>
        </is>
      </c>
      <c r="B4541" s="1" t="n">
        <v>45678</v>
      </c>
      <c r="C4541" s="1" t="n">
        <v>46103</v>
      </c>
      <c r="D4541" t="inlineStr">
        <is>
          <t>KRONOBERGS LÄN</t>
        </is>
      </c>
      <c r="E4541" t="inlineStr">
        <is>
          <t>VÄXJÖ</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37375-2024</t>
        </is>
      </c>
      <c r="B4542" s="1" t="n">
        <v>45540</v>
      </c>
      <c r="C4542" s="1" t="n">
        <v>46103</v>
      </c>
      <c r="D4542" t="inlineStr">
        <is>
          <t>KRONOBERGS LÄN</t>
        </is>
      </c>
      <c r="E4542" t="inlineStr">
        <is>
          <t>VÄXJÖ</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39057-2024</t>
        </is>
      </c>
      <c r="B4543" s="1" t="n">
        <v>45547</v>
      </c>
      <c r="C4543" s="1" t="n">
        <v>46103</v>
      </c>
      <c r="D4543" t="inlineStr">
        <is>
          <t>KRONOBERGS LÄN</t>
        </is>
      </c>
      <c r="E4543" t="inlineStr">
        <is>
          <t>MARKARYD</t>
        </is>
      </c>
      <c r="F4543" t="inlineStr">
        <is>
          <t>Kyrkan</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51065-2021</t>
        </is>
      </c>
      <c r="B4544" s="1" t="n">
        <v>44461.34996527778</v>
      </c>
      <c r="C4544" s="1" t="n">
        <v>46103</v>
      </c>
      <c r="D4544" t="inlineStr">
        <is>
          <t>KRONOBERGS LÄN</t>
        </is>
      </c>
      <c r="E4544" t="inlineStr">
        <is>
          <t>MARKARYD</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2445-2024</t>
        </is>
      </c>
      <c r="B4545" s="1" t="n">
        <v>45311.62662037037</v>
      </c>
      <c r="C4545" s="1" t="n">
        <v>46103</v>
      </c>
      <c r="D4545" t="inlineStr">
        <is>
          <t>KRONOBERGS LÄN</t>
        </is>
      </c>
      <c r="E4545" t="inlineStr">
        <is>
          <t>ÄLMHULT</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14918-2022</t>
        </is>
      </c>
      <c r="B4546" s="1" t="n">
        <v>44657.34813657407</v>
      </c>
      <c r="C4546" s="1" t="n">
        <v>46103</v>
      </c>
      <c r="D4546" t="inlineStr">
        <is>
          <t>KRONOBERGS LÄN</t>
        </is>
      </c>
      <c r="E4546" t="inlineStr">
        <is>
          <t>TINGSRYD</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57379-2024</t>
        </is>
      </c>
      <c r="B4547" s="1" t="n">
        <v>45629.67857638889</v>
      </c>
      <c r="C4547" s="1" t="n">
        <v>46103</v>
      </c>
      <c r="D4547" t="inlineStr">
        <is>
          <t>KRONOBERGS LÄN</t>
        </is>
      </c>
      <c r="E4547" t="inlineStr">
        <is>
          <t>TINGSRYD</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57382-2024</t>
        </is>
      </c>
      <c r="B4548" s="1" t="n">
        <v>45629.68018518519</v>
      </c>
      <c r="C4548" s="1" t="n">
        <v>46103</v>
      </c>
      <c r="D4548" t="inlineStr">
        <is>
          <t>KRONOBERGS LÄN</t>
        </is>
      </c>
      <c r="E4548" t="inlineStr">
        <is>
          <t>TINGSRYD</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33811-2025</t>
        </is>
      </c>
      <c r="B4549" s="1" t="n">
        <v>45842.45201388889</v>
      </c>
      <c r="C4549" s="1" t="n">
        <v>46103</v>
      </c>
      <c r="D4549" t="inlineStr">
        <is>
          <t>KRONOBERGS LÄN</t>
        </is>
      </c>
      <c r="E4549" t="inlineStr">
        <is>
          <t>LJUNGBY</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33821-2025</t>
        </is>
      </c>
      <c r="B4550" s="1" t="n">
        <v>45842.46575231481</v>
      </c>
      <c r="C4550" s="1" t="n">
        <v>46103</v>
      </c>
      <c r="D4550" t="inlineStr">
        <is>
          <t>KRONOBERGS LÄN</t>
        </is>
      </c>
      <c r="E4550" t="inlineStr">
        <is>
          <t>MARKARYD</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33876-2025</t>
        </is>
      </c>
      <c r="B4551" s="1" t="n">
        <v>45842.55467592592</v>
      </c>
      <c r="C4551" s="1" t="n">
        <v>46103</v>
      </c>
      <c r="D4551" t="inlineStr">
        <is>
          <t>KRONOBERGS LÄN</t>
        </is>
      </c>
      <c r="E4551" t="inlineStr">
        <is>
          <t>UPPVIDINGE</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57467-2024</t>
        </is>
      </c>
      <c r="B4552" s="1" t="n">
        <v>45630.32984953704</v>
      </c>
      <c r="C4552" s="1" t="n">
        <v>46103</v>
      </c>
      <c r="D4552" t="inlineStr">
        <is>
          <t>KRONOBERGS LÄN</t>
        </is>
      </c>
      <c r="E4552" t="inlineStr">
        <is>
          <t>LJUNGBY</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21157-2023</t>
        </is>
      </c>
      <c r="B4553" s="1" t="n">
        <v>45062.41542824074</v>
      </c>
      <c r="C4553" s="1" t="n">
        <v>46103</v>
      </c>
      <c r="D4553" t="inlineStr">
        <is>
          <t>KRONOBERGS LÄN</t>
        </is>
      </c>
      <c r="E4553" t="inlineStr">
        <is>
          <t>TINGSRYD</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38639-2024</t>
        </is>
      </c>
      <c r="B4554" s="1" t="n">
        <v>45546.84908564815</v>
      </c>
      <c r="C4554" s="1" t="n">
        <v>46103</v>
      </c>
      <c r="D4554" t="inlineStr">
        <is>
          <t>KRONOBERGS LÄN</t>
        </is>
      </c>
      <c r="E4554" t="inlineStr">
        <is>
          <t>LJUNGBY</t>
        </is>
      </c>
      <c r="F4554" t="inlineStr">
        <is>
          <t>Sveaskog</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32024-2023</t>
        </is>
      </c>
      <c r="B4555" s="1" t="n">
        <v>45107</v>
      </c>
      <c r="C4555" s="1" t="n">
        <v>46103</v>
      </c>
      <c r="D4555" t="inlineStr">
        <is>
          <t>KRONOBERGS LÄN</t>
        </is>
      </c>
      <c r="E4555" t="inlineStr">
        <is>
          <t>MARKARYD</t>
        </is>
      </c>
      <c r="F4555" t="inlineStr">
        <is>
          <t>Kyrkan</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23632-2023</t>
        </is>
      </c>
      <c r="B4556" s="1" t="n">
        <v>45077.50006944445</v>
      </c>
      <c r="C4556" s="1" t="n">
        <v>46103</v>
      </c>
      <c r="D4556" t="inlineStr">
        <is>
          <t>KRONOBERGS LÄN</t>
        </is>
      </c>
      <c r="E4556" t="inlineStr">
        <is>
          <t>TINGSRYD</t>
        </is>
      </c>
      <c r="G4556" t="n">
        <v>5.8</v>
      </c>
      <c r="H4556" t="n">
        <v>0</v>
      </c>
      <c r="I4556" t="n">
        <v>0</v>
      </c>
      <c r="J4556" t="n">
        <v>0</v>
      </c>
      <c r="K4556" t="n">
        <v>0</v>
      </c>
      <c r="L4556" t="n">
        <v>0</v>
      </c>
      <c r="M4556" t="n">
        <v>0</v>
      </c>
      <c r="N4556" t="n">
        <v>0</v>
      </c>
      <c r="O4556" t="n">
        <v>0</v>
      </c>
      <c r="P4556" t="n">
        <v>0</v>
      </c>
      <c r="Q4556" t="n">
        <v>0</v>
      </c>
      <c r="R4556" s="2" t="inlineStr"/>
    </row>
    <row r="4557" ht="15" customHeight="1">
      <c r="A4557" t="inlineStr">
        <is>
          <t>A 31445-2023</t>
        </is>
      </c>
      <c r="B4557" s="1" t="n">
        <v>45114.65185185185</v>
      </c>
      <c r="C4557" s="1" t="n">
        <v>46103</v>
      </c>
      <c r="D4557" t="inlineStr">
        <is>
          <t>KRONOBERGS LÄN</t>
        </is>
      </c>
      <c r="E4557" t="inlineStr">
        <is>
          <t>UPPVIDINGE</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2015-2024</t>
        </is>
      </c>
      <c r="B4558" s="1" t="n">
        <v>45308</v>
      </c>
      <c r="C4558" s="1" t="n">
        <v>46103</v>
      </c>
      <c r="D4558" t="inlineStr">
        <is>
          <t>KRONOBERGS LÄN</t>
        </is>
      </c>
      <c r="E4558" t="inlineStr">
        <is>
          <t>ÄLMHULT</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17313-2024</t>
        </is>
      </c>
      <c r="B4559" s="1" t="n">
        <v>45414.51543981482</v>
      </c>
      <c r="C4559" s="1" t="n">
        <v>46103</v>
      </c>
      <c r="D4559" t="inlineStr">
        <is>
          <t>KRONOBERGS LÄN</t>
        </is>
      </c>
      <c r="E4559" t="inlineStr">
        <is>
          <t>ALVESTA</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12851-2024</t>
        </is>
      </c>
      <c r="B4560" s="1" t="n">
        <v>45384.89954861111</v>
      </c>
      <c r="C4560" s="1" t="n">
        <v>46103</v>
      </c>
      <c r="D4560" t="inlineStr">
        <is>
          <t>KRONOBERGS LÄN</t>
        </is>
      </c>
      <c r="E4560" t="inlineStr">
        <is>
          <t>ÄLMHULT</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12906-2024</t>
        </is>
      </c>
      <c r="B4561" s="1" t="n">
        <v>45385.38657407407</v>
      </c>
      <c r="C4561" s="1" t="n">
        <v>46103</v>
      </c>
      <c r="D4561" t="inlineStr">
        <is>
          <t>KRONOBERGS LÄN</t>
        </is>
      </c>
      <c r="E4561" t="inlineStr">
        <is>
          <t>ALVESTA</t>
        </is>
      </c>
      <c r="G4561" t="n">
        <v>3.6</v>
      </c>
      <c r="H4561" t="n">
        <v>0</v>
      </c>
      <c r="I4561" t="n">
        <v>0</v>
      </c>
      <c r="J4561" t="n">
        <v>0</v>
      </c>
      <c r="K4561" t="n">
        <v>0</v>
      </c>
      <c r="L4561" t="n">
        <v>0</v>
      </c>
      <c r="M4561" t="n">
        <v>0</v>
      </c>
      <c r="N4561" t="n">
        <v>0</v>
      </c>
      <c r="O4561" t="n">
        <v>0</v>
      </c>
      <c r="P4561" t="n">
        <v>0</v>
      </c>
      <c r="Q4561" t="n">
        <v>0</v>
      </c>
      <c r="R4561" s="2" t="inlineStr"/>
    </row>
    <row r="4562" ht="15" customHeight="1">
      <c r="A4562" t="inlineStr">
        <is>
          <t>A 28529-2024</t>
        </is>
      </c>
      <c r="B4562" s="1" t="n">
        <v>45478.32578703704</v>
      </c>
      <c r="C4562" s="1" t="n">
        <v>46103</v>
      </c>
      <c r="D4562" t="inlineStr">
        <is>
          <t>KRONOBERGS LÄN</t>
        </is>
      </c>
      <c r="E4562" t="inlineStr">
        <is>
          <t>ALVESTA</t>
        </is>
      </c>
      <c r="G4562" t="n">
        <v>7</v>
      </c>
      <c r="H4562" t="n">
        <v>0</v>
      </c>
      <c r="I4562" t="n">
        <v>0</v>
      </c>
      <c r="J4562" t="n">
        <v>0</v>
      </c>
      <c r="K4562" t="n">
        <v>0</v>
      </c>
      <c r="L4562" t="n">
        <v>0</v>
      </c>
      <c r="M4562" t="n">
        <v>0</v>
      </c>
      <c r="N4562" t="n">
        <v>0</v>
      </c>
      <c r="O4562" t="n">
        <v>0</v>
      </c>
      <c r="P4562" t="n">
        <v>0</v>
      </c>
      <c r="Q4562" t="n">
        <v>0</v>
      </c>
      <c r="R4562" s="2" t="inlineStr"/>
    </row>
    <row r="4563" ht="15" customHeight="1">
      <c r="A4563" t="inlineStr">
        <is>
          <t>A 34095-2025</t>
        </is>
      </c>
      <c r="B4563" s="1" t="n">
        <v>45845.48228009259</v>
      </c>
      <c r="C4563" s="1" t="n">
        <v>46103</v>
      </c>
      <c r="D4563" t="inlineStr">
        <is>
          <t>KRONOBERGS LÄN</t>
        </is>
      </c>
      <c r="E4563" t="inlineStr">
        <is>
          <t>LJUNGBY</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34101-2025</t>
        </is>
      </c>
      <c r="B4564" s="1" t="n">
        <v>45845.48898148148</v>
      </c>
      <c r="C4564" s="1" t="n">
        <v>46103</v>
      </c>
      <c r="D4564" t="inlineStr">
        <is>
          <t>KRONOBERGS LÄN</t>
        </is>
      </c>
      <c r="E4564" t="inlineStr">
        <is>
          <t>LJUNGBY</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11071-2025</t>
        </is>
      </c>
      <c r="B4565" s="1" t="n">
        <v>45723.54547453704</v>
      </c>
      <c r="C4565" s="1" t="n">
        <v>46103</v>
      </c>
      <c r="D4565" t="inlineStr">
        <is>
          <t>KRONOBERGS LÄN</t>
        </is>
      </c>
      <c r="E4565" t="inlineStr">
        <is>
          <t>LJUNGBY</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10175-2025</t>
        </is>
      </c>
      <c r="B4566" s="1" t="n">
        <v>45719.66356481481</v>
      </c>
      <c r="C4566" s="1" t="n">
        <v>46103</v>
      </c>
      <c r="D4566" t="inlineStr">
        <is>
          <t>KRONOBERGS LÄN</t>
        </is>
      </c>
      <c r="E4566" t="inlineStr">
        <is>
          <t>MARKARYD</t>
        </is>
      </c>
      <c r="G4566" t="n">
        <v>8.6</v>
      </c>
      <c r="H4566" t="n">
        <v>0</v>
      </c>
      <c r="I4566" t="n">
        <v>0</v>
      </c>
      <c r="J4566" t="n">
        <v>0</v>
      </c>
      <c r="K4566" t="n">
        <v>0</v>
      </c>
      <c r="L4566" t="n">
        <v>0</v>
      </c>
      <c r="M4566" t="n">
        <v>0</v>
      </c>
      <c r="N4566" t="n">
        <v>0</v>
      </c>
      <c r="O4566" t="n">
        <v>0</v>
      </c>
      <c r="P4566" t="n">
        <v>0</v>
      </c>
      <c r="Q4566" t="n">
        <v>0</v>
      </c>
      <c r="R4566" s="2" t="inlineStr"/>
    </row>
    <row r="4567" ht="15" customHeight="1">
      <c r="A4567" t="inlineStr">
        <is>
          <t>A 33758-2025</t>
        </is>
      </c>
      <c r="B4567" s="1" t="n">
        <v>45842.37927083333</v>
      </c>
      <c r="C4567" s="1" t="n">
        <v>46103</v>
      </c>
      <c r="D4567" t="inlineStr">
        <is>
          <t>KRONOBERGS LÄN</t>
        </is>
      </c>
      <c r="E4567" t="inlineStr">
        <is>
          <t>ÄLMHULT</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33721-2025</t>
        </is>
      </c>
      <c r="B4568" s="1" t="n">
        <v>45841.90819444445</v>
      </c>
      <c r="C4568" s="1" t="n">
        <v>46103</v>
      </c>
      <c r="D4568" t="inlineStr">
        <is>
          <t>KRONOBERGS LÄN</t>
        </is>
      </c>
      <c r="E4568" t="inlineStr">
        <is>
          <t>TINGSRYD</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33760-2025</t>
        </is>
      </c>
      <c r="B4569" s="1" t="n">
        <v>45842.38234953704</v>
      </c>
      <c r="C4569" s="1" t="n">
        <v>46103</v>
      </c>
      <c r="D4569" t="inlineStr">
        <is>
          <t>KRONOBERGS LÄN</t>
        </is>
      </c>
      <c r="E4569" t="inlineStr">
        <is>
          <t>ÄLMHULT</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33765-2025</t>
        </is>
      </c>
      <c r="B4570" s="1" t="n">
        <v>45842.38695601852</v>
      </c>
      <c r="C4570" s="1" t="n">
        <v>46103</v>
      </c>
      <c r="D4570" t="inlineStr">
        <is>
          <t>KRONOBERGS LÄN</t>
        </is>
      </c>
      <c r="E4570" t="inlineStr">
        <is>
          <t>ÄLMHULT</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24562-2025</t>
        </is>
      </c>
      <c r="B4571" s="1" t="n">
        <v>45798</v>
      </c>
      <c r="C4571" s="1" t="n">
        <v>46103</v>
      </c>
      <c r="D4571" t="inlineStr">
        <is>
          <t>KRONOBERGS LÄN</t>
        </is>
      </c>
      <c r="E4571" t="inlineStr">
        <is>
          <t>MARKARYD</t>
        </is>
      </c>
      <c r="G4571" t="n">
        <v>3.9</v>
      </c>
      <c r="H4571" t="n">
        <v>0</v>
      </c>
      <c r="I4571" t="n">
        <v>0</v>
      </c>
      <c r="J4571" t="n">
        <v>0</v>
      </c>
      <c r="K4571" t="n">
        <v>0</v>
      </c>
      <c r="L4571" t="n">
        <v>0</v>
      </c>
      <c r="M4571" t="n">
        <v>0</v>
      </c>
      <c r="N4571" t="n">
        <v>0</v>
      </c>
      <c r="O4571" t="n">
        <v>0</v>
      </c>
      <c r="P4571" t="n">
        <v>0</v>
      </c>
      <c r="Q4571" t="n">
        <v>0</v>
      </c>
      <c r="R4571" s="2" t="inlineStr"/>
    </row>
    <row r="4572" ht="15" customHeight="1">
      <c r="A4572" t="inlineStr">
        <is>
          <t>A 26975-2025</t>
        </is>
      </c>
      <c r="B4572" s="1" t="n">
        <v>45811.48709490741</v>
      </c>
      <c r="C4572" s="1" t="n">
        <v>46103</v>
      </c>
      <c r="D4572" t="inlineStr">
        <is>
          <t>KRONOBERGS LÄN</t>
        </is>
      </c>
      <c r="E4572" t="inlineStr">
        <is>
          <t>LJUNGBY</t>
        </is>
      </c>
      <c r="G4572" t="n">
        <v>5.5</v>
      </c>
      <c r="H4572" t="n">
        <v>0</v>
      </c>
      <c r="I4572" t="n">
        <v>0</v>
      </c>
      <c r="J4572" t="n">
        <v>0</v>
      </c>
      <c r="K4572" t="n">
        <v>0</v>
      </c>
      <c r="L4572" t="n">
        <v>0</v>
      </c>
      <c r="M4572" t="n">
        <v>0</v>
      </c>
      <c r="N4572" t="n">
        <v>0</v>
      </c>
      <c r="O4572" t="n">
        <v>0</v>
      </c>
      <c r="P4572" t="n">
        <v>0</v>
      </c>
      <c r="Q4572" t="n">
        <v>0</v>
      </c>
      <c r="R4572" s="2" t="inlineStr"/>
    </row>
    <row r="4573" ht="15" customHeight="1">
      <c r="A4573" t="inlineStr">
        <is>
          <t>A 9649-2024</t>
        </is>
      </c>
      <c r="B4573" s="1" t="n">
        <v>45362</v>
      </c>
      <c r="C4573" s="1" t="n">
        <v>46103</v>
      </c>
      <c r="D4573" t="inlineStr">
        <is>
          <t>KRONOBERGS LÄN</t>
        </is>
      </c>
      <c r="E4573" t="inlineStr">
        <is>
          <t>ALVESTA</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17934-2024</t>
        </is>
      </c>
      <c r="B4574" s="1" t="n">
        <v>45419.61466435185</v>
      </c>
      <c r="C4574" s="1" t="n">
        <v>46103</v>
      </c>
      <c r="D4574" t="inlineStr">
        <is>
          <t>KRONOBERGS LÄN</t>
        </is>
      </c>
      <c r="E4574" t="inlineStr">
        <is>
          <t>VÄXJÖ</t>
        </is>
      </c>
      <c r="G4574" t="n">
        <v>6.1</v>
      </c>
      <c r="H4574" t="n">
        <v>0</v>
      </c>
      <c r="I4574" t="n">
        <v>0</v>
      </c>
      <c r="J4574" t="n">
        <v>0</v>
      </c>
      <c r="K4574" t="n">
        <v>0</v>
      </c>
      <c r="L4574" t="n">
        <v>0</v>
      </c>
      <c r="M4574" t="n">
        <v>0</v>
      </c>
      <c r="N4574" t="n">
        <v>0</v>
      </c>
      <c r="O4574" t="n">
        <v>0</v>
      </c>
      <c r="P4574" t="n">
        <v>0</v>
      </c>
      <c r="Q4574" t="n">
        <v>0</v>
      </c>
      <c r="R4574" s="2" t="inlineStr"/>
    </row>
    <row r="4575" ht="15" customHeight="1">
      <c r="A4575" t="inlineStr">
        <is>
          <t>A 20365-2025</t>
        </is>
      </c>
      <c r="B4575" s="1" t="n">
        <v>45775.40460648148</v>
      </c>
      <c r="C4575" s="1" t="n">
        <v>46103</v>
      </c>
      <c r="D4575" t="inlineStr">
        <is>
          <t>KRONOBERGS LÄN</t>
        </is>
      </c>
      <c r="E4575" t="inlineStr">
        <is>
          <t>LJUNGBY</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19120-2023</t>
        </is>
      </c>
      <c r="B4576" s="1" t="n">
        <v>45048</v>
      </c>
      <c r="C4576" s="1" t="n">
        <v>46103</v>
      </c>
      <c r="D4576" t="inlineStr">
        <is>
          <t>KRONOBERGS LÄN</t>
        </is>
      </c>
      <c r="E4576" t="inlineStr">
        <is>
          <t>LJUNGBY</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34048-2025</t>
        </is>
      </c>
      <c r="B4577" s="1" t="n">
        <v>45845.39126157408</v>
      </c>
      <c r="C4577" s="1" t="n">
        <v>46103</v>
      </c>
      <c r="D4577" t="inlineStr">
        <is>
          <t>KRONOBERGS LÄN</t>
        </is>
      </c>
      <c r="E4577" t="inlineStr">
        <is>
          <t>ÄLMHULT</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6176-2025</t>
        </is>
      </c>
      <c r="B4578" s="1" t="n">
        <v>45698.44657407407</v>
      </c>
      <c r="C4578" s="1" t="n">
        <v>46103</v>
      </c>
      <c r="D4578" t="inlineStr">
        <is>
          <t>KRONOBERGS LÄN</t>
        </is>
      </c>
      <c r="E4578" t="inlineStr">
        <is>
          <t>ALVESTA</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6271-2025</t>
        </is>
      </c>
      <c r="B4579" s="1" t="n">
        <v>45698.61065972222</v>
      </c>
      <c r="C4579" s="1" t="n">
        <v>46103</v>
      </c>
      <c r="D4579" t="inlineStr">
        <is>
          <t>KRONOBERGS LÄN</t>
        </is>
      </c>
      <c r="E4579" t="inlineStr">
        <is>
          <t>VÄXJÖ</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14163-2023</t>
        </is>
      </c>
      <c r="B4580" s="1" t="n">
        <v>45009</v>
      </c>
      <c r="C4580" s="1" t="n">
        <v>46103</v>
      </c>
      <c r="D4580" t="inlineStr">
        <is>
          <t>KRONOBERGS LÄN</t>
        </is>
      </c>
      <c r="E4580" t="inlineStr">
        <is>
          <t>UPPVIDINGE</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42296-2023</t>
        </is>
      </c>
      <c r="B4581" s="1" t="n">
        <v>45180.44605324074</v>
      </c>
      <c r="C4581" s="1" t="n">
        <v>46103</v>
      </c>
      <c r="D4581" t="inlineStr">
        <is>
          <t>KRONOBERGS LÄN</t>
        </is>
      </c>
      <c r="E4581" t="inlineStr">
        <is>
          <t>VÄXJÖ</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46044-2024</t>
        </is>
      </c>
      <c r="B4582" s="1" t="n">
        <v>45580.83032407407</v>
      </c>
      <c r="C4582" s="1" t="n">
        <v>46103</v>
      </c>
      <c r="D4582" t="inlineStr">
        <is>
          <t>KRONOBERGS LÄN</t>
        </is>
      </c>
      <c r="E4582" t="inlineStr">
        <is>
          <t>VÄXJÖ</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11787-2024</t>
        </is>
      </c>
      <c r="B4583" s="1" t="n">
        <v>45374.78101851852</v>
      </c>
      <c r="C4583" s="1" t="n">
        <v>46103</v>
      </c>
      <c r="D4583" t="inlineStr">
        <is>
          <t>KRONOBERGS LÄN</t>
        </is>
      </c>
      <c r="E4583" t="inlineStr">
        <is>
          <t>ÄLMHULT</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34384-2025</t>
        </is>
      </c>
      <c r="B4584" s="1" t="n">
        <v>45846.55724537037</v>
      </c>
      <c r="C4584" s="1" t="n">
        <v>46103</v>
      </c>
      <c r="D4584" t="inlineStr">
        <is>
          <t>KRONOBERGS LÄN</t>
        </is>
      </c>
      <c r="E4584" t="inlineStr">
        <is>
          <t>ÄLMHULT</t>
        </is>
      </c>
      <c r="G4584" t="n">
        <v>7.5</v>
      </c>
      <c r="H4584" t="n">
        <v>0</v>
      </c>
      <c r="I4584" t="n">
        <v>0</v>
      </c>
      <c r="J4584" t="n">
        <v>0</v>
      </c>
      <c r="K4584" t="n">
        <v>0</v>
      </c>
      <c r="L4584" t="n">
        <v>0</v>
      </c>
      <c r="M4584" t="n">
        <v>0</v>
      </c>
      <c r="N4584" t="n">
        <v>0</v>
      </c>
      <c r="O4584" t="n">
        <v>0</v>
      </c>
      <c r="P4584" t="n">
        <v>0</v>
      </c>
      <c r="Q4584" t="n">
        <v>0</v>
      </c>
      <c r="R4584" s="2" t="inlineStr"/>
    </row>
    <row r="4585" ht="15" customHeight="1">
      <c r="A4585" t="inlineStr">
        <is>
          <t>A 34345-2025</t>
        </is>
      </c>
      <c r="B4585" s="1" t="n">
        <v>45846</v>
      </c>
      <c r="C4585" s="1" t="n">
        <v>46103</v>
      </c>
      <c r="D4585" t="inlineStr">
        <is>
          <t>KRONOBERGS LÄN</t>
        </is>
      </c>
      <c r="E4585" t="inlineStr">
        <is>
          <t>VÄXJÖ</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34354-2025</t>
        </is>
      </c>
      <c r="B4586" s="1" t="n">
        <v>45846.47775462963</v>
      </c>
      <c r="C4586" s="1" t="n">
        <v>46103</v>
      </c>
      <c r="D4586" t="inlineStr">
        <is>
          <t>KRONOBERGS LÄN</t>
        </is>
      </c>
      <c r="E4586" t="inlineStr">
        <is>
          <t>VÄXJÖ</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20631-2024</t>
        </is>
      </c>
      <c r="B4587" s="1" t="n">
        <v>45436.47582175926</v>
      </c>
      <c r="C4587" s="1" t="n">
        <v>46103</v>
      </c>
      <c r="D4587" t="inlineStr">
        <is>
          <t>KRONOBERGS LÄN</t>
        </is>
      </c>
      <c r="E4587" t="inlineStr">
        <is>
          <t>ALVESTA</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63553-2023</t>
        </is>
      </c>
      <c r="B4588" s="1" t="n">
        <v>45275.35230324074</v>
      </c>
      <c r="C4588" s="1" t="n">
        <v>46103</v>
      </c>
      <c r="D4588" t="inlineStr">
        <is>
          <t>KRONOBERGS LÄN</t>
        </is>
      </c>
      <c r="E4588" t="inlineStr">
        <is>
          <t>UPPVIDINGE</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30439-2022</t>
        </is>
      </c>
      <c r="B4589" s="1" t="n">
        <v>44761</v>
      </c>
      <c r="C4589" s="1" t="n">
        <v>46103</v>
      </c>
      <c r="D4589" t="inlineStr">
        <is>
          <t>KRONOBERGS LÄN</t>
        </is>
      </c>
      <c r="E4589" t="inlineStr">
        <is>
          <t>VÄXJÖ</t>
        </is>
      </c>
      <c r="F4589" t="inlineStr">
        <is>
          <t>Kyrkan</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31066-2022</t>
        </is>
      </c>
      <c r="B4590" s="1" t="n">
        <v>44769.55420138889</v>
      </c>
      <c r="C4590" s="1" t="n">
        <v>46103</v>
      </c>
      <c r="D4590" t="inlineStr">
        <is>
          <t>KRONOBERGS LÄN</t>
        </is>
      </c>
      <c r="E4590" t="inlineStr">
        <is>
          <t>TINGSRYD</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34512-2025</t>
        </is>
      </c>
      <c r="B4591" s="1" t="n">
        <v>45847</v>
      </c>
      <c r="C4591" s="1" t="n">
        <v>46103</v>
      </c>
      <c r="D4591" t="inlineStr">
        <is>
          <t>KRONOBERGS LÄN</t>
        </is>
      </c>
      <c r="E4591" t="inlineStr">
        <is>
          <t>ALVESTA</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26312-2025</t>
        </is>
      </c>
      <c r="B4592" s="1" t="n">
        <v>45805.65649305555</v>
      </c>
      <c r="C4592" s="1" t="n">
        <v>46103</v>
      </c>
      <c r="D4592" t="inlineStr">
        <is>
          <t>KRONOBERGS LÄN</t>
        </is>
      </c>
      <c r="E4592" t="inlineStr">
        <is>
          <t>ÄLMHULT</t>
        </is>
      </c>
      <c r="F4592" t="inlineStr">
        <is>
          <t>Sveaskog</t>
        </is>
      </c>
      <c r="G4592" t="n">
        <v>6.5</v>
      </c>
      <c r="H4592" t="n">
        <v>0</v>
      </c>
      <c r="I4592" t="n">
        <v>0</v>
      </c>
      <c r="J4592" t="n">
        <v>0</v>
      </c>
      <c r="K4592" t="n">
        <v>0</v>
      </c>
      <c r="L4592" t="n">
        <v>0</v>
      </c>
      <c r="M4592" t="n">
        <v>0</v>
      </c>
      <c r="N4592" t="n">
        <v>0</v>
      </c>
      <c r="O4592" t="n">
        <v>0</v>
      </c>
      <c r="P4592" t="n">
        <v>0</v>
      </c>
      <c r="Q4592" t="n">
        <v>0</v>
      </c>
      <c r="R4592" s="2" t="inlineStr"/>
    </row>
    <row r="4593" ht="15" customHeight="1">
      <c r="A4593" t="inlineStr">
        <is>
          <t>A 34357-2025</t>
        </is>
      </c>
      <c r="B4593" s="1" t="n">
        <v>45846.4825462963</v>
      </c>
      <c r="C4593" s="1" t="n">
        <v>46103</v>
      </c>
      <c r="D4593" t="inlineStr">
        <is>
          <t>KRONOBERGS LÄN</t>
        </is>
      </c>
      <c r="E4593" t="inlineStr">
        <is>
          <t>VÄXJÖ</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12127-2025</t>
        </is>
      </c>
      <c r="B4594" s="1" t="n">
        <v>45729.38393518519</v>
      </c>
      <c r="C4594" s="1" t="n">
        <v>46103</v>
      </c>
      <c r="D4594" t="inlineStr">
        <is>
          <t>KRONOBERGS LÄN</t>
        </is>
      </c>
      <c r="E4594" t="inlineStr">
        <is>
          <t>LESSEBO</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7879-2025</t>
        </is>
      </c>
      <c r="B4595" s="1" t="n">
        <v>45706.78021990741</v>
      </c>
      <c r="C4595" s="1" t="n">
        <v>46103</v>
      </c>
      <c r="D4595" t="inlineStr">
        <is>
          <t>KRONOBERGS LÄN</t>
        </is>
      </c>
      <c r="E4595" t="inlineStr">
        <is>
          <t>ÄLMHULT</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34348-2025</t>
        </is>
      </c>
      <c r="B4596" s="1" t="n">
        <v>45846</v>
      </c>
      <c r="C4596" s="1" t="n">
        <v>46103</v>
      </c>
      <c r="D4596" t="inlineStr">
        <is>
          <t>KRONOBERGS LÄN</t>
        </is>
      </c>
      <c r="E4596" t="inlineStr">
        <is>
          <t>VÄXJÖ</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18191-2025</t>
        </is>
      </c>
      <c r="B4597" s="1" t="n">
        <v>45761.67469907407</v>
      </c>
      <c r="C4597" s="1" t="n">
        <v>46103</v>
      </c>
      <c r="D4597" t="inlineStr">
        <is>
          <t>KRONOBERGS LÄN</t>
        </is>
      </c>
      <c r="E4597" t="inlineStr">
        <is>
          <t>LESSEBO</t>
        </is>
      </c>
      <c r="F4597" t="inlineStr">
        <is>
          <t>Sveaskog</t>
        </is>
      </c>
      <c r="G4597" t="n">
        <v>14.7</v>
      </c>
      <c r="H4597" t="n">
        <v>0</v>
      </c>
      <c r="I4597" t="n">
        <v>0</v>
      </c>
      <c r="J4597" t="n">
        <v>0</v>
      </c>
      <c r="K4597" t="n">
        <v>0</v>
      </c>
      <c r="L4597" t="n">
        <v>0</v>
      </c>
      <c r="M4597" t="n">
        <v>0</v>
      </c>
      <c r="N4597" t="n">
        <v>0</v>
      </c>
      <c r="O4597" t="n">
        <v>0</v>
      </c>
      <c r="P4597" t="n">
        <v>0</v>
      </c>
      <c r="Q4597" t="n">
        <v>0</v>
      </c>
      <c r="R4597" s="2" t="inlineStr"/>
    </row>
    <row r="4598" ht="15" customHeight="1">
      <c r="A4598" t="inlineStr">
        <is>
          <t>A 34349-2025</t>
        </is>
      </c>
      <c r="B4598" s="1" t="n">
        <v>45846.47069444445</v>
      </c>
      <c r="C4598" s="1" t="n">
        <v>46103</v>
      </c>
      <c r="D4598" t="inlineStr">
        <is>
          <t>KRONOBERGS LÄN</t>
        </is>
      </c>
      <c r="E4598" t="inlineStr">
        <is>
          <t>MARKARYD</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18210-2025</t>
        </is>
      </c>
      <c r="B4599" s="1" t="n">
        <v>45761.69201388889</v>
      </c>
      <c r="C4599" s="1" t="n">
        <v>46103</v>
      </c>
      <c r="D4599" t="inlineStr">
        <is>
          <t>KRONOBERGS LÄN</t>
        </is>
      </c>
      <c r="E4599" t="inlineStr">
        <is>
          <t>LESSEBO</t>
        </is>
      </c>
      <c r="F4599" t="inlineStr">
        <is>
          <t>Sveaskog</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34335-2025</t>
        </is>
      </c>
      <c r="B4600" s="1" t="n">
        <v>45846</v>
      </c>
      <c r="C4600" s="1" t="n">
        <v>46103</v>
      </c>
      <c r="D4600" t="inlineStr">
        <is>
          <t>KRONOBERGS LÄN</t>
        </is>
      </c>
      <c r="E4600" t="inlineStr">
        <is>
          <t>VÄXJÖ</t>
        </is>
      </c>
      <c r="G4600" t="n">
        <v>5.7</v>
      </c>
      <c r="H4600" t="n">
        <v>0</v>
      </c>
      <c r="I4600" t="n">
        <v>0</v>
      </c>
      <c r="J4600" t="n">
        <v>0</v>
      </c>
      <c r="K4600" t="n">
        <v>0</v>
      </c>
      <c r="L4600" t="n">
        <v>0</v>
      </c>
      <c r="M4600" t="n">
        <v>0</v>
      </c>
      <c r="N4600" t="n">
        <v>0</v>
      </c>
      <c r="O4600" t="n">
        <v>0</v>
      </c>
      <c r="P4600" t="n">
        <v>0</v>
      </c>
      <c r="Q4600" t="n">
        <v>0</v>
      </c>
      <c r="R4600" s="2" t="inlineStr"/>
    </row>
    <row r="4601" ht="15" customHeight="1">
      <c r="A4601" t="inlineStr">
        <is>
          <t>A 11912-2022</t>
        </is>
      </c>
      <c r="B4601" s="1" t="n">
        <v>44635</v>
      </c>
      <c r="C4601" s="1" t="n">
        <v>46103</v>
      </c>
      <c r="D4601" t="inlineStr">
        <is>
          <t>KRONOBERGS LÄN</t>
        </is>
      </c>
      <c r="E4601" t="inlineStr">
        <is>
          <t>ALVESTA</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12499-2025</t>
        </is>
      </c>
      <c r="B4602" s="1" t="n">
        <v>45730.61275462963</v>
      </c>
      <c r="C4602" s="1" t="n">
        <v>46103</v>
      </c>
      <c r="D4602" t="inlineStr">
        <is>
          <t>KRONOBERGS LÄN</t>
        </is>
      </c>
      <c r="E4602" t="inlineStr">
        <is>
          <t>LJUNGBY</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28219-2024</t>
        </is>
      </c>
      <c r="B4603" s="1" t="n">
        <v>45477.36865740741</v>
      </c>
      <c r="C4603" s="1" t="n">
        <v>46103</v>
      </c>
      <c r="D4603" t="inlineStr">
        <is>
          <t>KRONOBERGS LÄN</t>
        </is>
      </c>
      <c r="E4603" t="inlineStr">
        <is>
          <t>VÄXJÖ</t>
        </is>
      </c>
      <c r="F4603" t="inlineStr">
        <is>
          <t>Sveaskog</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34530-2025</t>
        </is>
      </c>
      <c r="B4604" s="1" t="n">
        <v>45847.50042824074</v>
      </c>
      <c r="C4604" s="1" t="n">
        <v>46103</v>
      </c>
      <c r="D4604" t="inlineStr">
        <is>
          <t>KRONOBERGS LÄN</t>
        </is>
      </c>
      <c r="E4604" t="inlineStr">
        <is>
          <t>ALVESTA</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34532-2025</t>
        </is>
      </c>
      <c r="B4605" s="1" t="n">
        <v>45847.50482638889</v>
      </c>
      <c r="C4605" s="1" t="n">
        <v>46103</v>
      </c>
      <c r="D4605" t="inlineStr">
        <is>
          <t>KRONOBERGS LÄN</t>
        </is>
      </c>
      <c r="E4605" t="inlineStr">
        <is>
          <t>ALVESTA</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6838-2024</t>
        </is>
      </c>
      <c r="B4606" s="1" t="n">
        <v>45342.61811342592</v>
      </c>
      <c r="C4606" s="1" t="n">
        <v>46103</v>
      </c>
      <c r="D4606" t="inlineStr">
        <is>
          <t>KRONOBERGS LÄN</t>
        </is>
      </c>
      <c r="E4606" t="inlineStr">
        <is>
          <t>ALVESTA</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34514-2025</t>
        </is>
      </c>
      <c r="B4607" s="1" t="n">
        <v>45847</v>
      </c>
      <c r="C4607" s="1" t="n">
        <v>46103</v>
      </c>
      <c r="D4607" t="inlineStr">
        <is>
          <t>KRONOBERGS LÄN</t>
        </is>
      </c>
      <c r="E4607" t="inlineStr">
        <is>
          <t>ALVESTA</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34611-2025</t>
        </is>
      </c>
      <c r="B4608" s="1" t="n">
        <v>45846</v>
      </c>
      <c r="C4608" s="1" t="n">
        <v>46103</v>
      </c>
      <c r="D4608" t="inlineStr">
        <is>
          <t>KRONOBERGS LÄN</t>
        </is>
      </c>
      <c r="E4608" t="inlineStr">
        <is>
          <t>VÄXJÖ</t>
        </is>
      </c>
      <c r="F4608" t="inlineStr">
        <is>
          <t>Kyrkan</t>
        </is>
      </c>
      <c r="G4608" t="n">
        <v>5.3</v>
      </c>
      <c r="H4608" t="n">
        <v>0</v>
      </c>
      <c r="I4608" t="n">
        <v>0</v>
      </c>
      <c r="J4608" t="n">
        <v>0</v>
      </c>
      <c r="K4608" t="n">
        <v>0</v>
      </c>
      <c r="L4608" t="n">
        <v>0</v>
      </c>
      <c r="M4608" t="n">
        <v>0</v>
      </c>
      <c r="N4608" t="n">
        <v>0</v>
      </c>
      <c r="O4608" t="n">
        <v>0</v>
      </c>
      <c r="P4608" t="n">
        <v>0</v>
      </c>
      <c r="Q4608" t="n">
        <v>0</v>
      </c>
      <c r="R4608" s="2" t="inlineStr"/>
    </row>
    <row r="4609" ht="15" customHeight="1">
      <c r="A4609" t="inlineStr">
        <is>
          <t>A 50212-2024</t>
        </is>
      </c>
      <c r="B4609" s="1" t="n">
        <v>45600.51381944444</v>
      </c>
      <c r="C4609" s="1" t="n">
        <v>46103</v>
      </c>
      <c r="D4609" t="inlineStr">
        <is>
          <t>KRONOBERGS LÄN</t>
        </is>
      </c>
      <c r="E4609" t="inlineStr">
        <is>
          <t>TINGSRYD</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34548-2025</t>
        </is>
      </c>
      <c r="B4610" s="1" t="n">
        <v>45847.56047453704</v>
      </c>
      <c r="C4610" s="1" t="n">
        <v>46103</v>
      </c>
      <c r="D4610" t="inlineStr">
        <is>
          <t>KRONOBERGS LÄN</t>
        </is>
      </c>
      <c r="E4610" t="inlineStr">
        <is>
          <t>VÄXJÖ</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44923-2023</t>
        </is>
      </c>
      <c r="B4611" s="1" t="n">
        <v>45190</v>
      </c>
      <c r="C4611" s="1" t="n">
        <v>46103</v>
      </c>
      <c r="D4611" t="inlineStr">
        <is>
          <t>KRONOBERGS LÄN</t>
        </is>
      </c>
      <c r="E4611" t="inlineStr">
        <is>
          <t>VÄXJÖ</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4575-2023</t>
        </is>
      </c>
      <c r="B4612" s="1" t="n">
        <v>44956</v>
      </c>
      <c r="C4612" s="1" t="n">
        <v>46103</v>
      </c>
      <c r="D4612" t="inlineStr">
        <is>
          <t>KRONOBERGS LÄN</t>
        </is>
      </c>
      <c r="E4612" t="inlineStr">
        <is>
          <t>MARKARYD</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34549-2025</t>
        </is>
      </c>
      <c r="B4613" s="1" t="n">
        <v>45847.5616087963</v>
      </c>
      <c r="C4613" s="1" t="n">
        <v>46103</v>
      </c>
      <c r="D4613" t="inlineStr">
        <is>
          <t>KRONOBERGS LÄN</t>
        </is>
      </c>
      <c r="E4613" t="inlineStr">
        <is>
          <t>VÄXJÖ</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34270-2025</t>
        </is>
      </c>
      <c r="B4614" s="1" t="n">
        <v>45845.80144675926</v>
      </c>
      <c r="C4614" s="1" t="n">
        <v>46103</v>
      </c>
      <c r="D4614" t="inlineStr">
        <is>
          <t>KRONOBERGS LÄN</t>
        </is>
      </c>
      <c r="E4614" t="inlineStr">
        <is>
          <t>ALVESTA</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34743-2025</t>
        </is>
      </c>
      <c r="B4615" s="1" t="n">
        <v>45848.61209490741</v>
      </c>
      <c r="C4615" s="1" t="n">
        <v>46103</v>
      </c>
      <c r="D4615" t="inlineStr">
        <is>
          <t>KRONOBERGS LÄN</t>
        </is>
      </c>
      <c r="E4615" t="inlineStr">
        <is>
          <t>TINGSRYD</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18968-2024</t>
        </is>
      </c>
      <c r="B4616" s="1" t="n">
        <v>45427.55083333333</v>
      </c>
      <c r="C4616" s="1" t="n">
        <v>46103</v>
      </c>
      <c r="D4616" t="inlineStr">
        <is>
          <t>KRONOBERGS LÄN</t>
        </is>
      </c>
      <c r="E4616" t="inlineStr">
        <is>
          <t>LESSEBO</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16754-2025</t>
        </is>
      </c>
      <c r="B4617" s="1" t="n">
        <v>45754.56905092593</v>
      </c>
      <c r="C4617" s="1" t="n">
        <v>46103</v>
      </c>
      <c r="D4617" t="inlineStr">
        <is>
          <t>KRONOBERGS LÄN</t>
        </is>
      </c>
      <c r="E4617" t="inlineStr">
        <is>
          <t>LJUNGBY</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42752-2021</t>
        </is>
      </c>
      <c r="B4618" s="1" t="n">
        <v>44428.62381944444</v>
      </c>
      <c r="C4618" s="1" t="n">
        <v>46103</v>
      </c>
      <c r="D4618" t="inlineStr">
        <is>
          <t>KRONOBERGS LÄN</t>
        </is>
      </c>
      <c r="E4618" t="inlineStr">
        <is>
          <t>TINGSRYD</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5380-2024</t>
        </is>
      </c>
      <c r="B4619" s="1" t="n">
        <v>45331.49637731481</v>
      </c>
      <c r="C4619" s="1" t="n">
        <v>46103</v>
      </c>
      <c r="D4619" t="inlineStr">
        <is>
          <t>KRONOBERGS LÄN</t>
        </is>
      </c>
      <c r="E4619" t="inlineStr">
        <is>
          <t>TINGSRYD</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53341-2021</t>
        </is>
      </c>
      <c r="B4620" s="1" t="n">
        <v>44468</v>
      </c>
      <c r="C4620" s="1" t="n">
        <v>46103</v>
      </c>
      <c r="D4620" t="inlineStr">
        <is>
          <t>KRONOBERGS LÄN</t>
        </is>
      </c>
      <c r="E4620" t="inlineStr">
        <is>
          <t>LESSEBO</t>
        </is>
      </c>
      <c r="G4620" t="n">
        <v>4</v>
      </c>
      <c r="H4620" t="n">
        <v>0</v>
      </c>
      <c r="I4620" t="n">
        <v>0</v>
      </c>
      <c r="J4620" t="n">
        <v>0</v>
      </c>
      <c r="K4620" t="n">
        <v>0</v>
      </c>
      <c r="L4620" t="n">
        <v>0</v>
      </c>
      <c r="M4620" t="n">
        <v>0</v>
      </c>
      <c r="N4620" t="n">
        <v>0</v>
      </c>
      <c r="O4620" t="n">
        <v>0</v>
      </c>
      <c r="P4620" t="n">
        <v>0</v>
      </c>
      <c r="Q4620" t="n">
        <v>0</v>
      </c>
      <c r="R4620" s="2" t="inlineStr"/>
    </row>
    <row r="4621" ht="15" customHeight="1">
      <c r="A4621" t="inlineStr">
        <is>
          <t>A 16377-2025</t>
        </is>
      </c>
      <c r="B4621" s="1" t="n">
        <v>45751.41162037037</v>
      </c>
      <c r="C4621" s="1" t="n">
        <v>46103</v>
      </c>
      <c r="D4621" t="inlineStr">
        <is>
          <t>KRONOBERGS LÄN</t>
        </is>
      </c>
      <c r="E4621" t="inlineStr">
        <is>
          <t>TINGSRYD</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8163-2025</t>
        </is>
      </c>
      <c r="B4622" s="1" t="n">
        <v>45708.35037037037</v>
      </c>
      <c r="C4622" s="1" t="n">
        <v>46103</v>
      </c>
      <c r="D4622" t="inlineStr">
        <is>
          <t>KRONOBERGS LÄN</t>
        </is>
      </c>
      <c r="E4622" t="inlineStr">
        <is>
          <t>UPPVIDINGE</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11800-2025</t>
        </is>
      </c>
      <c r="B4623" s="1" t="n">
        <v>45727.82142361111</v>
      </c>
      <c r="C4623" s="1" t="n">
        <v>46103</v>
      </c>
      <c r="D4623" t="inlineStr">
        <is>
          <t>KRONOBERGS LÄN</t>
        </is>
      </c>
      <c r="E4623" t="inlineStr">
        <is>
          <t>VÄXJÖ</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8420-2025</t>
        </is>
      </c>
      <c r="B4624" s="1" t="n">
        <v>45709.40309027778</v>
      </c>
      <c r="C4624" s="1" t="n">
        <v>46103</v>
      </c>
      <c r="D4624" t="inlineStr">
        <is>
          <t>KRONOBERGS LÄN</t>
        </is>
      </c>
      <c r="E4624" t="inlineStr">
        <is>
          <t>UPPVIDINGE</t>
        </is>
      </c>
      <c r="F4624" t="inlineStr">
        <is>
          <t>Sveaskog</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59778-2024</t>
        </is>
      </c>
      <c r="B4625" s="1" t="n">
        <v>45639</v>
      </c>
      <c r="C4625" s="1" t="n">
        <v>46103</v>
      </c>
      <c r="D4625" t="inlineStr">
        <is>
          <t>KRONOBERGS LÄN</t>
        </is>
      </c>
      <c r="E4625" t="inlineStr">
        <is>
          <t>LJUNGBY</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59785-2024</t>
        </is>
      </c>
      <c r="B4626" s="1" t="n">
        <v>45639.58114583333</v>
      </c>
      <c r="C4626" s="1" t="n">
        <v>46103</v>
      </c>
      <c r="D4626" t="inlineStr">
        <is>
          <t>KRONOBERGS LÄN</t>
        </is>
      </c>
      <c r="E4626" t="inlineStr">
        <is>
          <t>LJUNGBY</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41019-2024</t>
        </is>
      </c>
      <c r="B4627" s="1" t="n">
        <v>45559.33650462963</v>
      </c>
      <c r="C4627" s="1" t="n">
        <v>46103</v>
      </c>
      <c r="D4627" t="inlineStr">
        <is>
          <t>KRONOBERGS LÄN</t>
        </is>
      </c>
      <c r="E4627" t="inlineStr">
        <is>
          <t>VÄXJÖ</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49575-2023</t>
        </is>
      </c>
      <c r="B4628" s="1" t="n">
        <v>45211.65987268519</v>
      </c>
      <c r="C4628" s="1" t="n">
        <v>46103</v>
      </c>
      <c r="D4628" t="inlineStr">
        <is>
          <t>KRONOBERGS LÄN</t>
        </is>
      </c>
      <c r="E4628" t="inlineStr">
        <is>
          <t>ÄLMHULT</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34148-2023</t>
        </is>
      </c>
      <c r="B4629" s="1" t="n">
        <v>45136.69425925926</v>
      </c>
      <c r="C4629" s="1" t="n">
        <v>46103</v>
      </c>
      <c r="D4629" t="inlineStr">
        <is>
          <t>KRONOBERGS LÄN</t>
        </is>
      </c>
      <c r="E4629" t="inlineStr">
        <is>
          <t>ALVESTA</t>
        </is>
      </c>
      <c r="G4629" t="n">
        <v>4.1</v>
      </c>
      <c r="H4629" t="n">
        <v>0</v>
      </c>
      <c r="I4629" t="n">
        <v>0</v>
      </c>
      <c r="J4629" t="n">
        <v>0</v>
      </c>
      <c r="K4629" t="n">
        <v>0</v>
      </c>
      <c r="L4629" t="n">
        <v>0</v>
      </c>
      <c r="M4629" t="n">
        <v>0</v>
      </c>
      <c r="N4629" t="n">
        <v>0</v>
      </c>
      <c r="O4629" t="n">
        <v>0</v>
      </c>
      <c r="P4629" t="n">
        <v>0</v>
      </c>
      <c r="Q4629" t="n">
        <v>0</v>
      </c>
      <c r="R4629" s="2" t="inlineStr"/>
    </row>
    <row r="4630" ht="15" customHeight="1">
      <c r="A4630" t="inlineStr">
        <is>
          <t>A 36522-2023</t>
        </is>
      </c>
      <c r="B4630" s="1" t="n">
        <v>45153.31517361111</v>
      </c>
      <c r="C4630" s="1" t="n">
        <v>46103</v>
      </c>
      <c r="D4630" t="inlineStr">
        <is>
          <t>KRONOBERGS LÄN</t>
        </is>
      </c>
      <c r="E4630" t="inlineStr">
        <is>
          <t>VÄXJÖ</t>
        </is>
      </c>
      <c r="G4630" t="n">
        <v>5</v>
      </c>
      <c r="H4630" t="n">
        <v>0</v>
      </c>
      <c r="I4630" t="n">
        <v>0</v>
      </c>
      <c r="J4630" t="n">
        <v>0</v>
      </c>
      <c r="K4630" t="n">
        <v>0</v>
      </c>
      <c r="L4630" t="n">
        <v>0</v>
      </c>
      <c r="M4630" t="n">
        <v>0</v>
      </c>
      <c r="N4630" t="n">
        <v>0</v>
      </c>
      <c r="O4630" t="n">
        <v>0</v>
      </c>
      <c r="P4630" t="n">
        <v>0</v>
      </c>
      <c r="Q4630" t="n">
        <v>0</v>
      </c>
      <c r="R4630" s="2" t="inlineStr"/>
    </row>
    <row r="4631" ht="15" customHeight="1">
      <c r="A4631" t="inlineStr">
        <is>
          <t>A 34742-2025</t>
        </is>
      </c>
      <c r="B4631" s="1" t="n">
        <v>45848.61030092592</v>
      </c>
      <c r="C4631" s="1" t="n">
        <v>46103</v>
      </c>
      <c r="D4631" t="inlineStr">
        <is>
          <t>KRONOBERGS LÄN</t>
        </is>
      </c>
      <c r="E4631" t="inlineStr">
        <is>
          <t>LJUNGBY</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34712-2025</t>
        </is>
      </c>
      <c r="B4632" s="1" t="n">
        <v>45848.51086805556</v>
      </c>
      <c r="C4632" s="1" t="n">
        <v>46103</v>
      </c>
      <c r="D4632" t="inlineStr">
        <is>
          <t>KRONOBERGS LÄN</t>
        </is>
      </c>
      <c r="E4632" t="inlineStr">
        <is>
          <t>ALVESTA</t>
        </is>
      </c>
      <c r="G4632" t="n">
        <v>3.3</v>
      </c>
      <c r="H4632" t="n">
        <v>0</v>
      </c>
      <c r="I4632" t="n">
        <v>0</v>
      </c>
      <c r="J4632" t="n">
        <v>0</v>
      </c>
      <c r="K4632" t="n">
        <v>0</v>
      </c>
      <c r="L4632" t="n">
        <v>0</v>
      </c>
      <c r="M4632" t="n">
        <v>0</v>
      </c>
      <c r="N4632" t="n">
        <v>0</v>
      </c>
      <c r="O4632" t="n">
        <v>0</v>
      </c>
      <c r="P4632" t="n">
        <v>0</v>
      </c>
      <c r="Q4632" t="n">
        <v>0</v>
      </c>
      <c r="R4632" s="2" t="inlineStr"/>
    </row>
    <row r="4633" ht="15" customHeight="1">
      <c r="A4633" t="inlineStr">
        <is>
          <t>A 14425-2023</t>
        </is>
      </c>
      <c r="B4633" s="1" t="n">
        <v>45012.55712962963</v>
      </c>
      <c r="C4633" s="1" t="n">
        <v>46103</v>
      </c>
      <c r="D4633" t="inlineStr">
        <is>
          <t>KRONOBERGS LÄN</t>
        </is>
      </c>
      <c r="E4633" t="inlineStr">
        <is>
          <t>ÄLMHULT</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34745-2025</t>
        </is>
      </c>
      <c r="B4634" s="1" t="n">
        <v>45848.61425925926</v>
      </c>
      <c r="C4634" s="1" t="n">
        <v>46103</v>
      </c>
      <c r="D4634" t="inlineStr">
        <is>
          <t>KRONOBERGS LÄN</t>
        </is>
      </c>
      <c r="E4634" t="inlineStr">
        <is>
          <t>TINGSRYD</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2829-2024</t>
        </is>
      </c>
      <c r="B4635" s="1" t="n">
        <v>45314</v>
      </c>
      <c r="C4635" s="1" t="n">
        <v>46103</v>
      </c>
      <c r="D4635" t="inlineStr">
        <is>
          <t>KRONOBERGS LÄN</t>
        </is>
      </c>
      <c r="E4635" t="inlineStr">
        <is>
          <t>ÄLMHULT</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61996-2024</t>
        </is>
      </c>
      <c r="B4636" s="1" t="n">
        <v>45653.77716435185</v>
      </c>
      <c r="C4636" s="1" t="n">
        <v>46103</v>
      </c>
      <c r="D4636" t="inlineStr">
        <is>
          <t>KRONOBERGS LÄN</t>
        </is>
      </c>
      <c r="E4636" t="inlineStr">
        <is>
          <t>VÄXJÖ</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18269-2024</t>
        </is>
      </c>
      <c r="B4637" s="1" t="n">
        <v>45421.62476851852</v>
      </c>
      <c r="C4637" s="1" t="n">
        <v>46103</v>
      </c>
      <c r="D4637" t="inlineStr">
        <is>
          <t>KRONOBERGS LÄN</t>
        </is>
      </c>
      <c r="E4637" t="inlineStr">
        <is>
          <t>VÄXJÖ</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59321-2024</t>
        </is>
      </c>
      <c r="B4638" s="1" t="n">
        <v>45637.70924768518</v>
      </c>
      <c r="C4638" s="1" t="n">
        <v>46103</v>
      </c>
      <c r="D4638" t="inlineStr">
        <is>
          <t>KRONOBERGS LÄN</t>
        </is>
      </c>
      <c r="E4638" t="inlineStr">
        <is>
          <t>LESSEBO</t>
        </is>
      </c>
      <c r="F4638" t="inlineStr">
        <is>
          <t>Sveaskog</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19942-2022</t>
        </is>
      </c>
      <c r="B4639" s="1" t="n">
        <v>44697</v>
      </c>
      <c r="C4639" s="1" t="n">
        <v>46103</v>
      </c>
      <c r="D4639" t="inlineStr">
        <is>
          <t>KRONOBERGS LÄN</t>
        </is>
      </c>
      <c r="E4639" t="inlineStr">
        <is>
          <t>UPPVIDINGE</t>
        </is>
      </c>
      <c r="F4639" t="inlineStr">
        <is>
          <t>Kyrkan</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57651-2022</t>
        </is>
      </c>
      <c r="B4640" s="1" t="n">
        <v>44897.42872685185</v>
      </c>
      <c r="C4640" s="1" t="n">
        <v>46103</v>
      </c>
      <c r="D4640" t="inlineStr">
        <is>
          <t>KRONOBERGS LÄN</t>
        </is>
      </c>
      <c r="E4640" t="inlineStr">
        <is>
          <t>UPPVIDINGE</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48687-2021</t>
        </is>
      </c>
      <c r="B4641" s="1" t="n">
        <v>44452.5708912037</v>
      </c>
      <c r="C4641" s="1" t="n">
        <v>46103</v>
      </c>
      <c r="D4641" t="inlineStr">
        <is>
          <t>KRONOBERGS LÄN</t>
        </is>
      </c>
      <c r="E4641" t="inlineStr">
        <is>
          <t>TINGSRYD</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61462-2022</t>
        </is>
      </c>
      <c r="B4642" s="1" t="n">
        <v>44916.42905092592</v>
      </c>
      <c r="C4642" s="1" t="n">
        <v>46103</v>
      </c>
      <c r="D4642" t="inlineStr">
        <is>
          <t>KRONOBERGS LÄN</t>
        </is>
      </c>
      <c r="E4642" t="inlineStr">
        <is>
          <t>TINGSRYD</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34738-2025</t>
        </is>
      </c>
      <c r="B4643" s="1" t="n">
        <v>45848.6062962963</v>
      </c>
      <c r="C4643" s="1" t="n">
        <v>46103</v>
      </c>
      <c r="D4643" t="inlineStr">
        <is>
          <t>KRONOBERGS LÄN</t>
        </is>
      </c>
      <c r="E4643" t="inlineStr">
        <is>
          <t>LJUNGBY</t>
        </is>
      </c>
      <c r="G4643" t="n">
        <v>4.7</v>
      </c>
      <c r="H4643" t="n">
        <v>0</v>
      </c>
      <c r="I4643" t="n">
        <v>0</v>
      </c>
      <c r="J4643" t="n">
        <v>0</v>
      </c>
      <c r="K4643" t="n">
        <v>0</v>
      </c>
      <c r="L4643" t="n">
        <v>0</v>
      </c>
      <c r="M4643" t="n">
        <v>0</v>
      </c>
      <c r="N4643" t="n">
        <v>0</v>
      </c>
      <c r="O4643" t="n">
        <v>0</v>
      </c>
      <c r="P4643" t="n">
        <v>0</v>
      </c>
      <c r="Q4643" t="n">
        <v>0</v>
      </c>
      <c r="R4643" s="2" t="inlineStr"/>
    </row>
    <row r="4644" ht="15" customHeight="1">
      <c r="A4644" t="inlineStr">
        <is>
          <t>A 13859-2024</t>
        </is>
      </c>
      <c r="B4644" s="1" t="n">
        <v>45390</v>
      </c>
      <c r="C4644" s="1" t="n">
        <v>46103</v>
      </c>
      <c r="D4644" t="inlineStr">
        <is>
          <t>KRONOBERGS LÄN</t>
        </is>
      </c>
      <c r="E4644" t="inlineStr">
        <is>
          <t>VÄXJÖ</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13182-2023</t>
        </is>
      </c>
      <c r="B4645" s="1" t="n">
        <v>45002</v>
      </c>
      <c r="C4645" s="1" t="n">
        <v>46103</v>
      </c>
      <c r="D4645" t="inlineStr">
        <is>
          <t>KRONOBERGS LÄN</t>
        </is>
      </c>
      <c r="E4645" t="inlineStr">
        <is>
          <t>TINGSRYD</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13186-2023</t>
        </is>
      </c>
      <c r="B4646" s="1" t="n">
        <v>45002</v>
      </c>
      <c r="C4646" s="1" t="n">
        <v>46103</v>
      </c>
      <c r="D4646" t="inlineStr">
        <is>
          <t>KRONOBERGS LÄN</t>
        </is>
      </c>
      <c r="E4646" t="inlineStr">
        <is>
          <t>TINGSRYD</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51915-2024</t>
        </is>
      </c>
      <c r="B4647" s="1" t="n">
        <v>45607.60341435186</v>
      </c>
      <c r="C4647" s="1" t="n">
        <v>46103</v>
      </c>
      <c r="D4647" t="inlineStr">
        <is>
          <t>KRONOBERGS LÄN</t>
        </is>
      </c>
      <c r="E4647" t="inlineStr">
        <is>
          <t>UPPVIDINGE</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9276-2022</t>
        </is>
      </c>
      <c r="B4648" s="1" t="n">
        <v>44616.44555555555</v>
      </c>
      <c r="C4648" s="1" t="n">
        <v>46103</v>
      </c>
      <c r="D4648" t="inlineStr">
        <is>
          <t>KRONOBERGS LÄN</t>
        </is>
      </c>
      <c r="E4648" t="inlineStr">
        <is>
          <t>MARKARYD</t>
        </is>
      </c>
      <c r="G4648" t="n">
        <v>3.4</v>
      </c>
      <c r="H4648" t="n">
        <v>0</v>
      </c>
      <c r="I4648" t="n">
        <v>0</v>
      </c>
      <c r="J4648" t="n">
        <v>0</v>
      </c>
      <c r="K4648" t="n">
        <v>0</v>
      </c>
      <c r="L4648" t="n">
        <v>0</v>
      </c>
      <c r="M4648" t="n">
        <v>0</v>
      </c>
      <c r="N4648" t="n">
        <v>0</v>
      </c>
      <c r="O4648" t="n">
        <v>0</v>
      </c>
      <c r="P4648" t="n">
        <v>0</v>
      </c>
      <c r="Q4648" t="n">
        <v>0</v>
      </c>
      <c r="R4648" s="2" t="inlineStr"/>
    </row>
    <row r="4649" ht="15" customHeight="1">
      <c r="A4649" t="inlineStr">
        <is>
          <t>A 35171-2025</t>
        </is>
      </c>
      <c r="B4649" s="1" t="n">
        <v>45852.78871527778</v>
      </c>
      <c r="C4649" s="1" t="n">
        <v>46103</v>
      </c>
      <c r="D4649" t="inlineStr">
        <is>
          <t>KRONOBERGS LÄN</t>
        </is>
      </c>
      <c r="E4649" t="inlineStr">
        <is>
          <t>ÄLMHULT</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35140-2025</t>
        </is>
      </c>
      <c r="B4650" s="1" t="n">
        <v>45852.65015046296</v>
      </c>
      <c r="C4650" s="1" t="n">
        <v>46103</v>
      </c>
      <c r="D4650" t="inlineStr">
        <is>
          <t>KRONOBERGS LÄN</t>
        </is>
      </c>
      <c r="E4650" t="inlineStr">
        <is>
          <t>ALVESTA</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41305-2021</t>
        </is>
      </c>
      <c r="B4651" s="1" t="n">
        <v>44424.56576388889</v>
      </c>
      <c r="C4651" s="1" t="n">
        <v>46103</v>
      </c>
      <c r="D4651" t="inlineStr">
        <is>
          <t>KRONOBERGS LÄN</t>
        </is>
      </c>
      <c r="E4651" t="inlineStr">
        <is>
          <t>VÄXJÖ</t>
        </is>
      </c>
      <c r="G4651" t="n">
        <v>3.8</v>
      </c>
      <c r="H4651" t="n">
        <v>0</v>
      </c>
      <c r="I4651" t="n">
        <v>0</v>
      </c>
      <c r="J4651" t="n">
        <v>0</v>
      </c>
      <c r="K4651" t="n">
        <v>0</v>
      </c>
      <c r="L4651" t="n">
        <v>0</v>
      </c>
      <c r="M4651" t="n">
        <v>0</v>
      </c>
      <c r="N4651" t="n">
        <v>0</v>
      </c>
      <c r="O4651" t="n">
        <v>0</v>
      </c>
      <c r="P4651" t="n">
        <v>0</v>
      </c>
      <c r="Q4651" t="n">
        <v>0</v>
      </c>
      <c r="R4651" s="2" t="inlineStr"/>
    </row>
    <row r="4652" ht="15" customHeight="1">
      <c r="A4652" t="inlineStr">
        <is>
          <t>A 35009-2025</t>
        </is>
      </c>
      <c r="B4652" s="1" t="n">
        <v>45851.49091435185</v>
      </c>
      <c r="C4652" s="1" t="n">
        <v>46103</v>
      </c>
      <c r="D4652" t="inlineStr">
        <is>
          <t>KRONOBERGS LÄN</t>
        </is>
      </c>
      <c r="E4652" t="inlineStr">
        <is>
          <t>ALVESTA</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35249-2025</t>
        </is>
      </c>
      <c r="B4653" s="1" t="n">
        <v>45853.67818287037</v>
      </c>
      <c r="C4653" s="1" t="n">
        <v>46103</v>
      </c>
      <c r="D4653" t="inlineStr">
        <is>
          <t>KRONOBERGS LÄN</t>
        </is>
      </c>
      <c r="E4653" t="inlineStr">
        <is>
          <t>ÄLMHULT</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35251-2025</t>
        </is>
      </c>
      <c r="B4654" s="1" t="n">
        <v>45853.69938657407</v>
      </c>
      <c r="C4654" s="1" t="n">
        <v>46103</v>
      </c>
      <c r="D4654" t="inlineStr">
        <is>
          <t>KRONOBERGS LÄN</t>
        </is>
      </c>
      <c r="E4654" t="inlineStr">
        <is>
          <t>VÄXJÖ</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26979-2025</t>
        </is>
      </c>
      <c r="B4655" s="1" t="n">
        <v>45811.4892824074</v>
      </c>
      <c r="C4655" s="1" t="n">
        <v>46103</v>
      </c>
      <c r="D4655" t="inlineStr">
        <is>
          <t>KRONOBERGS LÄN</t>
        </is>
      </c>
      <c r="E4655" t="inlineStr">
        <is>
          <t>LJUNGBY</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37924-2022</t>
        </is>
      </c>
      <c r="B4656" s="1" t="n">
        <v>44811.45271990741</v>
      </c>
      <c r="C4656" s="1" t="n">
        <v>46103</v>
      </c>
      <c r="D4656" t="inlineStr">
        <is>
          <t>KRONOBERGS LÄN</t>
        </is>
      </c>
      <c r="E4656" t="inlineStr">
        <is>
          <t>VÄXJÖ</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31022-2023</t>
        </is>
      </c>
      <c r="B4657" s="1" t="n">
        <v>45113.57717592592</v>
      </c>
      <c r="C4657" s="1" t="n">
        <v>46103</v>
      </c>
      <c r="D4657" t="inlineStr">
        <is>
          <t>KRONOBERGS LÄN</t>
        </is>
      </c>
      <c r="E4657" t="inlineStr">
        <is>
          <t>VÄXJÖ</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31029-2023</t>
        </is>
      </c>
      <c r="B4658" s="1" t="n">
        <v>45113</v>
      </c>
      <c r="C4658" s="1" t="n">
        <v>46103</v>
      </c>
      <c r="D4658" t="inlineStr">
        <is>
          <t>KRONOBERGS LÄN</t>
        </is>
      </c>
      <c r="E4658" t="inlineStr">
        <is>
          <t>VÄXJÖ</t>
        </is>
      </c>
      <c r="G4658" t="n">
        <v>4.7</v>
      </c>
      <c r="H4658" t="n">
        <v>0</v>
      </c>
      <c r="I4658" t="n">
        <v>0</v>
      </c>
      <c r="J4658" t="n">
        <v>0</v>
      </c>
      <c r="K4658" t="n">
        <v>0</v>
      </c>
      <c r="L4658" t="n">
        <v>0</v>
      </c>
      <c r="M4658" t="n">
        <v>0</v>
      </c>
      <c r="N4658" t="n">
        <v>0</v>
      </c>
      <c r="O4658" t="n">
        <v>0</v>
      </c>
      <c r="P4658" t="n">
        <v>0</v>
      </c>
      <c r="Q4658" t="n">
        <v>0</v>
      </c>
      <c r="R4658" s="2" t="inlineStr"/>
    </row>
    <row r="4659" ht="15" customHeight="1">
      <c r="A4659" t="inlineStr">
        <is>
          <t>A 11352-2025</t>
        </is>
      </c>
      <c r="B4659" s="1" t="n">
        <v>45726.52251157408</v>
      </c>
      <c r="C4659" s="1" t="n">
        <v>46103</v>
      </c>
      <c r="D4659" t="inlineStr">
        <is>
          <t>KRONOBERGS LÄN</t>
        </is>
      </c>
      <c r="E4659" t="inlineStr">
        <is>
          <t>ÄLMHULT</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20858-2024</t>
        </is>
      </c>
      <c r="B4660" s="1" t="n">
        <v>45439.42700231481</v>
      </c>
      <c r="C4660" s="1" t="n">
        <v>46103</v>
      </c>
      <c r="D4660" t="inlineStr">
        <is>
          <t>KRONOBERGS LÄN</t>
        </is>
      </c>
      <c r="E4660" t="inlineStr">
        <is>
          <t>TINGSRYD</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35074-2025</t>
        </is>
      </c>
      <c r="B4661" s="1" t="n">
        <v>45852.4811574074</v>
      </c>
      <c r="C4661" s="1" t="n">
        <v>46103</v>
      </c>
      <c r="D4661" t="inlineStr">
        <is>
          <t>KRONOBERGS LÄN</t>
        </is>
      </c>
      <c r="E4661" t="inlineStr">
        <is>
          <t>ALVESTA</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10860-2025</t>
        </is>
      </c>
      <c r="B4662" s="1" t="n">
        <v>45722.59981481481</v>
      </c>
      <c r="C4662" s="1" t="n">
        <v>46103</v>
      </c>
      <c r="D4662" t="inlineStr">
        <is>
          <t>KRONOBERGS LÄN</t>
        </is>
      </c>
      <c r="E4662" t="inlineStr">
        <is>
          <t>ALVESTA</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48828-2023</t>
        </is>
      </c>
      <c r="B4663" s="1" t="n">
        <v>45209.37945601852</v>
      </c>
      <c r="C4663" s="1" t="n">
        <v>46103</v>
      </c>
      <c r="D4663" t="inlineStr">
        <is>
          <t>KRONOBERGS LÄN</t>
        </is>
      </c>
      <c r="E4663" t="inlineStr">
        <is>
          <t>MARKARYD</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64680-2023</t>
        </is>
      </c>
      <c r="B4664" s="1" t="n">
        <v>45281.62631944445</v>
      </c>
      <c r="C4664" s="1" t="n">
        <v>46103</v>
      </c>
      <c r="D4664" t="inlineStr">
        <is>
          <t>KRONOBERGS LÄN</t>
        </is>
      </c>
      <c r="E4664" t="inlineStr">
        <is>
          <t>LJUNGBY</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11348-2025</t>
        </is>
      </c>
      <c r="B4665" s="1" t="n">
        <v>45726.50618055555</v>
      </c>
      <c r="C4665" s="1" t="n">
        <v>46103</v>
      </c>
      <c r="D4665" t="inlineStr">
        <is>
          <t>KRONOBERGS LÄN</t>
        </is>
      </c>
      <c r="E4665" t="inlineStr">
        <is>
          <t>ÄLMHULT</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4963-2023</t>
        </is>
      </c>
      <c r="B4666" s="1" t="n">
        <v>44958.44938657407</v>
      </c>
      <c r="C4666" s="1" t="n">
        <v>46103</v>
      </c>
      <c r="D4666" t="inlineStr">
        <is>
          <t>KRONOBERGS LÄN</t>
        </is>
      </c>
      <c r="E4666" t="inlineStr">
        <is>
          <t>MARKARYD</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35038-2025</t>
        </is>
      </c>
      <c r="B4667" s="1" t="n">
        <v>45852.33880787037</v>
      </c>
      <c r="C4667" s="1" t="n">
        <v>46103</v>
      </c>
      <c r="D4667" t="inlineStr">
        <is>
          <t>KRONOBERGS LÄN</t>
        </is>
      </c>
      <c r="E4667" t="inlineStr">
        <is>
          <t>LJUNGBY</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54910-2022</t>
        </is>
      </c>
      <c r="B4668" s="1" t="n">
        <v>44886</v>
      </c>
      <c r="C4668" s="1" t="n">
        <v>46103</v>
      </c>
      <c r="D4668" t="inlineStr">
        <is>
          <t>KRONOBERGS LÄN</t>
        </is>
      </c>
      <c r="E4668" t="inlineStr">
        <is>
          <t>LJUNGBY</t>
        </is>
      </c>
      <c r="G4668" t="n">
        <v>3.3</v>
      </c>
      <c r="H4668" t="n">
        <v>0</v>
      </c>
      <c r="I4668" t="n">
        <v>0</v>
      </c>
      <c r="J4668" t="n">
        <v>0</v>
      </c>
      <c r="K4668" t="n">
        <v>0</v>
      </c>
      <c r="L4668" t="n">
        <v>0</v>
      </c>
      <c r="M4668" t="n">
        <v>0</v>
      </c>
      <c r="N4668" t="n">
        <v>0</v>
      </c>
      <c r="O4668" t="n">
        <v>0</v>
      </c>
      <c r="P4668" t="n">
        <v>0</v>
      </c>
      <c r="Q4668" t="n">
        <v>0</v>
      </c>
      <c r="R4668" s="2" t="inlineStr"/>
    </row>
    <row r="4669" ht="15" customHeight="1">
      <c r="A4669" t="inlineStr">
        <is>
          <t>A 27548-2021</t>
        </is>
      </c>
      <c r="B4669" s="1" t="n">
        <v>44351.78537037037</v>
      </c>
      <c r="C4669" s="1" t="n">
        <v>46103</v>
      </c>
      <c r="D4669" t="inlineStr">
        <is>
          <t>KRONOBERGS LÄN</t>
        </is>
      </c>
      <c r="E4669" t="inlineStr">
        <is>
          <t>VÄXJÖ</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61592-2023</t>
        </is>
      </c>
      <c r="B4670" s="1" t="n">
        <v>45265.48799768519</v>
      </c>
      <c r="C4670" s="1" t="n">
        <v>46103</v>
      </c>
      <c r="D4670" t="inlineStr">
        <is>
          <t>KRONOBERGS LÄN</t>
        </is>
      </c>
      <c r="E4670" t="inlineStr">
        <is>
          <t>LJUNGBY</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26795-2024</t>
        </is>
      </c>
      <c r="B4671" s="1" t="n">
        <v>45470.5</v>
      </c>
      <c r="C4671" s="1" t="n">
        <v>46103</v>
      </c>
      <c r="D4671" t="inlineStr">
        <is>
          <t>KRONOBERGS LÄN</t>
        </is>
      </c>
      <c r="E4671" t="inlineStr">
        <is>
          <t>MARKARYD</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32637-2025</t>
        </is>
      </c>
      <c r="B4672" s="1" t="n">
        <v>45838.65708333333</v>
      </c>
      <c r="C4672" s="1" t="n">
        <v>46103</v>
      </c>
      <c r="D4672" t="inlineStr">
        <is>
          <t>KRONOBERGS LÄN</t>
        </is>
      </c>
      <c r="E4672" t="inlineStr">
        <is>
          <t>LJUNGBY</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42190-2023</t>
        </is>
      </c>
      <c r="B4673" s="1" t="n">
        <v>45179</v>
      </c>
      <c r="C4673" s="1" t="n">
        <v>46103</v>
      </c>
      <c r="D4673" t="inlineStr">
        <is>
          <t>KRONOBERGS LÄN</t>
        </is>
      </c>
      <c r="E4673" t="inlineStr">
        <is>
          <t>LJUNGBY</t>
        </is>
      </c>
      <c r="G4673" t="n">
        <v>5.7</v>
      </c>
      <c r="H4673" t="n">
        <v>0</v>
      </c>
      <c r="I4673" t="n">
        <v>0</v>
      </c>
      <c r="J4673" t="n">
        <v>0</v>
      </c>
      <c r="K4673" t="n">
        <v>0</v>
      </c>
      <c r="L4673" t="n">
        <v>0</v>
      </c>
      <c r="M4673" t="n">
        <v>0</v>
      </c>
      <c r="N4673" t="n">
        <v>0</v>
      </c>
      <c r="O4673" t="n">
        <v>0</v>
      </c>
      <c r="P4673" t="n">
        <v>0</v>
      </c>
      <c r="Q4673" t="n">
        <v>0</v>
      </c>
      <c r="R4673" s="2" t="inlineStr"/>
    </row>
    <row r="4674" ht="15" customHeight="1">
      <c r="A4674" t="inlineStr">
        <is>
          <t>A 35321-2025</t>
        </is>
      </c>
      <c r="B4674" s="1" t="n">
        <v>45854</v>
      </c>
      <c r="C4674" s="1" t="n">
        <v>46103</v>
      </c>
      <c r="D4674" t="inlineStr">
        <is>
          <t>KRONOBERGS LÄN</t>
        </is>
      </c>
      <c r="E4674" t="inlineStr">
        <is>
          <t>ALVESTA</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35341-2025</t>
        </is>
      </c>
      <c r="B4675" s="1" t="n">
        <v>45854.59864583334</v>
      </c>
      <c r="C4675" s="1" t="n">
        <v>46103</v>
      </c>
      <c r="D4675" t="inlineStr">
        <is>
          <t>KRONOBERGS LÄN</t>
        </is>
      </c>
      <c r="E4675" t="inlineStr">
        <is>
          <t>VÄXJÖ</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54229-2021</t>
        </is>
      </c>
      <c r="B4676" s="1" t="n">
        <v>44470</v>
      </c>
      <c r="C4676" s="1" t="n">
        <v>46103</v>
      </c>
      <c r="D4676" t="inlineStr">
        <is>
          <t>KRONOBERGS LÄN</t>
        </is>
      </c>
      <c r="E4676" t="inlineStr">
        <is>
          <t>TINGSRYD</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35346-2025</t>
        </is>
      </c>
      <c r="B4677" s="1" t="n">
        <v>45854.61896990741</v>
      </c>
      <c r="C4677" s="1" t="n">
        <v>46103</v>
      </c>
      <c r="D4677" t="inlineStr">
        <is>
          <t>KRONOBERGS LÄN</t>
        </is>
      </c>
      <c r="E4677" t="inlineStr">
        <is>
          <t>ÄLMHULT</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35348-2025</t>
        </is>
      </c>
      <c r="B4678" s="1" t="n">
        <v>45854.62081018519</v>
      </c>
      <c r="C4678" s="1" t="n">
        <v>46103</v>
      </c>
      <c r="D4678" t="inlineStr">
        <is>
          <t>KRONOBERGS LÄN</t>
        </is>
      </c>
      <c r="E4678" t="inlineStr">
        <is>
          <t>UPPVIDINGE</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35369-2025</t>
        </is>
      </c>
      <c r="B4679" s="1" t="n">
        <v>45854.7780787037</v>
      </c>
      <c r="C4679" s="1" t="n">
        <v>46103</v>
      </c>
      <c r="D4679" t="inlineStr">
        <is>
          <t>KRONOBERGS LÄN</t>
        </is>
      </c>
      <c r="E4679" t="inlineStr">
        <is>
          <t>ALVESTA</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17146-2025</t>
        </is>
      </c>
      <c r="B4680" s="1" t="n">
        <v>45756.29621527778</v>
      </c>
      <c r="C4680" s="1" t="n">
        <v>46103</v>
      </c>
      <c r="D4680" t="inlineStr">
        <is>
          <t>KRONOBERGS LÄN</t>
        </is>
      </c>
      <c r="E4680" t="inlineStr">
        <is>
          <t>LJUNGBY</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17203-2025</t>
        </is>
      </c>
      <c r="B4681" s="1" t="n">
        <v>45756.42202546296</v>
      </c>
      <c r="C4681" s="1" t="n">
        <v>46103</v>
      </c>
      <c r="D4681" t="inlineStr">
        <is>
          <t>KRONOBERGS LÄN</t>
        </is>
      </c>
      <c r="E4681" t="inlineStr">
        <is>
          <t>LESSEBO</t>
        </is>
      </c>
      <c r="G4681" t="n">
        <v>2.9</v>
      </c>
      <c r="H4681" t="n">
        <v>0</v>
      </c>
      <c r="I4681" t="n">
        <v>0</v>
      </c>
      <c r="J4681" t="n">
        <v>0</v>
      </c>
      <c r="K4681" t="n">
        <v>0</v>
      </c>
      <c r="L4681" t="n">
        <v>0</v>
      </c>
      <c r="M4681" t="n">
        <v>0</v>
      </c>
      <c r="N4681" t="n">
        <v>0</v>
      </c>
      <c r="O4681" t="n">
        <v>0</v>
      </c>
      <c r="P4681" t="n">
        <v>0</v>
      </c>
      <c r="Q4681" t="n">
        <v>0</v>
      </c>
      <c r="R4681" s="2" t="inlineStr"/>
    </row>
    <row r="4682" ht="15" customHeight="1">
      <c r="A4682" t="inlineStr">
        <is>
          <t>A 7968-2025</t>
        </is>
      </c>
      <c r="B4682" s="1" t="n">
        <v>45707.45516203704</v>
      </c>
      <c r="C4682" s="1" t="n">
        <v>46103</v>
      </c>
      <c r="D4682" t="inlineStr">
        <is>
          <t>KRONOBERGS LÄN</t>
        </is>
      </c>
      <c r="E4682" t="inlineStr">
        <is>
          <t>ÄLMHULT</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1365-2024</t>
        </is>
      </c>
      <c r="B4683" s="1" t="n">
        <v>45303.5246412037</v>
      </c>
      <c r="C4683" s="1" t="n">
        <v>46103</v>
      </c>
      <c r="D4683" t="inlineStr">
        <is>
          <t>KRONOBERGS LÄN</t>
        </is>
      </c>
      <c r="E4683" t="inlineStr">
        <is>
          <t>ÄLMHULT</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61970-2024</t>
        </is>
      </c>
      <c r="B4684" s="1" t="n">
        <v>45653.59204861111</v>
      </c>
      <c r="C4684" s="1" t="n">
        <v>46103</v>
      </c>
      <c r="D4684" t="inlineStr">
        <is>
          <t>KRONOBERGS LÄN</t>
        </is>
      </c>
      <c r="E4684" t="inlineStr">
        <is>
          <t>ÄLMHULT</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61971-2024</t>
        </is>
      </c>
      <c r="B4685" s="1" t="n">
        <v>45653.59679398148</v>
      </c>
      <c r="C4685" s="1" t="n">
        <v>46103</v>
      </c>
      <c r="D4685" t="inlineStr">
        <is>
          <t>KRONOBERGS LÄN</t>
        </is>
      </c>
      <c r="E4685" t="inlineStr">
        <is>
          <t>ÄLMHULT</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32860-2025</t>
        </is>
      </c>
      <c r="B4686" s="1" t="n">
        <v>45839.58186342593</v>
      </c>
      <c r="C4686" s="1" t="n">
        <v>46103</v>
      </c>
      <c r="D4686" t="inlineStr">
        <is>
          <t>KRONOBERGS LÄN</t>
        </is>
      </c>
      <c r="E4686" t="inlineStr">
        <is>
          <t>ÄLMHULT</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35345-2025</t>
        </is>
      </c>
      <c r="B4687" s="1" t="n">
        <v>45854.61559027778</v>
      </c>
      <c r="C4687" s="1" t="n">
        <v>46103</v>
      </c>
      <c r="D4687" t="inlineStr">
        <is>
          <t>KRONOBERGS LÄN</t>
        </is>
      </c>
      <c r="E4687" t="inlineStr">
        <is>
          <t>ÄLMHULT</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6812-2024</t>
        </is>
      </c>
      <c r="B4688" s="1" t="n">
        <v>45342.58723379629</v>
      </c>
      <c r="C4688" s="1" t="n">
        <v>46103</v>
      </c>
      <c r="D4688" t="inlineStr">
        <is>
          <t>KRONOBERGS LÄN</t>
        </is>
      </c>
      <c r="E4688" t="inlineStr">
        <is>
          <t>ALVESTA</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43827-2023</t>
        </is>
      </c>
      <c r="B4689" s="1" t="n">
        <v>45187</v>
      </c>
      <c r="C4689" s="1" t="n">
        <v>46103</v>
      </c>
      <c r="D4689" t="inlineStr">
        <is>
          <t>KRONOBERGS LÄN</t>
        </is>
      </c>
      <c r="E4689" t="inlineStr">
        <is>
          <t>ÄLMHULT</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9881-2025</t>
        </is>
      </c>
      <c r="B4690" s="1" t="n">
        <v>45716.65662037037</v>
      </c>
      <c r="C4690" s="1" t="n">
        <v>46103</v>
      </c>
      <c r="D4690" t="inlineStr">
        <is>
          <t>KRONOBERGS LÄN</t>
        </is>
      </c>
      <c r="E4690" t="inlineStr">
        <is>
          <t>ÄLMHULT</t>
        </is>
      </c>
      <c r="F4690" t="inlineStr">
        <is>
          <t>Sveaskog</t>
        </is>
      </c>
      <c r="G4690" t="n">
        <v>8.4</v>
      </c>
      <c r="H4690" t="n">
        <v>0</v>
      </c>
      <c r="I4690" t="n">
        <v>0</v>
      </c>
      <c r="J4690" t="n">
        <v>0</v>
      </c>
      <c r="K4690" t="n">
        <v>0</v>
      </c>
      <c r="L4690" t="n">
        <v>0</v>
      </c>
      <c r="M4690" t="n">
        <v>0</v>
      </c>
      <c r="N4690" t="n">
        <v>0</v>
      </c>
      <c r="O4690" t="n">
        <v>0</v>
      </c>
      <c r="P4690" t="n">
        <v>0</v>
      </c>
      <c r="Q4690" t="n">
        <v>0</v>
      </c>
      <c r="R4690" s="2" t="inlineStr"/>
    </row>
    <row r="4691" ht="15" customHeight="1">
      <c r="A4691" t="inlineStr">
        <is>
          <t>A 9883-2025</t>
        </is>
      </c>
      <c r="B4691" s="1" t="n">
        <v>45716.65777777778</v>
      </c>
      <c r="C4691" s="1" t="n">
        <v>46103</v>
      </c>
      <c r="D4691" t="inlineStr">
        <is>
          <t>KRONOBERGS LÄN</t>
        </is>
      </c>
      <c r="E4691" t="inlineStr">
        <is>
          <t>ÄLMHULT</t>
        </is>
      </c>
      <c r="F4691" t="inlineStr">
        <is>
          <t>Sveaskog</t>
        </is>
      </c>
      <c r="G4691" t="n">
        <v>0.3</v>
      </c>
      <c r="H4691" t="n">
        <v>0</v>
      </c>
      <c r="I4691" t="n">
        <v>0</v>
      </c>
      <c r="J4691" t="n">
        <v>0</v>
      </c>
      <c r="K4691" t="n">
        <v>0</v>
      </c>
      <c r="L4691" t="n">
        <v>0</v>
      </c>
      <c r="M4691" t="n">
        <v>0</v>
      </c>
      <c r="N4691" t="n">
        <v>0</v>
      </c>
      <c r="O4691" t="n">
        <v>0</v>
      </c>
      <c r="P4691" t="n">
        <v>0</v>
      </c>
      <c r="Q4691" t="n">
        <v>0</v>
      </c>
      <c r="R4691" s="2" t="inlineStr"/>
    </row>
    <row r="4692" ht="15" customHeight="1">
      <c r="A4692" t="inlineStr">
        <is>
          <t>A 11934-2023</t>
        </is>
      </c>
      <c r="B4692" s="1" t="n">
        <v>44995</v>
      </c>
      <c r="C4692" s="1" t="n">
        <v>46103</v>
      </c>
      <c r="D4692" t="inlineStr">
        <is>
          <t>KRONOBERGS LÄN</t>
        </is>
      </c>
      <c r="E4692" t="inlineStr">
        <is>
          <t>TINGSRYD</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39483-2022</t>
        </is>
      </c>
      <c r="B4693" s="1" t="n">
        <v>44818.43640046296</v>
      </c>
      <c r="C4693" s="1" t="n">
        <v>46103</v>
      </c>
      <c r="D4693" t="inlineStr">
        <is>
          <t>KRONOBERGS LÄN</t>
        </is>
      </c>
      <c r="E4693" t="inlineStr">
        <is>
          <t>MARKARYD</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61112-2022</t>
        </is>
      </c>
      <c r="B4694" s="1" t="n">
        <v>44915.41944444444</v>
      </c>
      <c r="C4694" s="1" t="n">
        <v>46103</v>
      </c>
      <c r="D4694" t="inlineStr">
        <is>
          <t>KRONOBERGS LÄN</t>
        </is>
      </c>
      <c r="E4694" t="inlineStr">
        <is>
          <t>UPPVIDINGE</t>
        </is>
      </c>
      <c r="G4694" t="n">
        <v>12.5</v>
      </c>
      <c r="H4694" t="n">
        <v>0</v>
      </c>
      <c r="I4694" t="n">
        <v>0</v>
      </c>
      <c r="J4694" t="n">
        <v>0</v>
      </c>
      <c r="K4694" t="n">
        <v>0</v>
      </c>
      <c r="L4694" t="n">
        <v>0</v>
      </c>
      <c r="M4694" t="n">
        <v>0</v>
      </c>
      <c r="N4694" t="n">
        <v>0</v>
      </c>
      <c r="O4694" t="n">
        <v>0</v>
      </c>
      <c r="P4694" t="n">
        <v>0</v>
      </c>
      <c r="Q4694" t="n">
        <v>0</v>
      </c>
      <c r="R4694" s="2" t="inlineStr"/>
    </row>
    <row r="4695" ht="15" customHeight="1">
      <c r="A4695" t="inlineStr">
        <is>
          <t>A 1265-2025</t>
        </is>
      </c>
      <c r="B4695" s="1" t="n">
        <v>45667.4771412037</v>
      </c>
      <c r="C4695" s="1" t="n">
        <v>46103</v>
      </c>
      <c r="D4695" t="inlineStr">
        <is>
          <t>KRONOBERGS LÄN</t>
        </is>
      </c>
      <c r="E4695" t="inlineStr">
        <is>
          <t>LJUNGBY</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33949-2022</t>
        </is>
      </c>
      <c r="B4696" s="1" t="n">
        <v>44790</v>
      </c>
      <c r="C4696" s="1" t="n">
        <v>46103</v>
      </c>
      <c r="D4696" t="inlineStr">
        <is>
          <t>KRONOBERGS LÄN</t>
        </is>
      </c>
      <c r="E4696" t="inlineStr">
        <is>
          <t>UPPVIDINGE</t>
        </is>
      </c>
      <c r="F4696" t="inlineStr">
        <is>
          <t>Kyrkan</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3510-2024</t>
        </is>
      </c>
      <c r="B4697" s="1" t="n">
        <v>45320</v>
      </c>
      <c r="C4697" s="1" t="n">
        <v>46103</v>
      </c>
      <c r="D4697" t="inlineStr">
        <is>
          <t>KRONOBERGS LÄN</t>
        </is>
      </c>
      <c r="E4697" t="inlineStr">
        <is>
          <t>ALVESTA</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3606-2024</t>
        </is>
      </c>
      <c r="B4698" s="1" t="n">
        <v>45320</v>
      </c>
      <c r="C4698" s="1" t="n">
        <v>46103</v>
      </c>
      <c r="D4698" t="inlineStr">
        <is>
          <t>KRONOBERGS LÄN</t>
        </is>
      </c>
      <c r="E4698" t="inlineStr">
        <is>
          <t>UPPVIDINGE</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27686-2021</t>
        </is>
      </c>
      <c r="B4699" s="1" t="n">
        <v>44354</v>
      </c>
      <c r="C4699" s="1" t="n">
        <v>46103</v>
      </c>
      <c r="D4699" t="inlineStr">
        <is>
          <t>KRONOBERGS LÄN</t>
        </is>
      </c>
      <c r="E4699" t="inlineStr">
        <is>
          <t>VÄXJÖ</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8887-2023</t>
        </is>
      </c>
      <c r="B4700" s="1" t="n">
        <v>44979.31732638889</v>
      </c>
      <c r="C4700" s="1" t="n">
        <v>46103</v>
      </c>
      <c r="D4700" t="inlineStr">
        <is>
          <t>KRONOBERGS LÄN</t>
        </is>
      </c>
      <c r="E4700" t="inlineStr">
        <is>
          <t>ÄLMHULT</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28665-2025</t>
        </is>
      </c>
      <c r="B4701" s="1" t="n">
        <v>45819.6612962963</v>
      </c>
      <c r="C4701" s="1" t="n">
        <v>46103</v>
      </c>
      <c r="D4701" t="inlineStr">
        <is>
          <t>KRONOBERGS LÄN</t>
        </is>
      </c>
      <c r="E4701" t="inlineStr">
        <is>
          <t>ÄLMHULT</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35523-2025</t>
        </is>
      </c>
      <c r="B4702" s="1" t="n">
        <v>45856.42827546296</v>
      </c>
      <c r="C4702" s="1" t="n">
        <v>46103</v>
      </c>
      <c r="D4702" t="inlineStr">
        <is>
          <t>KRONOBERGS LÄN</t>
        </is>
      </c>
      <c r="E4702" t="inlineStr">
        <is>
          <t>ALVESTA</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42021-2024</t>
        </is>
      </c>
      <c r="B4703" s="1" t="n">
        <v>45561.7159837963</v>
      </c>
      <c r="C4703" s="1" t="n">
        <v>46103</v>
      </c>
      <c r="D4703" t="inlineStr">
        <is>
          <t>KRONOBERGS LÄN</t>
        </is>
      </c>
      <c r="E4703" t="inlineStr">
        <is>
          <t>LJUNGBY</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35601-2025</t>
        </is>
      </c>
      <c r="B4704" s="1" t="n">
        <v>45858.99248842592</v>
      </c>
      <c r="C4704" s="1" t="n">
        <v>46103</v>
      </c>
      <c r="D4704" t="inlineStr">
        <is>
          <t>KRONOBERGS LÄN</t>
        </is>
      </c>
      <c r="E4704" t="inlineStr">
        <is>
          <t>ALVESTA</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55443-2024</t>
        </is>
      </c>
      <c r="B4705" s="1" t="n">
        <v>45622</v>
      </c>
      <c r="C4705" s="1" t="n">
        <v>46103</v>
      </c>
      <c r="D4705" t="inlineStr">
        <is>
          <t>KRONOBERGS LÄN</t>
        </is>
      </c>
      <c r="E4705" t="inlineStr">
        <is>
          <t>TINGSRYD</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30018-2023</t>
        </is>
      </c>
      <c r="B4706" s="1" t="n">
        <v>45109</v>
      </c>
      <c r="C4706" s="1" t="n">
        <v>46103</v>
      </c>
      <c r="D4706" t="inlineStr">
        <is>
          <t>KRONOBERGS LÄN</t>
        </is>
      </c>
      <c r="E4706" t="inlineStr">
        <is>
          <t>LJUNGBY</t>
        </is>
      </c>
      <c r="G4706" t="n">
        <v>13.6</v>
      </c>
      <c r="H4706" t="n">
        <v>0</v>
      </c>
      <c r="I4706" t="n">
        <v>0</v>
      </c>
      <c r="J4706" t="n">
        <v>0</v>
      </c>
      <c r="K4706" t="n">
        <v>0</v>
      </c>
      <c r="L4706" t="n">
        <v>0</v>
      </c>
      <c r="M4706" t="n">
        <v>0</v>
      </c>
      <c r="N4706" t="n">
        <v>0</v>
      </c>
      <c r="O4706" t="n">
        <v>0</v>
      </c>
      <c r="P4706" t="n">
        <v>0</v>
      </c>
      <c r="Q4706" t="n">
        <v>0</v>
      </c>
      <c r="R4706" s="2" t="inlineStr"/>
    </row>
    <row r="4707" ht="15" customHeight="1">
      <c r="A4707" t="inlineStr">
        <is>
          <t>A 33354-2023</t>
        </is>
      </c>
      <c r="B4707" s="1" t="n">
        <v>45117</v>
      </c>
      <c r="C4707" s="1" t="n">
        <v>46103</v>
      </c>
      <c r="D4707" t="inlineStr">
        <is>
          <t>KRONOBERGS LÄN</t>
        </is>
      </c>
      <c r="E4707" t="inlineStr">
        <is>
          <t>TINGSRYD</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33437-2023</t>
        </is>
      </c>
      <c r="B4708" s="1" t="n">
        <v>45129.5234375</v>
      </c>
      <c r="C4708" s="1" t="n">
        <v>46103</v>
      </c>
      <c r="D4708" t="inlineStr">
        <is>
          <t>KRONOBERGS LÄN</t>
        </is>
      </c>
      <c r="E4708" t="inlineStr">
        <is>
          <t>TINGSRYD</t>
        </is>
      </c>
      <c r="G4708" t="n">
        <v>3.4</v>
      </c>
      <c r="H4708" t="n">
        <v>0</v>
      </c>
      <c r="I4708" t="n">
        <v>0</v>
      </c>
      <c r="J4708" t="n">
        <v>0</v>
      </c>
      <c r="K4708" t="n">
        <v>0</v>
      </c>
      <c r="L4708" t="n">
        <v>0</v>
      </c>
      <c r="M4708" t="n">
        <v>0</v>
      </c>
      <c r="N4708" t="n">
        <v>0</v>
      </c>
      <c r="O4708" t="n">
        <v>0</v>
      </c>
      <c r="P4708" t="n">
        <v>0</v>
      </c>
      <c r="Q4708" t="n">
        <v>0</v>
      </c>
      <c r="R4708" s="2" t="inlineStr"/>
    </row>
    <row r="4709" ht="15" customHeight="1">
      <c r="A4709" t="inlineStr">
        <is>
          <t>A 38925-2024</t>
        </is>
      </c>
      <c r="B4709" s="1" t="n">
        <v>45547</v>
      </c>
      <c r="C4709" s="1" t="n">
        <v>46103</v>
      </c>
      <c r="D4709" t="inlineStr">
        <is>
          <t>KRONOBERGS LÄN</t>
        </is>
      </c>
      <c r="E4709" t="inlineStr">
        <is>
          <t>TINGSRYD</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46067-2024</t>
        </is>
      </c>
      <c r="B4710" s="1" t="n">
        <v>45581.29194444444</v>
      </c>
      <c r="C4710" s="1" t="n">
        <v>46103</v>
      </c>
      <c r="D4710" t="inlineStr">
        <is>
          <t>KRONOBERGS LÄN</t>
        </is>
      </c>
      <c r="E4710" t="inlineStr">
        <is>
          <t>ÄLMHULT</t>
        </is>
      </c>
      <c r="G4710" t="n">
        <v>5.7</v>
      </c>
      <c r="H4710" t="n">
        <v>0</v>
      </c>
      <c r="I4710" t="n">
        <v>0</v>
      </c>
      <c r="J4710" t="n">
        <v>0</v>
      </c>
      <c r="K4710" t="n">
        <v>0</v>
      </c>
      <c r="L4710" t="n">
        <v>0</v>
      </c>
      <c r="M4710" t="n">
        <v>0</v>
      </c>
      <c r="N4710" t="n">
        <v>0</v>
      </c>
      <c r="O4710" t="n">
        <v>0</v>
      </c>
      <c r="P4710" t="n">
        <v>0</v>
      </c>
      <c r="Q4710" t="n">
        <v>0</v>
      </c>
      <c r="R4710" s="2" t="inlineStr"/>
    </row>
    <row r="4711" ht="15" customHeight="1">
      <c r="A4711" t="inlineStr">
        <is>
          <t>A 18749-2025</t>
        </is>
      </c>
      <c r="B4711" s="1" t="n">
        <v>45763.79082175926</v>
      </c>
      <c r="C4711" s="1" t="n">
        <v>46103</v>
      </c>
      <c r="D4711" t="inlineStr">
        <is>
          <t>KRONOBERGS LÄN</t>
        </is>
      </c>
      <c r="E4711" t="inlineStr">
        <is>
          <t>ÄLMHULT</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18750-2025</t>
        </is>
      </c>
      <c r="B4712" s="1" t="n">
        <v>45763.7996412037</v>
      </c>
      <c r="C4712" s="1" t="n">
        <v>46103</v>
      </c>
      <c r="D4712" t="inlineStr">
        <is>
          <t>KRONOBERGS LÄN</t>
        </is>
      </c>
      <c r="E4712" t="inlineStr">
        <is>
          <t>ÄLMHULT</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14969-2022</t>
        </is>
      </c>
      <c r="B4713" s="1" t="n">
        <v>44657</v>
      </c>
      <c r="C4713" s="1" t="n">
        <v>46103</v>
      </c>
      <c r="D4713" t="inlineStr">
        <is>
          <t>KRONOBERGS LÄN</t>
        </is>
      </c>
      <c r="E4713" t="inlineStr">
        <is>
          <t>ALVESTA</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37884-2023</t>
        </is>
      </c>
      <c r="B4714" s="1" t="n">
        <v>45160</v>
      </c>
      <c r="C4714" s="1" t="n">
        <v>46103</v>
      </c>
      <c r="D4714" t="inlineStr">
        <is>
          <t>KRONOBERGS LÄN</t>
        </is>
      </c>
      <c r="E4714" t="inlineStr">
        <is>
          <t>MARKARYD</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57443-2022</t>
        </is>
      </c>
      <c r="B4715" s="1" t="n">
        <v>44896</v>
      </c>
      <c r="C4715" s="1" t="n">
        <v>46103</v>
      </c>
      <c r="D4715" t="inlineStr">
        <is>
          <t>KRONOBERGS LÄN</t>
        </is>
      </c>
      <c r="E4715" t="inlineStr">
        <is>
          <t>VÄXJÖ</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60760-2022</t>
        </is>
      </c>
      <c r="B4716" s="1" t="n">
        <v>44914</v>
      </c>
      <c r="C4716" s="1" t="n">
        <v>46103</v>
      </c>
      <c r="D4716" t="inlineStr">
        <is>
          <t>KRONOBERGS LÄN</t>
        </is>
      </c>
      <c r="E4716" t="inlineStr">
        <is>
          <t>ALVESTA</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35317-2024</t>
        </is>
      </c>
      <c r="B4717" s="1" t="n">
        <v>45530.69050925926</v>
      </c>
      <c r="C4717" s="1" t="n">
        <v>46103</v>
      </c>
      <c r="D4717" t="inlineStr">
        <is>
          <t>KRONOBERGS LÄN</t>
        </is>
      </c>
      <c r="E4717" t="inlineStr">
        <is>
          <t>LJUNGBY</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23538-2025</t>
        </is>
      </c>
      <c r="B4718" s="1" t="n">
        <v>45792.55155092593</v>
      </c>
      <c r="C4718" s="1" t="n">
        <v>46103</v>
      </c>
      <c r="D4718" t="inlineStr">
        <is>
          <t>KRONOBERGS LÄN</t>
        </is>
      </c>
      <c r="E4718" t="inlineStr">
        <is>
          <t>ÄLMHULT</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27019-2025</t>
        </is>
      </c>
      <c r="B4719" s="1" t="n">
        <v>45811.57001157408</v>
      </c>
      <c r="C4719" s="1" t="n">
        <v>46103</v>
      </c>
      <c r="D4719" t="inlineStr">
        <is>
          <t>KRONOBERGS LÄN</t>
        </is>
      </c>
      <c r="E4719" t="inlineStr">
        <is>
          <t>LJUNGBY</t>
        </is>
      </c>
      <c r="G4719" t="n">
        <v>5.4</v>
      </c>
      <c r="H4719" t="n">
        <v>0</v>
      </c>
      <c r="I4719" t="n">
        <v>0</v>
      </c>
      <c r="J4719" t="n">
        <v>0</v>
      </c>
      <c r="K4719" t="n">
        <v>0</v>
      </c>
      <c r="L4719" t="n">
        <v>0</v>
      </c>
      <c r="M4719" t="n">
        <v>0</v>
      </c>
      <c r="N4719" t="n">
        <v>0</v>
      </c>
      <c r="O4719" t="n">
        <v>0</v>
      </c>
      <c r="P4719" t="n">
        <v>0</v>
      </c>
      <c r="Q4719" t="n">
        <v>0</v>
      </c>
      <c r="R4719" s="2" t="inlineStr"/>
    </row>
    <row r="4720" ht="15" customHeight="1">
      <c r="A4720" t="inlineStr">
        <is>
          <t>A 48639-2023</t>
        </is>
      </c>
      <c r="B4720" s="1" t="n">
        <v>45202</v>
      </c>
      <c r="C4720" s="1" t="n">
        <v>46103</v>
      </c>
      <c r="D4720" t="inlineStr">
        <is>
          <t>KRONOBERGS LÄN</t>
        </is>
      </c>
      <c r="E4720" t="inlineStr">
        <is>
          <t>LESSEBO</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23712-2024</t>
        </is>
      </c>
      <c r="B4721" s="1" t="n">
        <v>45454.73359953704</v>
      </c>
      <c r="C4721" s="1" t="n">
        <v>46103</v>
      </c>
      <c r="D4721" t="inlineStr">
        <is>
          <t>KRONOBERGS LÄN</t>
        </is>
      </c>
      <c r="E4721" t="inlineStr">
        <is>
          <t>UPPVIDINGE</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14226-2025</t>
        </is>
      </c>
      <c r="B4722" s="1" t="n">
        <v>45740.59585648148</v>
      </c>
      <c r="C4722" s="1" t="n">
        <v>46103</v>
      </c>
      <c r="D4722" t="inlineStr">
        <is>
          <t>KRONOBERGS LÄN</t>
        </is>
      </c>
      <c r="E4722" t="inlineStr">
        <is>
          <t>VÄXJÖ</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12052-2025</t>
        </is>
      </c>
      <c r="B4723" s="1" t="n">
        <v>45728.67893518518</v>
      </c>
      <c r="C4723" s="1" t="n">
        <v>46103</v>
      </c>
      <c r="D4723" t="inlineStr">
        <is>
          <t>KRONOBERGS LÄN</t>
        </is>
      </c>
      <c r="E4723" t="inlineStr">
        <is>
          <t>ÄLMHULT</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35813-2025</t>
        </is>
      </c>
      <c r="B4724" s="1" t="n">
        <v>45861.43393518519</v>
      </c>
      <c r="C4724" s="1" t="n">
        <v>46103</v>
      </c>
      <c r="D4724" t="inlineStr">
        <is>
          <t>KRONOBERGS LÄN</t>
        </is>
      </c>
      <c r="E4724" t="inlineStr">
        <is>
          <t>UPPVIDINGE</t>
        </is>
      </c>
      <c r="G4724" t="n">
        <v>6.8</v>
      </c>
      <c r="H4724" t="n">
        <v>0</v>
      </c>
      <c r="I4724" t="n">
        <v>0</v>
      </c>
      <c r="J4724" t="n">
        <v>0</v>
      </c>
      <c r="K4724" t="n">
        <v>0</v>
      </c>
      <c r="L4724" t="n">
        <v>0</v>
      </c>
      <c r="M4724" t="n">
        <v>0</v>
      </c>
      <c r="N4724" t="n">
        <v>0</v>
      </c>
      <c r="O4724" t="n">
        <v>0</v>
      </c>
      <c r="P4724" t="n">
        <v>0</v>
      </c>
      <c r="Q4724" t="n">
        <v>0</v>
      </c>
      <c r="R4724" s="2" t="inlineStr"/>
    </row>
    <row r="4725" ht="15" customHeight="1">
      <c r="A4725" t="inlineStr">
        <is>
          <t>A 7891-2023</t>
        </is>
      </c>
      <c r="B4725" s="1" t="n">
        <v>44973.60834490741</v>
      </c>
      <c r="C4725" s="1" t="n">
        <v>46103</v>
      </c>
      <c r="D4725" t="inlineStr">
        <is>
          <t>KRONOBERGS LÄN</t>
        </is>
      </c>
      <c r="E4725" t="inlineStr">
        <is>
          <t>MARKARYD</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7911-2023</t>
        </is>
      </c>
      <c r="B4726" s="1" t="n">
        <v>44973</v>
      </c>
      <c r="C4726" s="1" t="n">
        <v>46103</v>
      </c>
      <c r="D4726" t="inlineStr">
        <is>
          <t>KRONOBERGS LÄN</t>
        </is>
      </c>
      <c r="E4726" t="inlineStr">
        <is>
          <t>ÄLMHULT</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56832-2024</t>
        </is>
      </c>
      <c r="B4727" s="1" t="n">
        <v>45628.49865740741</v>
      </c>
      <c r="C4727" s="1" t="n">
        <v>46103</v>
      </c>
      <c r="D4727" t="inlineStr">
        <is>
          <t>KRONOBERGS LÄN</t>
        </is>
      </c>
      <c r="E4727" t="inlineStr">
        <is>
          <t>ALVESTA</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35809-2025</t>
        </is>
      </c>
      <c r="B4728" s="1" t="n">
        <v>45861.42532407407</v>
      </c>
      <c r="C4728" s="1" t="n">
        <v>46103</v>
      </c>
      <c r="D4728" t="inlineStr">
        <is>
          <t>KRONOBERGS LÄN</t>
        </is>
      </c>
      <c r="E4728" t="inlineStr">
        <is>
          <t>UPPVIDINGE</t>
        </is>
      </c>
      <c r="G4728" t="n">
        <v>5.8</v>
      </c>
      <c r="H4728" t="n">
        <v>0</v>
      </c>
      <c r="I4728" t="n">
        <v>0</v>
      </c>
      <c r="J4728" t="n">
        <v>0</v>
      </c>
      <c r="K4728" t="n">
        <v>0</v>
      </c>
      <c r="L4728" t="n">
        <v>0</v>
      </c>
      <c r="M4728" t="n">
        <v>0</v>
      </c>
      <c r="N4728" t="n">
        <v>0</v>
      </c>
      <c r="O4728" t="n">
        <v>0</v>
      </c>
      <c r="P4728" t="n">
        <v>0</v>
      </c>
      <c r="Q4728" t="n">
        <v>0</v>
      </c>
      <c r="R4728" s="2" t="inlineStr"/>
    </row>
    <row r="4729" ht="15" customHeight="1">
      <c r="A4729" t="inlineStr">
        <is>
          <t>A 34272-2023</t>
        </is>
      </c>
      <c r="B4729" s="1" t="n">
        <v>45128</v>
      </c>
      <c r="C4729" s="1" t="n">
        <v>46103</v>
      </c>
      <c r="D4729" t="inlineStr">
        <is>
          <t>KRONOBERGS LÄN</t>
        </is>
      </c>
      <c r="E4729" t="inlineStr">
        <is>
          <t>ALVESTA</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2239-2023</t>
        </is>
      </c>
      <c r="B4730" s="1" t="n">
        <v>44942</v>
      </c>
      <c r="C4730" s="1" t="n">
        <v>46103</v>
      </c>
      <c r="D4730" t="inlineStr">
        <is>
          <t>KRONOBERGS LÄN</t>
        </is>
      </c>
      <c r="E4730" t="inlineStr">
        <is>
          <t>ÄLMHULT</t>
        </is>
      </c>
      <c r="G4730" t="n">
        <v>0</v>
      </c>
      <c r="H4730" t="n">
        <v>0</v>
      </c>
      <c r="I4730" t="n">
        <v>0</v>
      </c>
      <c r="J4730" t="n">
        <v>0</v>
      </c>
      <c r="K4730" t="n">
        <v>0</v>
      </c>
      <c r="L4730" t="n">
        <v>0</v>
      </c>
      <c r="M4730" t="n">
        <v>0</v>
      </c>
      <c r="N4730" t="n">
        <v>0</v>
      </c>
      <c r="O4730" t="n">
        <v>0</v>
      </c>
      <c r="P4730" t="n">
        <v>0</v>
      </c>
      <c r="Q4730" t="n">
        <v>0</v>
      </c>
      <c r="R4730" s="2" t="inlineStr"/>
    </row>
    <row r="4731" ht="15" customHeight="1">
      <c r="A4731" t="inlineStr">
        <is>
          <t>A 53452-2024</t>
        </is>
      </c>
      <c r="B4731" s="1" t="n">
        <v>45614.54758101852</v>
      </c>
      <c r="C4731" s="1" t="n">
        <v>46103</v>
      </c>
      <c r="D4731" t="inlineStr">
        <is>
          <t>KRONOBERGS LÄN</t>
        </is>
      </c>
      <c r="E4731" t="inlineStr">
        <is>
          <t>ALVESTA</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32523-2023</t>
        </is>
      </c>
      <c r="B4732" s="1" t="n">
        <v>45121.37194444444</v>
      </c>
      <c r="C4732" s="1" t="n">
        <v>46103</v>
      </c>
      <c r="D4732" t="inlineStr">
        <is>
          <t>KRONOBERGS LÄN</t>
        </is>
      </c>
      <c r="E4732" t="inlineStr">
        <is>
          <t>TINGSRYD</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48438-2024</t>
        </is>
      </c>
      <c r="B4733" s="1" t="n">
        <v>45590</v>
      </c>
      <c r="C4733" s="1" t="n">
        <v>46103</v>
      </c>
      <c r="D4733" t="inlineStr">
        <is>
          <t>KRONOBERGS LÄN</t>
        </is>
      </c>
      <c r="E4733" t="inlineStr">
        <is>
          <t>UPPVIDINGE</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35843-2025</t>
        </is>
      </c>
      <c r="B4734" s="1" t="n">
        <v>45861.555</v>
      </c>
      <c r="C4734" s="1" t="n">
        <v>46103</v>
      </c>
      <c r="D4734" t="inlineStr">
        <is>
          <t>KRONOBERGS LÄN</t>
        </is>
      </c>
      <c r="E4734" t="inlineStr">
        <is>
          <t>MARKARYD</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38909-2024</t>
        </is>
      </c>
      <c r="B4735" s="1" t="n">
        <v>45547.72253472222</v>
      </c>
      <c r="C4735" s="1" t="n">
        <v>46103</v>
      </c>
      <c r="D4735" t="inlineStr">
        <is>
          <t>KRONOBERGS LÄN</t>
        </is>
      </c>
      <c r="E4735" t="inlineStr">
        <is>
          <t>ALVESTA</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8421-2025</t>
        </is>
      </c>
      <c r="B4736" s="1" t="n">
        <v>45709.40560185185</v>
      </c>
      <c r="C4736" s="1" t="n">
        <v>46103</v>
      </c>
      <c r="D4736" t="inlineStr">
        <is>
          <t>KRONOBERGS LÄN</t>
        </is>
      </c>
      <c r="E4736" t="inlineStr">
        <is>
          <t>UPPVIDINGE</t>
        </is>
      </c>
      <c r="F4736" t="inlineStr">
        <is>
          <t>Sveaskog</t>
        </is>
      </c>
      <c r="G4736" t="n">
        <v>3.7</v>
      </c>
      <c r="H4736" t="n">
        <v>0</v>
      </c>
      <c r="I4736" t="n">
        <v>0</v>
      </c>
      <c r="J4736" t="n">
        <v>0</v>
      </c>
      <c r="K4736" t="n">
        <v>0</v>
      </c>
      <c r="L4736" t="n">
        <v>0</v>
      </c>
      <c r="M4736" t="n">
        <v>0</v>
      </c>
      <c r="N4736" t="n">
        <v>0</v>
      </c>
      <c r="O4736" t="n">
        <v>0</v>
      </c>
      <c r="P4736" t="n">
        <v>0</v>
      </c>
      <c r="Q4736" t="n">
        <v>0</v>
      </c>
      <c r="R4736" s="2" t="inlineStr"/>
    </row>
    <row r="4737" ht="15" customHeight="1">
      <c r="A4737" t="inlineStr">
        <is>
          <t>A 27424-2025</t>
        </is>
      </c>
      <c r="B4737" s="1" t="n">
        <v>45812.94432870371</v>
      </c>
      <c r="C4737" s="1" t="n">
        <v>46103</v>
      </c>
      <c r="D4737" t="inlineStr">
        <is>
          <t>KRONOBERGS LÄN</t>
        </is>
      </c>
      <c r="E4737" t="inlineStr">
        <is>
          <t>ÄLMHULT</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44751-2024</t>
        </is>
      </c>
      <c r="B4738" s="1" t="n">
        <v>45574.6072337963</v>
      </c>
      <c r="C4738" s="1" t="n">
        <v>46103</v>
      </c>
      <c r="D4738" t="inlineStr">
        <is>
          <t>KRONOBERGS LÄN</t>
        </is>
      </c>
      <c r="E4738" t="inlineStr">
        <is>
          <t>TINGSRYD</t>
        </is>
      </c>
      <c r="G4738" t="n">
        <v>10.6</v>
      </c>
      <c r="H4738" t="n">
        <v>0</v>
      </c>
      <c r="I4738" t="n">
        <v>0</v>
      </c>
      <c r="J4738" t="n">
        <v>0</v>
      </c>
      <c r="K4738" t="n">
        <v>0</v>
      </c>
      <c r="L4738" t="n">
        <v>0</v>
      </c>
      <c r="M4738" t="n">
        <v>0</v>
      </c>
      <c r="N4738" t="n">
        <v>0</v>
      </c>
      <c r="O4738" t="n">
        <v>0</v>
      </c>
      <c r="P4738" t="n">
        <v>0</v>
      </c>
      <c r="Q4738" t="n">
        <v>0</v>
      </c>
      <c r="R4738" s="2" t="inlineStr"/>
    </row>
    <row r="4739" ht="15" customHeight="1">
      <c r="A4739" t="inlineStr">
        <is>
          <t>A 48692-2024</t>
        </is>
      </c>
      <c r="B4739" s="1" t="n">
        <v>45593</v>
      </c>
      <c r="C4739" s="1" t="n">
        <v>46103</v>
      </c>
      <c r="D4739" t="inlineStr">
        <is>
          <t>KRONOBERGS LÄN</t>
        </is>
      </c>
      <c r="E4739" t="inlineStr">
        <is>
          <t>ALVESTA</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20450-2025</t>
        </is>
      </c>
      <c r="B4740" s="1" t="n">
        <v>45775.49840277778</v>
      </c>
      <c r="C4740" s="1" t="n">
        <v>46103</v>
      </c>
      <c r="D4740" t="inlineStr">
        <is>
          <t>KRONOBERGS LÄN</t>
        </is>
      </c>
      <c r="E4740" t="inlineStr">
        <is>
          <t>UPPVIDINGE</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36919-2024</t>
        </is>
      </c>
      <c r="B4741" s="1" t="n">
        <v>45538</v>
      </c>
      <c r="C4741" s="1" t="n">
        <v>46103</v>
      </c>
      <c r="D4741" t="inlineStr">
        <is>
          <t>KRONOBERGS LÄN</t>
        </is>
      </c>
      <c r="E4741" t="inlineStr">
        <is>
          <t>VÄXJÖ</t>
        </is>
      </c>
      <c r="F4741" t="inlineStr">
        <is>
          <t>Kyrkan</t>
        </is>
      </c>
      <c r="G4741" t="n">
        <v>6.7</v>
      </c>
      <c r="H4741" t="n">
        <v>0</v>
      </c>
      <c r="I4741" t="n">
        <v>0</v>
      </c>
      <c r="J4741" t="n">
        <v>0</v>
      </c>
      <c r="K4741" t="n">
        <v>0</v>
      </c>
      <c r="L4741" t="n">
        <v>0</v>
      </c>
      <c r="M4741" t="n">
        <v>0</v>
      </c>
      <c r="N4741" t="n">
        <v>0</v>
      </c>
      <c r="O4741" t="n">
        <v>0</v>
      </c>
      <c r="P4741" t="n">
        <v>0</v>
      </c>
      <c r="Q4741" t="n">
        <v>0</v>
      </c>
      <c r="R4741" s="2" t="inlineStr"/>
    </row>
    <row r="4742" ht="15" customHeight="1">
      <c r="A4742" t="inlineStr">
        <is>
          <t>A 35790-2025</t>
        </is>
      </c>
      <c r="B4742" s="1" t="n">
        <v>45860</v>
      </c>
      <c r="C4742" s="1" t="n">
        <v>46103</v>
      </c>
      <c r="D4742" t="inlineStr">
        <is>
          <t>KRONOBERGS LÄN</t>
        </is>
      </c>
      <c r="E4742" t="inlineStr">
        <is>
          <t>LJUNGBY</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20515-2023</t>
        </is>
      </c>
      <c r="B4743" s="1" t="n">
        <v>45057</v>
      </c>
      <c r="C4743" s="1" t="n">
        <v>46103</v>
      </c>
      <c r="D4743" t="inlineStr">
        <is>
          <t>KRONOBERGS LÄN</t>
        </is>
      </c>
      <c r="E4743" t="inlineStr">
        <is>
          <t>UPPVIDINGE</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15580-2024</t>
        </is>
      </c>
      <c r="B4744" s="1" t="n">
        <v>45401.69138888889</v>
      </c>
      <c r="C4744" s="1" t="n">
        <v>46103</v>
      </c>
      <c r="D4744" t="inlineStr">
        <is>
          <t>KRONOBERGS LÄN</t>
        </is>
      </c>
      <c r="E4744" t="inlineStr">
        <is>
          <t>LJUNGBY</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6648-2025</t>
        </is>
      </c>
      <c r="B4745" s="1" t="n">
        <v>45700.4034837963</v>
      </c>
      <c r="C4745" s="1" t="n">
        <v>46103</v>
      </c>
      <c r="D4745" t="inlineStr">
        <is>
          <t>KRONOBERGS LÄN</t>
        </is>
      </c>
      <c r="E4745" t="inlineStr">
        <is>
          <t>ÄLMHULT</t>
        </is>
      </c>
      <c r="G4745" t="n">
        <v>3.3</v>
      </c>
      <c r="H4745" t="n">
        <v>0</v>
      </c>
      <c r="I4745" t="n">
        <v>0</v>
      </c>
      <c r="J4745" t="n">
        <v>0</v>
      </c>
      <c r="K4745" t="n">
        <v>0</v>
      </c>
      <c r="L4745" t="n">
        <v>0</v>
      </c>
      <c r="M4745" t="n">
        <v>0</v>
      </c>
      <c r="N4745" t="n">
        <v>0</v>
      </c>
      <c r="O4745" t="n">
        <v>0</v>
      </c>
      <c r="P4745" t="n">
        <v>0</v>
      </c>
      <c r="Q4745" t="n">
        <v>0</v>
      </c>
      <c r="R4745" s="2" t="inlineStr"/>
    </row>
    <row r="4746" ht="15" customHeight="1">
      <c r="A4746" t="inlineStr">
        <is>
          <t>A 26549-2023</t>
        </is>
      </c>
      <c r="B4746" s="1" t="n">
        <v>45092.59658564815</v>
      </c>
      <c r="C4746" s="1" t="n">
        <v>46103</v>
      </c>
      <c r="D4746" t="inlineStr">
        <is>
          <t>KRONOBERGS LÄN</t>
        </is>
      </c>
      <c r="E4746" t="inlineStr">
        <is>
          <t>MARKARYD</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60203-2022</t>
        </is>
      </c>
      <c r="B4747" s="1" t="n">
        <v>44903</v>
      </c>
      <c r="C4747" s="1" t="n">
        <v>46103</v>
      </c>
      <c r="D4747" t="inlineStr">
        <is>
          <t>KRONOBERGS LÄN</t>
        </is>
      </c>
      <c r="E4747" t="inlineStr">
        <is>
          <t>VÄXJÖ</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60202-2021</t>
        </is>
      </c>
      <c r="B4748" s="1" t="n">
        <v>44495</v>
      </c>
      <c r="C4748" s="1" t="n">
        <v>46103</v>
      </c>
      <c r="D4748" t="inlineStr">
        <is>
          <t>KRONOBERGS LÄN</t>
        </is>
      </c>
      <c r="E4748" t="inlineStr">
        <is>
          <t>ALVESTA</t>
        </is>
      </c>
      <c r="G4748" t="n">
        <v>8.800000000000001</v>
      </c>
      <c r="H4748" t="n">
        <v>0</v>
      </c>
      <c r="I4748" t="n">
        <v>0</v>
      </c>
      <c r="J4748" t="n">
        <v>0</v>
      </c>
      <c r="K4748" t="n">
        <v>0</v>
      </c>
      <c r="L4748" t="n">
        <v>0</v>
      </c>
      <c r="M4748" t="n">
        <v>0</v>
      </c>
      <c r="N4748" t="n">
        <v>0</v>
      </c>
      <c r="O4748" t="n">
        <v>0</v>
      </c>
      <c r="P4748" t="n">
        <v>0</v>
      </c>
      <c r="Q4748" t="n">
        <v>0</v>
      </c>
      <c r="R4748" s="2" t="inlineStr"/>
    </row>
    <row r="4749" ht="15" customHeight="1">
      <c r="A4749" t="inlineStr">
        <is>
          <t>A 49090-2024</t>
        </is>
      </c>
      <c r="B4749" s="1" t="n">
        <v>45594.63516203704</v>
      </c>
      <c r="C4749" s="1" t="n">
        <v>46103</v>
      </c>
      <c r="D4749" t="inlineStr">
        <is>
          <t>KRONOBERGS LÄN</t>
        </is>
      </c>
      <c r="E4749" t="inlineStr">
        <is>
          <t>VÄXJÖ</t>
        </is>
      </c>
      <c r="F4749" t="inlineStr">
        <is>
          <t>Sveaskog</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61964-2021</t>
        </is>
      </c>
      <c r="B4750" s="1" t="n">
        <v>44502</v>
      </c>
      <c r="C4750" s="1" t="n">
        <v>46103</v>
      </c>
      <c r="D4750" t="inlineStr">
        <is>
          <t>KRONOBERGS LÄN</t>
        </is>
      </c>
      <c r="E4750" t="inlineStr">
        <is>
          <t>VÄXJÖ</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5298-2025</t>
        </is>
      </c>
      <c r="B4751" s="1" t="n">
        <v>45692.46317129629</v>
      </c>
      <c r="C4751" s="1" t="n">
        <v>46103</v>
      </c>
      <c r="D4751" t="inlineStr">
        <is>
          <t>KRONOBERGS LÄN</t>
        </is>
      </c>
      <c r="E4751" t="inlineStr">
        <is>
          <t>ALVESTA</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20964-2023</t>
        </is>
      </c>
      <c r="B4752" s="1" t="n">
        <v>45061</v>
      </c>
      <c r="C4752" s="1" t="n">
        <v>46103</v>
      </c>
      <c r="D4752" t="inlineStr">
        <is>
          <t>KRONOBERGS LÄN</t>
        </is>
      </c>
      <c r="E4752" t="inlineStr">
        <is>
          <t>ÄLMHULT</t>
        </is>
      </c>
      <c r="G4752" t="n">
        <v>4.5</v>
      </c>
      <c r="H4752" t="n">
        <v>0</v>
      </c>
      <c r="I4752" t="n">
        <v>0</v>
      </c>
      <c r="J4752" t="n">
        <v>0</v>
      </c>
      <c r="K4752" t="n">
        <v>0</v>
      </c>
      <c r="L4752" t="n">
        <v>0</v>
      </c>
      <c r="M4752" t="n">
        <v>0</v>
      </c>
      <c r="N4752" t="n">
        <v>0</v>
      </c>
      <c r="O4752" t="n">
        <v>0</v>
      </c>
      <c r="P4752" t="n">
        <v>0</v>
      </c>
      <c r="Q4752" t="n">
        <v>0</v>
      </c>
      <c r="R4752" s="2" t="inlineStr"/>
    </row>
    <row r="4753" ht="15" customHeight="1">
      <c r="A4753" t="inlineStr">
        <is>
          <t>A 3929-2025</t>
        </is>
      </c>
      <c r="B4753" s="1" t="n">
        <v>45684.45225694445</v>
      </c>
      <c r="C4753" s="1" t="n">
        <v>46103</v>
      </c>
      <c r="D4753" t="inlineStr">
        <is>
          <t>KRONOBERGS LÄN</t>
        </is>
      </c>
      <c r="E4753" t="inlineStr">
        <is>
          <t>LJUNGBY</t>
        </is>
      </c>
      <c r="F4753" t="inlineStr">
        <is>
          <t>Sveaskog</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604-2023</t>
        </is>
      </c>
      <c r="B4754" s="1" t="n">
        <v>44930.58833333333</v>
      </c>
      <c r="C4754" s="1" t="n">
        <v>46103</v>
      </c>
      <c r="D4754" t="inlineStr">
        <is>
          <t>KRONOBERGS LÄN</t>
        </is>
      </c>
      <c r="E4754" t="inlineStr">
        <is>
          <t>TINGSRYD</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33832-2024</t>
        </is>
      </c>
      <c r="B4755" s="1" t="n">
        <v>45520.62033564815</v>
      </c>
      <c r="C4755" s="1" t="n">
        <v>46103</v>
      </c>
      <c r="D4755" t="inlineStr">
        <is>
          <t>KRONOBERGS LÄN</t>
        </is>
      </c>
      <c r="E4755" t="inlineStr">
        <is>
          <t>LESSEBO</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35894-2025</t>
        </is>
      </c>
      <c r="B4756" s="1" t="n">
        <v>45862.48116898148</v>
      </c>
      <c r="C4756" s="1" t="n">
        <v>46103</v>
      </c>
      <c r="D4756" t="inlineStr">
        <is>
          <t>KRONOBERGS LÄN</t>
        </is>
      </c>
      <c r="E4756" t="inlineStr">
        <is>
          <t>LESSEBO</t>
        </is>
      </c>
      <c r="F4756" t="inlineStr">
        <is>
          <t>Sveaskog</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35909-2025</t>
        </is>
      </c>
      <c r="B4757" s="1" t="n">
        <v>45862.5112037037</v>
      </c>
      <c r="C4757" s="1" t="n">
        <v>46103</v>
      </c>
      <c r="D4757" t="inlineStr">
        <is>
          <t>KRONOBERGS LÄN</t>
        </is>
      </c>
      <c r="E4757" t="inlineStr">
        <is>
          <t>LESSEBO</t>
        </is>
      </c>
      <c r="F4757" t="inlineStr">
        <is>
          <t>Sveaskog</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16838-2025</t>
        </is>
      </c>
      <c r="B4758" s="1" t="n">
        <v>45754.66629629629</v>
      </c>
      <c r="C4758" s="1" t="n">
        <v>46103</v>
      </c>
      <c r="D4758" t="inlineStr">
        <is>
          <t>KRONOBERGS LÄN</t>
        </is>
      </c>
      <c r="E4758" t="inlineStr">
        <is>
          <t>VÄXJÖ</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58566-2024</t>
        </is>
      </c>
      <c r="B4759" s="1" t="n">
        <v>45635.47542824074</v>
      </c>
      <c r="C4759" s="1" t="n">
        <v>46103</v>
      </c>
      <c r="D4759" t="inlineStr">
        <is>
          <t>KRONOBERGS LÄN</t>
        </is>
      </c>
      <c r="E4759" t="inlineStr">
        <is>
          <t>TINGSRYD</t>
        </is>
      </c>
      <c r="F4759" t="inlineStr">
        <is>
          <t>Övriga Aktiebolag</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59195-2024</t>
        </is>
      </c>
      <c r="B4760" s="1" t="n">
        <v>45637.54557870371</v>
      </c>
      <c r="C4760" s="1" t="n">
        <v>46103</v>
      </c>
      <c r="D4760" t="inlineStr">
        <is>
          <t>KRONOBERGS LÄN</t>
        </is>
      </c>
      <c r="E4760" t="inlineStr">
        <is>
          <t>LJUNGBY</t>
        </is>
      </c>
      <c r="G4760" t="n">
        <v>3.8</v>
      </c>
      <c r="H4760" t="n">
        <v>0</v>
      </c>
      <c r="I4760" t="n">
        <v>0</v>
      </c>
      <c r="J4760" t="n">
        <v>0</v>
      </c>
      <c r="K4760" t="n">
        <v>0</v>
      </c>
      <c r="L4760" t="n">
        <v>0</v>
      </c>
      <c r="M4760" t="n">
        <v>0</v>
      </c>
      <c r="N4760" t="n">
        <v>0</v>
      </c>
      <c r="O4760" t="n">
        <v>0</v>
      </c>
      <c r="P4760" t="n">
        <v>0</v>
      </c>
      <c r="Q4760" t="n">
        <v>0</v>
      </c>
      <c r="R4760" s="2" t="inlineStr"/>
    </row>
    <row r="4761" ht="15" customHeight="1">
      <c r="A4761" t="inlineStr">
        <is>
          <t>A 52657-2024</t>
        </is>
      </c>
      <c r="B4761" s="1" t="n">
        <v>45610.35752314814</v>
      </c>
      <c r="C4761" s="1" t="n">
        <v>46103</v>
      </c>
      <c r="D4761" t="inlineStr">
        <is>
          <t>KRONOBERGS LÄN</t>
        </is>
      </c>
      <c r="E4761" t="inlineStr">
        <is>
          <t>UPPVIDINGE</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35899-2025</t>
        </is>
      </c>
      <c r="B4762" s="1" t="n">
        <v>45862.48950231481</v>
      </c>
      <c r="C4762" s="1" t="n">
        <v>46103</v>
      </c>
      <c r="D4762" t="inlineStr">
        <is>
          <t>KRONOBERGS LÄN</t>
        </is>
      </c>
      <c r="E4762" t="inlineStr">
        <is>
          <t>LESSEBO</t>
        </is>
      </c>
      <c r="F4762" t="inlineStr">
        <is>
          <t>Sveaskog</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52711-2024</t>
        </is>
      </c>
      <c r="B4763" s="1" t="n">
        <v>45610.42850694444</v>
      </c>
      <c r="C4763" s="1" t="n">
        <v>46103</v>
      </c>
      <c r="D4763" t="inlineStr">
        <is>
          <t>KRONOBERGS LÄN</t>
        </is>
      </c>
      <c r="E4763" t="inlineStr">
        <is>
          <t>LJUNGBY</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35955-2025</t>
        </is>
      </c>
      <c r="B4764" s="1" t="n">
        <v>45863.32291666666</v>
      </c>
      <c r="C4764" s="1" t="n">
        <v>46103</v>
      </c>
      <c r="D4764" t="inlineStr">
        <is>
          <t>KRONOBERGS LÄN</t>
        </is>
      </c>
      <c r="E4764" t="inlineStr">
        <is>
          <t>MARKARYD</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33841-2025</t>
        </is>
      </c>
      <c r="B4765" s="1" t="n">
        <v>45842.48019675926</v>
      </c>
      <c r="C4765" s="1" t="n">
        <v>46103</v>
      </c>
      <c r="D4765" t="inlineStr">
        <is>
          <t>KRONOBERGS LÄN</t>
        </is>
      </c>
      <c r="E4765" t="inlineStr">
        <is>
          <t>UPPVIDINGE</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34165-2025</t>
        </is>
      </c>
      <c r="B4766" s="1" t="n">
        <v>45845</v>
      </c>
      <c r="C4766" s="1" t="n">
        <v>46103</v>
      </c>
      <c r="D4766" t="inlineStr">
        <is>
          <t>KRONOBERGS LÄN</t>
        </is>
      </c>
      <c r="E4766" t="inlineStr">
        <is>
          <t>LJUNGBY</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14725-2025</t>
        </is>
      </c>
      <c r="B4767" s="1" t="n">
        <v>45742.63163194444</v>
      </c>
      <c r="C4767" s="1" t="n">
        <v>46103</v>
      </c>
      <c r="D4767" t="inlineStr">
        <is>
          <t>KRONOBERGS LÄN</t>
        </is>
      </c>
      <c r="E4767" t="inlineStr">
        <is>
          <t>MARKARYD</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626-2023</t>
        </is>
      </c>
      <c r="B4768" s="1" t="n">
        <v>44930.61665509259</v>
      </c>
      <c r="C4768" s="1" t="n">
        <v>46103</v>
      </c>
      <c r="D4768" t="inlineStr">
        <is>
          <t>KRONOBERGS LÄN</t>
        </is>
      </c>
      <c r="E4768" t="inlineStr">
        <is>
          <t>TINGSRYD</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3991-2025</t>
        </is>
      </c>
      <c r="B4769" s="1" t="n">
        <v>45684.55832175926</v>
      </c>
      <c r="C4769" s="1" t="n">
        <v>46103</v>
      </c>
      <c r="D4769" t="inlineStr">
        <is>
          <t>KRONOBERGS LÄN</t>
        </is>
      </c>
      <c r="E4769" t="inlineStr">
        <is>
          <t>TINGSRYD</t>
        </is>
      </c>
      <c r="G4769" t="n">
        <v>5.2</v>
      </c>
      <c r="H4769" t="n">
        <v>0</v>
      </c>
      <c r="I4769" t="n">
        <v>0</v>
      </c>
      <c r="J4769" t="n">
        <v>0</v>
      </c>
      <c r="K4769" t="n">
        <v>0</v>
      </c>
      <c r="L4769" t="n">
        <v>0</v>
      </c>
      <c r="M4769" t="n">
        <v>0</v>
      </c>
      <c r="N4769" t="n">
        <v>0</v>
      </c>
      <c r="O4769" t="n">
        <v>0</v>
      </c>
      <c r="P4769" t="n">
        <v>0</v>
      </c>
      <c r="Q4769" t="n">
        <v>0</v>
      </c>
      <c r="R4769" s="2" t="inlineStr"/>
    </row>
    <row r="4770" ht="15" customHeight="1">
      <c r="A4770" t="inlineStr">
        <is>
          <t>A 62123-2023</t>
        </is>
      </c>
      <c r="B4770" s="1" t="n">
        <v>45267.31300925926</v>
      </c>
      <c r="C4770" s="1" t="n">
        <v>46103</v>
      </c>
      <c r="D4770" t="inlineStr">
        <is>
          <t>KRONOBERGS LÄN</t>
        </is>
      </c>
      <c r="E4770" t="inlineStr">
        <is>
          <t>VÄXJÖ</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25941-2023</t>
        </is>
      </c>
      <c r="B4771" s="1" t="n">
        <v>45090.69401620371</v>
      </c>
      <c r="C4771" s="1" t="n">
        <v>46103</v>
      </c>
      <c r="D4771" t="inlineStr">
        <is>
          <t>KRONOBERGS LÄN</t>
        </is>
      </c>
      <c r="E4771" t="inlineStr">
        <is>
          <t>TINGSRYD</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36036-2025</t>
        </is>
      </c>
      <c r="B4772" s="1" t="n">
        <v>45865</v>
      </c>
      <c r="C4772" s="1" t="n">
        <v>46103</v>
      </c>
      <c r="D4772" t="inlineStr">
        <is>
          <t>KRONOBERGS LÄN</t>
        </is>
      </c>
      <c r="E4772" t="inlineStr">
        <is>
          <t>UPPVIDINGE</t>
        </is>
      </c>
      <c r="G4772" t="n">
        <v>3.9</v>
      </c>
      <c r="H4772" t="n">
        <v>0</v>
      </c>
      <c r="I4772" t="n">
        <v>0</v>
      </c>
      <c r="J4772" t="n">
        <v>0</v>
      </c>
      <c r="K4772" t="n">
        <v>0</v>
      </c>
      <c r="L4772" t="n">
        <v>0</v>
      </c>
      <c r="M4772" t="n">
        <v>0</v>
      </c>
      <c r="N4772" t="n">
        <v>0</v>
      </c>
      <c r="O4772" t="n">
        <v>0</v>
      </c>
      <c r="P4772" t="n">
        <v>0</v>
      </c>
      <c r="Q4772" t="n">
        <v>0</v>
      </c>
      <c r="R4772" s="2" t="inlineStr"/>
    </row>
    <row r="4773" ht="15" customHeight="1">
      <c r="A4773" t="inlineStr">
        <is>
          <t>A 36035-2025</t>
        </is>
      </c>
      <c r="B4773" s="1" t="n">
        <v>45865.66577546296</v>
      </c>
      <c r="C4773" s="1" t="n">
        <v>46103</v>
      </c>
      <c r="D4773" t="inlineStr">
        <is>
          <t>KRONOBERGS LÄN</t>
        </is>
      </c>
      <c r="E4773" t="inlineStr">
        <is>
          <t>UPPVIDINGE</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36745-2024</t>
        </is>
      </c>
      <c r="B4774" s="1" t="n">
        <v>45538.33878472223</v>
      </c>
      <c r="C4774" s="1" t="n">
        <v>46103</v>
      </c>
      <c r="D4774" t="inlineStr">
        <is>
          <t>KRONOBERGS LÄN</t>
        </is>
      </c>
      <c r="E4774" t="inlineStr">
        <is>
          <t>VÄXJÖ</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48868-2024</t>
        </is>
      </c>
      <c r="B4775" s="1" t="n">
        <v>45594</v>
      </c>
      <c r="C4775" s="1" t="n">
        <v>46103</v>
      </c>
      <c r="D4775" t="inlineStr">
        <is>
          <t>KRONOBERGS LÄN</t>
        </is>
      </c>
      <c r="E4775" t="inlineStr">
        <is>
          <t>MARKARYD</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13322-2023</t>
        </is>
      </c>
      <c r="B4776" s="1" t="n">
        <v>45005.39861111111</v>
      </c>
      <c r="C4776" s="1" t="n">
        <v>46103</v>
      </c>
      <c r="D4776" t="inlineStr">
        <is>
          <t>KRONOBERGS LÄN</t>
        </is>
      </c>
      <c r="E4776" t="inlineStr">
        <is>
          <t>TINGSRYD</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13340-2023</t>
        </is>
      </c>
      <c r="B4777" s="1" t="n">
        <v>45005</v>
      </c>
      <c r="C4777" s="1" t="n">
        <v>46103</v>
      </c>
      <c r="D4777" t="inlineStr">
        <is>
          <t>KRONOBERGS LÄN</t>
        </is>
      </c>
      <c r="E4777" t="inlineStr">
        <is>
          <t>TINGSRYD</t>
        </is>
      </c>
      <c r="G4777" t="n">
        <v>4.4</v>
      </c>
      <c r="H4777" t="n">
        <v>0</v>
      </c>
      <c r="I4777" t="n">
        <v>0</v>
      </c>
      <c r="J4777" t="n">
        <v>0</v>
      </c>
      <c r="K4777" t="n">
        <v>0</v>
      </c>
      <c r="L4777" t="n">
        <v>0</v>
      </c>
      <c r="M4777" t="n">
        <v>0</v>
      </c>
      <c r="N4777" t="n">
        <v>0</v>
      </c>
      <c r="O4777" t="n">
        <v>0</v>
      </c>
      <c r="P4777" t="n">
        <v>0</v>
      </c>
      <c r="Q4777" t="n">
        <v>0</v>
      </c>
      <c r="R4777" s="2" t="inlineStr"/>
    </row>
    <row r="4778" ht="15" customHeight="1">
      <c r="A4778" t="inlineStr">
        <is>
          <t>A 59124-2022</t>
        </is>
      </c>
      <c r="B4778" s="1" t="n">
        <v>44897</v>
      </c>
      <c r="C4778" s="1" t="n">
        <v>46103</v>
      </c>
      <c r="D4778" t="inlineStr">
        <is>
          <t>KRONOBERGS LÄN</t>
        </is>
      </c>
      <c r="E4778" t="inlineStr">
        <is>
          <t>ÄLMHULT</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1142-2025</t>
        </is>
      </c>
      <c r="B4779" s="1" t="n">
        <v>45666.70684027778</v>
      </c>
      <c r="C4779" s="1" t="n">
        <v>46103</v>
      </c>
      <c r="D4779" t="inlineStr">
        <is>
          <t>KRONOBERGS LÄN</t>
        </is>
      </c>
      <c r="E4779" t="inlineStr">
        <is>
          <t>MARKARYD</t>
        </is>
      </c>
      <c r="G4779" t="n">
        <v>6.1</v>
      </c>
      <c r="H4779" t="n">
        <v>0</v>
      </c>
      <c r="I4779" t="n">
        <v>0</v>
      </c>
      <c r="J4779" t="n">
        <v>0</v>
      </c>
      <c r="K4779" t="n">
        <v>0</v>
      </c>
      <c r="L4779" t="n">
        <v>0</v>
      </c>
      <c r="M4779" t="n">
        <v>0</v>
      </c>
      <c r="N4779" t="n">
        <v>0</v>
      </c>
      <c r="O4779" t="n">
        <v>0</v>
      </c>
      <c r="P4779" t="n">
        <v>0</v>
      </c>
      <c r="Q4779" t="n">
        <v>0</v>
      </c>
      <c r="R4779" s="2" t="inlineStr"/>
    </row>
    <row r="4780" ht="15" customHeight="1">
      <c r="A4780" t="inlineStr">
        <is>
          <t>A 36037-2025</t>
        </is>
      </c>
      <c r="B4780" s="1" t="n">
        <v>45865.67818287037</v>
      </c>
      <c r="C4780" s="1" t="n">
        <v>46103</v>
      </c>
      <c r="D4780" t="inlineStr">
        <is>
          <t>KRONOBERGS LÄN</t>
        </is>
      </c>
      <c r="E4780" t="inlineStr">
        <is>
          <t>UPPVIDINGE</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60010-2024</t>
        </is>
      </c>
      <c r="B4781" s="1" t="n">
        <v>45642.42981481482</v>
      </c>
      <c r="C4781" s="1" t="n">
        <v>46103</v>
      </c>
      <c r="D4781" t="inlineStr">
        <is>
          <t>KRONOBERGS LÄN</t>
        </is>
      </c>
      <c r="E4781" t="inlineStr">
        <is>
          <t>VÄXJÖ</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57952-2022</t>
        </is>
      </c>
      <c r="B4782" s="1" t="n">
        <v>44900</v>
      </c>
      <c r="C4782" s="1" t="n">
        <v>46103</v>
      </c>
      <c r="D4782" t="inlineStr">
        <is>
          <t>KRONOBERGS LÄN</t>
        </is>
      </c>
      <c r="E4782" t="inlineStr">
        <is>
          <t>LJUNGBY</t>
        </is>
      </c>
      <c r="G4782" t="n">
        <v>3.8</v>
      </c>
      <c r="H4782" t="n">
        <v>0</v>
      </c>
      <c r="I4782" t="n">
        <v>0</v>
      </c>
      <c r="J4782" t="n">
        <v>0</v>
      </c>
      <c r="K4782" t="n">
        <v>0</v>
      </c>
      <c r="L4782" t="n">
        <v>0</v>
      </c>
      <c r="M4782" t="n">
        <v>0</v>
      </c>
      <c r="N4782" t="n">
        <v>0</v>
      </c>
      <c r="O4782" t="n">
        <v>0</v>
      </c>
      <c r="P4782" t="n">
        <v>0</v>
      </c>
      <c r="Q4782" t="n">
        <v>0</v>
      </c>
      <c r="R4782" s="2" t="inlineStr"/>
    </row>
    <row r="4783" ht="15" customHeight="1">
      <c r="A4783" t="inlineStr">
        <is>
          <t>A 6151-2025</t>
        </is>
      </c>
      <c r="B4783" s="1" t="n">
        <v>45698.40377314815</v>
      </c>
      <c r="C4783" s="1" t="n">
        <v>46103</v>
      </c>
      <c r="D4783" t="inlineStr">
        <is>
          <t>KRONOBERGS LÄN</t>
        </is>
      </c>
      <c r="E4783" t="inlineStr">
        <is>
          <t>TINGSRYD</t>
        </is>
      </c>
      <c r="G4783" t="n">
        <v>4.6</v>
      </c>
      <c r="H4783" t="n">
        <v>0</v>
      </c>
      <c r="I4783" t="n">
        <v>0</v>
      </c>
      <c r="J4783" t="n">
        <v>0</v>
      </c>
      <c r="K4783" t="n">
        <v>0</v>
      </c>
      <c r="L4783" t="n">
        <v>0</v>
      </c>
      <c r="M4783" t="n">
        <v>0</v>
      </c>
      <c r="N4783" t="n">
        <v>0</v>
      </c>
      <c r="O4783" t="n">
        <v>0</v>
      </c>
      <c r="P4783" t="n">
        <v>0</v>
      </c>
      <c r="Q4783" t="n">
        <v>0</v>
      </c>
      <c r="R4783" s="2" t="inlineStr"/>
    </row>
    <row r="4784" ht="15" customHeight="1">
      <c r="A4784" t="inlineStr">
        <is>
          <t>A 13711-2025</t>
        </is>
      </c>
      <c r="B4784" s="1" t="n">
        <v>45737</v>
      </c>
      <c r="C4784" s="1" t="n">
        <v>46103</v>
      </c>
      <c r="D4784" t="inlineStr">
        <is>
          <t>KRONOBERGS LÄN</t>
        </is>
      </c>
      <c r="E4784" t="inlineStr">
        <is>
          <t>UPPVIDINGE</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27013-2025</t>
        </is>
      </c>
      <c r="B4785" s="1" t="n">
        <v>45811.56517361111</v>
      </c>
      <c r="C4785" s="1" t="n">
        <v>46103</v>
      </c>
      <c r="D4785" t="inlineStr">
        <is>
          <t>KRONOBERGS LÄN</t>
        </is>
      </c>
      <c r="E4785" t="inlineStr">
        <is>
          <t>LJUNGBY</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1011-2024</t>
        </is>
      </c>
      <c r="B4786" s="1" t="n">
        <v>45301.65822916666</v>
      </c>
      <c r="C4786" s="1" t="n">
        <v>46103</v>
      </c>
      <c r="D4786" t="inlineStr">
        <is>
          <t>KRONOBERGS LÄN</t>
        </is>
      </c>
      <c r="E4786" t="inlineStr">
        <is>
          <t>VÄXJÖ</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37933-2021</t>
        </is>
      </c>
      <c r="B4787" s="1" t="n">
        <v>44403.67659722222</v>
      </c>
      <c r="C4787" s="1" t="n">
        <v>46103</v>
      </c>
      <c r="D4787" t="inlineStr">
        <is>
          <t>KRONOBERGS LÄN</t>
        </is>
      </c>
      <c r="E4787" t="inlineStr">
        <is>
          <t>LESSEBO</t>
        </is>
      </c>
      <c r="G4787" t="n">
        <v>10.9</v>
      </c>
      <c r="H4787" t="n">
        <v>0</v>
      </c>
      <c r="I4787" t="n">
        <v>0</v>
      </c>
      <c r="J4787" t="n">
        <v>0</v>
      </c>
      <c r="K4787" t="n">
        <v>0</v>
      </c>
      <c r="L4787" t="n">
        <v>0</v>
      </c>
      <c r="M4787" t="n">
        <v>0</v>
      </c>
      <c r="N4787" t="n">
        <v>0</v>
      </c>
      <c r="O4787" t="n">
        <v>0</v>
      </c>
      <c r="P4787" t="n">
        <v>0</v>
      </c>
      <c r="Q4787" t="n">
        <v>0</v>
      </c>
      <c r="R4787" s="2" t="inlineStr"/>
    </row>
    <row r="4788" ht="15" customHeight="1">
      <c r="A4788" t="inlineStr">
        <is>
          <t>A 15734-2024</t>
        </is>
      </c>
      <c r="B4788" s="1" t="n">
        <v>45404</v>
      </c>
      <c r="C4788" s="1" t="n">
        <v>46103</v>
      </c>
      <c r="D4788" t="inlineStr">
        <is>
          <t>KRONOBERGS LÄN</t>
        </is>
      </c>
      <c r="E4788" t="inlineStr">
        <is>
          <t>UPPVIDINGE</t>
        </is>
      </c>
      <c r="G4788" t="n">
        <v>0.3</v>
      </c>
      <c r="H4788" t="n">
        <v>0</v>
      </c>
      <c r="I4788" t="n">
        <v>0</v>
      </c>
      <c r="J4788" t="n">
        <v>0</v>
      </c>
      <c r="K4788" t="n">
        <v>0</v>
      </c>
      <c r="L4788" t="n">
        <v>0</v>
      </c>
      <c r="M4788" t="n">
        <v>0</v>
      </c>
      <c r="N4788" t="n">
        <v>0</v>
      </c>
      <c r="O4788" t="n">
        <v>0</v>
      </c>
      <c r="P4788" t="n">
        <v>0</v>
      </c>
      <c r="Q4788" t="n">
        <v>0</v>
      </c>
      <c r="R4788" s="2" t="inlineStr"/>
    </row>
    <row r="4789" ht="15" customHeight="1">
      <c r="A4789" t="inlineStr">
        <is>
          <t>A 58045-2024</t>
        </is>
      </c>
      <c r="B4789" s="1" t="n">
        <v>45631.78876157408</v>
      </c>
      <c r="C4789" s="1" t="n">
        <v>46103</v>
      </c>
      <c r="D4789" t="inlineStr">
        <is>
          <t>KRONOBERGS LÄN</t>
        </is>
      </c>
      <c r="E4789" t="inlineStr">
        <is>
          <t>ÄLMHULT</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12645-2024</t>
        </is>
      </c>
      <c r="B4790" s="1" t="n">
        <v>45384.34543981482</v>
      </c>
      <c r="C4790" s="1" t="n">
        <v>46103</v>
      </c>
      <c r="D4790" t="inlineStr">
        <is>
          <t>KRONOBERGS LÄN</t>
        </is>
      </c>
      <c r="E4790" t="inlineStr">
        <is>
          <t>VÄXJÖ</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39133-2023</t>
        </is>
      </c>
      <c r="B4791" s="1" t="n">
        <v>45165.77501157407</v>
      </c>
      <c r="C4791" s="1" t="n">
        <v>46103</v>
      </c>
      <c r="D4791" t="inlineStr">
        <is>
          <t>KRONOBERGS LÄN</t>
        </is>
      </c>
      <c r="E4791" t="inlineStr">
        <is>
          <t>UPPVIDINGE</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29165-2023</t>
        </is>
      </c>
      <c r="B4792" s="1" t="n">
        <v>45097</v>
      </c>
      <c r="C4792" s="1" t="n">
        <v>46103</v>
      </c>
      <c r="D4792" t="inlineStr">
        <is>
          <t>KRONOBERGS LÄN</t>
        </is>
      </c>
      <c r="E4792" t="inlineStr">
        <is>
          <t>VÄXJÖ</t>
        </is>
      </c>
      <c r="F4792" t="inlineStr">
        <is>
          <t>Kyrkan</t>
        </is>
      </c>
      <c r="G4792" t="n">
        <v>6.8</v>
      </c>
      <c r="H4792" t="n">
        <v>0</v>
      </c>
      <c r="I4792" t="n">
        <v>0</v>
      </c>
      <c r="J4792" t="n">
        <v>0</v>
      </c>
      <c r="K4792" t="n">
        <v>0</v>
      </c>
      <c r="L4792" t="n">
        <v>0</v>
      </c>
      <c r="M4792" t="n">
        <v>0</v>
      </c>
      <c r="N4792" t="n">
        <v>0</v>
      </c>
      <c r="O4792" t="n">
        <v>0</v>
      </c>
      <c r="P4792" t="n">
        <v>0</v>
      </c>
      <c r="Q4792" t="n">
        <v>0</v>
      </c>
      <c r="R4792" s="2" t="inlineStr"/>
    </row>
    <row r="4793" ht="15" customHeight="1">
      <c r="A4793" t="inlineStr">
        <is>
          <t>A 63354-2021</t>
        </is>
      </c>
      <c r="B4793" s="1" t="n">
        <v>44508</v>
      </c>
      <c r="C4793" s="1" t="n">
        <v>46103</v>
      </c>
      <c r="D4793" t="inlineStr">
        <is>
          <t>KRONOBERGS LÄN</t>
        </is>
      </c>
      <c r="E4793" t="inlineStr">
        <is>
          <t>LJUNGBY</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8434-2023</t>
        </is>
      </c>
      <c r="B4794" s="1" t="n">
        <v>44977.46348379629</v>
      </c>
      <c r="C4794" s="1" t="n">
        <v>46103</v>
      </c>
      <c r="D4794" t="inlineStr">
        <is>
          <t>KRONOBERGS LÄN</t>
        </is>
      </c>
      <c r="E4794" t="inlineStr">
        <is>
          <t>ÄLMHULT</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5477-2022</t>
        </is>
      </c>
      <c r="B4795" s="1" t="n">
        <v>44595</v>
      </c>
      <c r="C4795" s="1" t="n">
        <v>46103</v>
      </c>
      <c r="D4795" t="inlineStr">
        <is>
          <t>KRONOBERGS LÄN</t>
        </is>
      </c>
      <c r="E4795" t="inlineStr">
        <is>
          <t>VÄXJÖ</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5165-2024</t>
        </is>
      </c>
      <c r="B4796" s="1" t="n">
        <v>45330</v>
      </c>
      <c r="C4796" s="1" t="n">
        <v>46103</v>
      </c>
      <c r="D4796" t="inlineStr">
        <is>
          <t>KRONOBERGS LÄN</t>
        </is>
      </c>
      <c r="E4796" t="inlineStr">
        <is>
          <t>VÄXJÖ</t>
        </is>
      </c>
      <c r="F4796" t="inlineStr">
        <is>
          <t>Övriga Aktiebolag</t>
        </is>
      </c>
      <c r="G4796" t="n">
        <v>4.6</v>
      </c>
      <c r="H4796" t="n">
        <v>0</v>
      </c>
      <c r="I4796" t="n">
        <v>0</v>
      </c>
      <c r="J4796" t="n">
        <v>0</v>
      </c>
      <c r="K4796" t="n">
        <v>0</v>
      </c>
      <c r="L4796" t="n">
        <v>0</v>
      </c>
      <c r="M4796" t="n">
        <v>0</v>
      </c>
      <c r="N4796" t="n">
        <v>0</v>
      </c>
      <c r="O4796" t="n">
        <v>0</v>
      </c>
      <c r="P4796" t="n">
        <v>0</v>
      </c>
      <c r="Q4796" t="n">
        <v>0</v>
      </c>
      <c r="R4796" s="2" t="inlineStr"/>
    </row>
    <row r="4797" ht="15" customHeight="1">
      <c r="A4797" t="inlineStr">
        <is>
          <t>A 23662-2025</t>
        </is>
      </c>
      <c r="B4797" s="1" t="n">
        <v>45792.81104166667</v>
      </c>
      <c r="C4797" s="1" t="n">
        <v>46103</v>
      </c>
      <c r="D4797" t="inlineStr">
        <is>
          <t>KRONOBERGS LÄN</t>
        </is>
      </c>
      <c r="E4797" t="inlineStr">
        <is>
          <t>UPPVIDINGE</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25466-2025</t>
        </is>
      </c>
      <c r="B4798" s="1" t="n">
        <v>45802.48922453704</v>
      </c>
      <c r="C4798" s="1" t="n">
        <v>46103</v>
      </c>
      <c r="D4798" t="inlineStr">
        <is>
          <t>KRONOBERGS LÄN</t>
        </is>
      </c>
      <c r="E4798" t="inlineStr">
        <is>
          <t>MARKARYD</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5207-2024</t>
        </is>
      </c>
      <c r="B4799" s="1" t="n">
        <v>45330.61230324074</v>
      </c>
      <c r="C4799" s="1" t="n">
        <v>46103</v>
      </c>
      <c r="D4799" t="inlineStr">
        <is>
          <t>KRONOBERGS LÄN</t>
        </is>
      </c>
      <c r="E4799" t="inlineStr">
        <is>
          <t>TINGSRYD</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58181-2023</t>
        </is>
      </c>
      <c r="B4800" s="1" t="n">
        <v>45250.41039351852</v>
      </c>
      <c r="C4800" s="1" t="n">
        <v>46103</v>
      </c>
      <c r="D4800" t="inlineStr">
        <is>
          <t>KRONOBERGS LÄN</t>
        </is>
      </c>
      <c r="E4800" t="inlineStr">
        <is>
          <t>VÄXJÖ</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46065-2024</t>
        </is>
      </c>
      <c r="B4801" s="1" t="n">
        <v>45581.28953703704</v>
      </c>
      <c r="C4801" s="1" t="n">
        <v>46103</v>
      </c>
      <c r="D4801" t="inlineStr">
        <is>
          <t>KRONOBERGS LÄN</t>
        </is>
      </c>
      <c r="E4801" t="inlineStr">
        <is>
          <t>ÄLMHULT</t>
        </is>
      </c>
      <c r="G4801" t="n">
        <v>3.3</v>
      </c>
      <c r="H4801" t="n">
        <v>0</v>
      </c>
      <c r="I4801" t="n">
        <v>0</v>
      </c>
      <c r="J4801" t="n">
        <v>0</v>
      </c>
      <c r="K4801" t="n">
        <v>0</v>
      </c>
      <c r="L4801" t="n">
        <v>0</v>
      </c>
      <c r="M4801" t="n">
        <v>0</v>
      </c>
      <c r="N4801" t="n">
        <v>0</v>
      </c>
      <c r="O4801" t="n">
        <v>0</v>
      </c>
      <c r="P4801" t="n">
        <v>0</v>
      </c>
      <c r="Q4801" t="n">
        <v>0</v>
      </c>
      <c r="R4801" s="2" t="inlineStr"/>
    </row>
    <row r="4802" ht="15" customHeight="1">
      <c r="A4802" t="inlineStr">
        <is>
          <t>A 36157-2025</t>
        </is>
      </c>
      <c r="B4802" s="1" t="n">
        <v>45867.34890046297</v>
      </c>
      <c r="C4802" s="1" t="n">
        <v>46103</v>
      </c>
      <c r="D4802" t="inlineStr">
        <is>
          <t>KRONOBERGS LÄN</t>
        </is>
      </c>
      <c r="E4802" t="inlineStr">
        <is>
          <t>ÄLMHULT</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36062-2025</t>
        </is>
      </c>
      <c r="B4803" s="1" t="n">
        <v>45866.39836805555</v>
      </c>
      <c r="C4803" s="1" t="n">
        <v>46103</v>
      </c>
      <c r="D4803" t="inlineStr">
        <is>
          <t>KRONOBERGS LÄN</t>
        </is>
      </c>
      <c r="E4803" t="inlineStr">
        <is>
          <t>ÄLMHULT</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16355-2024</t>
        </is>
      </c>
      <c r="B4804" s="1" t="n">
        <v>45407.5816087963</v>
      </c>
      <c r="C4804" s="1" t="n">
        <v>46103</v>
      </c>
      <c r="D4804" t="inlineStr">
        <is>
          <t>KRONOBERGS LÄN</t>
        </is>
      </c>
      <c r="E4804" t="inlineStr">
        <is>
          <t>ALVESTA</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6071-2024</t>
        </is>
      </c>
      <c r="B4805" s="1" t="n">
        <v>45336</v>
      </c>
      <c r="C4805" s="1" t="n">
        <v>46103</v>
      </c>
      <c r="D4805" t="inlineStr">
        <is>
          <t>KRONOBERGS LÄN</t>
        </is>
      </c>
      <c r="E4805" t="inlineStr">
        <is>
          <t>UPPVIDINGE</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4721-2022</t>
        </is>
      </c>
      <c r="B4806" s="1" t="n">
        <v>44592.5402662037</v>
      </c>
      <c r="C4806" s="1" t="n">
        <v>46103</v>
      </c>
      <c r="D4806" t="inlineStr">
        <is>
          <t>KRONOBERGS LÄN</t>
        </is>
      </c>
      <c r="E4806" t="inlineStr">
        <is>
          <t>VÄXJÖ</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36345-2025</t>
        </is>
      </c>
      <c r="B4807" s="1" t="n">
        <v>45868</v>
      </c>
      <c r="C4807" s="1" t="n">
        <v>46103</v>
      </c>
      <c r="D4807" t="inlineStr">
        <is>
          <t>KRONOBERGS LÄN</t>
        </is>
      </c>
      <c r="E4807" t="inlineStr">
        <is>
          <t>ALVESTA</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56955-2024</t>
        </is>
      </c>
      <c r="B4808" s="1" t="n">
        <v>45628</v>
      </c>
      <c r="C4808" s="1" t="n">
        <v>46103</v>
      </c>
      <c r="D4808" t="inlineStr">
        <is>
          <t>KRONOBERGS LÄN</t>
        </is>
      </c>
      <c r="E4808" t="inlineStr">
        <is>
          <t>ÄLMHULT</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3105-2025</t>
        </is>
      </c>
      <c r="B4809" s="1" t="n">
        <v>45678</v>
      </c>
      <c r="C4809" s="1" t="n">
        <v>46103</v>
      </c>
      <c r="D4809" t="inlineStr">
        <is>
          <t>KRONOBERGS LÄN</t>
        </is>
      </c>
      <c r="E4809" t="inlineStr">
        <is>
          <t>VÄXJÖ</t>
        </is>
      </c>
      <c r="G4809" t="n">
        <v>3.5</v>
      </c>
      <c r="H4809" t="n">
        <v>0</v>
      </c>
      <c r="I4809" t="n">
        <v>0</v>
      </c>
      <c r="J4809" t="n">
        <v>0</v>
      </c>
      <c r="K4809" t="n">
        <v>0</v>
      </c>
      <c r="L4809" t="n">
        <v>0</v>
      </c>
      <c r="M4809" t="n">
        <v>0</v>
      </c>
      <c r="N4809" t="n">
        <v>0</v>
      </c>
      <c r="O4809" t="n">
        <v>0</v>
      </c>
      <c r="P4809" t="n">
        <v>0</v>
      </c>
      <c r="Q4809" t="n">
        <v>0</v>
      </c>
      <c r="R4809" s="2" t="inlineStr"/>
    </row>
    <row r="4810" ht="15" customHeight="1">
      <c r="A4810" t="inlineStr">
        <is>
          <t>A 36504-2025</t>
        </is>
      </c>
      <c r="B4810" s="1" t="n">
        <v>45869</v>
      </c>
      <c r="C4810" s="1" t="n">
        <v>46103</v>
      </c>
      <c r="D4810" t="inlineStr">
        <is>
          <t>KRONOBERGS LÄN</t>
        </is>
      </c>
      <c r="E4810" t="inlineStr">
        <is>
          <t>MARKARYD</t>
        </is>
      </c>
      <c r="F4810" t="inlineStr">
        <is>
          <t>Kyrkan</t>
        </is>
      </c>
      <c r="G4810" t="n">
        <v>8.300000000000001</v>
      </c>
      <c r="H4810" t="n">
        <v>0</v>
      </c>
      <c r="I4810" t="n">
        <v>0</v>
      </c>
      <c r="J4810" t="n">
        <v>0</v>
      </c>
      <c r="K4810" t="n">
        <v>0</v>
      </c>
      <c r="L4810" t="n">
        <v>0</v>
      </c>
      <c r="M4810" t="n">
        <v>0</v>
      </c>
      <c r="N4810" t="n">
        <v>0</v>
      </c>
      <c r="O4810" t="n">
        <v>0</v>
      </c>
      <c r="P4810" t="n">
        <v>0</v>
      </c>
      <c r="Q4810" t="n">
        <v>0</v>
      </c>
      <c r="R4810" s="2" t="inlineStr"/>
    </row>
    <row r="4811" ht="15" customHeight="1">
      <c r="A4811" t="inlineStr">
        <is>
          <t>A 3106-2025</t>
        </is>
      </c>
      <c r="B4811" s="1" t="n">
        <v>45678</v>
      </c>
      <c r="C4811" s="1" t="n">
        <v>46103</v>
      </c>
      <c r="D4811" t="inlineStr">
        <is>
          <t>KRONOBERGS LÄN</t>
        </is>
      </c>
      <c r="E4811" t="inlineStr">
        <is>
          <t>VÄXJÖ</t>
        </is>
      </c>
      <c r="G4811" t="n">
        <v>4.4</v>
      </c>
      <c r="H4811" t="n">
        <v>0</v>
      </c>
      <c r="I4811" t="n">
        <v>0</v>
      </c>
      <c r="J4811" t="n">
        <v>0</v>
      </c>
      <c r="K4811" t="n">
        <v>0</v>
      </c>
      <c r="L4811" t="n">
        <v>0</v>
      </c>
      <c r="M4811" t="n">
        <v>0</v>
      </c>
      <c r="N4811" t="n">
        <v>0</v>
      </c>
      <c r="O4811" t="n">
        <v>0</v>
      </c>
      <c r="P4811" t="n">
        <v>0</v>
      </c>
      <c r="Q4811" t="n">
        <v>0</v>
      </c>
      <c r="R4811" s="2" t="inlineStr"/>
    </row>
    <row r="4812" ht="15" customHeight="1">
      <c r="A4812" t="inlineStr">
        <is>
          <t>A 3108-2025</t>
        </is>
      </c>
      <c r="B4812" s="1" t="n">
        <v>45678</v>
      </c>
      <c r="C4812" s="1" t="n">
        <v>46103</v>
      </c>
      <c r="D4812" t="inlineStr">
        <is>
          <t>KRONOBERGS LÄN</t>
        </is>
      </c>
      <c r="E4812" t="inlineStr">
        <is>
          <t>VÄXJÖ</t>
        </is>
      </c>
      <c r="G4812" t="n">
        <v>4.6</v>
      </c>
      <c r="H4812" t="n">
        <v>0</v>
      </c>
      <c r="I4812" t="n">
        <v>0</v>
      </c>
      <c r="J4812" t="n">
        <v>0</v>
      </c>
      <c r="K4812" t="n">
        <v>0</v>
      </c>
      <c r="L4812" t="n">
        <v>0</v>
      </c>
      <c r="M4812" t="n">
        <v>0</v>
      </c>
      <c r="N4812" t="n">
        <v>0</v>
      </c>
      <c r="O4812" t="n">
        <v>0</v>
      </c>
      <c r="P4812" t="n">
        <v>0</v>
      </c>
      <c r="Q4812" t="n">
        <v>0</v>
      </c>
      <c r="R4812" s="2" t="inlineStr"/>
    </row>
    <row r="4813" ht="15" customHeight="1">
      <c r="A4813" t="inlineStr">
        <is>
          <t>A 3138-2025</t>
        </is>
      </c>
      <c r="B4813" s="1" t="n">
        <v>45678.75651620371</v>
      </c>
      <c r="C4813" s="1" t="n">
        <v>46103</v>
      </c>
      <c r="D4813" t="inlineStr">
        <is>
          <t>KRONOBERGS LÄN</t>
        </is>
      </c>
      <c r="E4813" t="inlineStr">
        <is>
          <t>MARKARYD</t>
        </is>
      </c>
      <c r="G4813" t="n">
        <v>7.8</v>
      </c>
      <c r="H4813" t="n">
        <v>0</v>
      </c>
      <c r="I4813" t="n">
        <v>0</v>
      </c>
      <c r="J4813" t="n">
        <v>0</v>
      </c>
      <c r="K4813" t="n">
        <v>0</v>
      </c>
      <c r="L4813" t="n">
        <v>0</v>
      </c>
      <c r="M4813" t="n">
        <v>0</v>
      </c>
      <c r="N4813" t="n">
        <v>0</v>
      </c>
      <c r="O4813" t="n">
        <v>0</v>
      </c>
      <c r="P4813" t="n">
        <v>0</v>
      </c>
      <c r="Q4813" t="n">
        <v>0</v>
      </c>
      <c r="R4813" s="2" t="inlineStr"/>
    </row>
    <row r="4814" ht="15" customHeight="1">
      <c r="A4814" t="inlineStr">
        <is>
          <t>A 3139-2025</t>
        </is>
      </c>
      <c r="B4814" s="1" t="n">
        <v>45678.75866898148</v>
      </c>
      <c r="C4814" s="1" t="n">
        <v>46103</v>
      </c>
      <c r="D4814" t="inlineStr">
        <is>
          <t>KRONOBERGS LÄN</t>
        </is>
      </c>
      <c r="E4814" t="inlineStr">
        <is>
          <t>MARKARYD</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3143-2025</t>
        </is>
      </c>
      <c r="B4815" s="1" t="n">
        <v>45678.76875</v>
      </c>
      <c r="C4815" s="1" t="n">
        <v>46103</v>
      </c>
      <c r="D4815" t="inlineStr">
        <is>
          <t>KRONOBERGS LÄN</t>
        </is>
      </c>
      <c r="E4815" t="inlineStr">
        <is>
          <t>MARKARYD</t>
        </is>
      </c>
      <c r="G4815" t="n">
        <v>3.7</v>
      </c>
      <c r="H4815" t="n">
        <v>0</v>
      </c>
      <c r="I4815" t="n">
        <v>0</v>
      </c>
      <c r="J4815" t="n">
        <v>0</v>
      </c>
      <c r="K4815" t="n">
        <v>0</v>
      </c>
      <c r="L4815" t="n">
        <v>0</v>
      </c>
      <c r="M4815" t="n">
        <v>0</v>
      </c>
      <c r="N4815" t="n">
        <v>0</v>
      </c>
      <c r="O4815" t="n">
        <v>0</v>
      </c>
      <c r="P4815" t="n">
        <v>0</v>
      </c>
      <c r="Q4815" t="n">
        <v>0</v>
      </c>
      <c r="R4815" s="2" t="inlineStr"/>
    </row>
    <row r="4816" ht="15" customHeight="1">
      <c r="A4816" t="inlineStr">
        <is>
          <t>A 11341-2025</t>
        </is>
      </c>
      <c r="B4816" s="1" t="n">
        <v>45726.49561342593</v>
      </c>
      <c r="C4816" s="1" t="n">
        <v>46103</v>
      </c>
      <c r="D4816" t="inlineStr">
        <is>
          <t>KRONOBERGS LÄN</t>
        </is>
      </c>
      <c r="E4816" t="inlineStr">
        <is>
          <t>ÄLMHULT</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25929-2024</t>
        </is>
      </c>
      <c r="B4817" s="1" t="n">
        <v>45467</v>
      </c>
      <c r="C4817" s="1" t="n">
        <v>46103</v>
      </c>
      <c r="D4817" t="inlineStr">
        <is>
          <t>KRONOBERGS LÄN</t>
        </is>
      </c>
      <c r="E4817" t="inlineStr">
        <is>
          <t>ALVESTA</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10892-2025</t>
        </is>
      </c>
      <c r="B4818" s="1" t="n">
        <v>45722.67716435185</v>
      </c>
      <c r="C4818" s="1" t="n">
        <v>46103</v>
      </c>
      <c r="D4818" t="inlineStr">
        <is>
          <t>KRONOBERGS LÄN</t>
        </is>
      </c>
      <c r="E4818" t="inlineStr">
        <is>
          <t>VÄXJÖ</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10930-2025</t>
        </is>
      </c>
      <c r="B4819" s="1" t="n">
        <v>45722.96171296296</v>
      </c>
      <c r="C4819" s="1" t="n">
        <v>46103</v>
      </c>
      <c r="D4819" t="inlineStr">
        <is>
          <t>KRONOBERGS LÄN</t>
        </is>
      </c>
      <c r="E4819" t="inlineStr">
        <is>
          <t>UPPVIDINGE</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73272-2021</t>
        </is>
      </c>
      <c r="B4820" s="1" t="n">
        <v>44550.91732638889</v>
      </c>
      <c r="C4820" s="1" t="n">
        <v>46103</v>
      </c>
      <c r="D4820" t="inlineStr">
        <is>
          <t>KRONOBERGS LÄN</t>
        </is>
      </c>
      <c r="E4820" t="inlineStr">
        <is>
          <t>TINGSRYD</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19286-2021</t>
        </is>
      </c>
      <c r="B4821" s="1" t="n">
        <v>44309</v>
      </c>
      <c r="C4821" s="1" t="n">
        <v>46103</v>
      </c>
      <c r="D4821" t="inlineStr">
        <is>
          <t>KRONOBERGS LÄN</t>
        </is>
      </c>
      <c r="E4821" t="inlineStr">
        <is>
          <t>ÄLMHULT</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19330-2021</t>
        </is>
      </c>
      <c r="B4822" s="1" t="n">
        <v>44309.56733796297</v>
      </c>
      <c r="C4822" s="1" t="n">
        <v>46103</v>
      </c>
      <c r="D4822" t="inlineStr">
        <is>
          <t>KRONOBERGS LÄN</t>
        </is>
      </c>
      <c r="E4822" t="inlineStr">
        <is>
          <t>ALVESTA</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36514-2025</t>
        </is>
      </c>
      <c r="B4823" s="1" t="n">
        <v>45869</v>
      </c>
      <c r="C4823" s="1" t="n">
        <v>46103</v>
      </c>
      <c r="D4823" t="inlineStr">
        <is>
          <t>KRONOBERGS LÄN</t>
        </is>
      </c>
      <c r="E4823" t="inlineStr">
        <is>
          <t>LJUNGBY</t>
        </is>
      </c>
      <c r="F4823" t="inlineStr">
        <is>
          <t>Kyrkan</t>
        </is>
      </c>
      <c r="G4823" t="n">
        <v>6.2</v>
      </c>
      <c r="H4823" t="n">
        <v>0</v>
      </c>
      <c r="I4823" t="n">
        <v>0</v>
      </c>
      <c r="J4823" t="n">
        <v>0</v>
      </c>
      <c r="K4823" t="n">
        <v>0</v>
      </c>
      <c r="L4823" t="n">
        <v>0</v>
      </c>
      <c r="M4823" t="n">
        <v>0</v>
      </c>
      <c r="N4823" t="n">
        <v>0</v>
      </c>
      <c r="O4823" t="n">
        <v>0</v>
      </c>
      <c r="P4823" t="n">
        <v>0</v>
      </c>
      <c r="Q4823" t="n">
        <v>0</v>
      </c>
      <c r="R4823" s="2" t="inlineStr"/>
    </row>
    <row r="4824" ht="15" customHeight="1">
      <c r="A4824" t="inlineStr">
        <is>
          <t>A 36340-2025</t>
        </is>
      </c>
      <c r="B4824" s="1" t="n">
        <v>45868.46616898148</v>
      </c>
      <c r="C4824" s="1" t="n">
        <v>46103</v>
      </c>
      <c r="D4824" t="inlineStr">
        <is>
          <t>KRONOBERGS LÄN</t>
        </is>
      </c>
      <c r="E4824" t="inlineStr">
        <is>
          <t>ALVESTA</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38005-2025</t>
        </is>
      </c>
      <c r="B4825" s="1" t="n">
        <v>45882</v>
      </c>
      <c r="C4825" s="1" t="n">
        <v>46103</v>
      </c>
      <c r="D4825" t="inlineStr">
        <is>
          <t>KRONOBERGS LÄN</t>
        </is>
      </c>
      <c r="E4825" t="inlineStr">
        <is>
          <t>MARKARYD</t>
        </is>
      </c>
      <c r="G4825" t="n">
        <v>0.2</v>
      </c>
      <c r="H4825" t="n">
        <v>0</v>
      </c>
      <c r="I4825" t="n">
        <v>0</v>
      </c>
      <c r="J4825" t="n">
        <v>0</v>
      </c>
      <c r="K4825" t="n">
        <v>0</v>
      </c>
      <c r="L4825" t="n">
        <v>0</v>
      </c>
      <c r="M4825" t="n">
        <v>0</v>
      </c>
      <c r="N4825" t="n">
        <v>0</v>
      </c>
      <c r="O4825" t="n">
        <v>0</v>
      </c>
      <c r="P4825" t="n">
        <v>0</v>
      </c>
      <c r="Q4825" t="n">
        <v>0</v>
      </c>
      <c r="R4825" s="2" t="inlineStr"/>
    </row>
    <row r="4826" ht="15" customHeight="1">
      <c r="A4826" t="inlineStr">
        <is>
          <t>A 36462-2025</t>
        </is>
      </c>
      <c r="B4826" s="1" t="n">
        <v>45869</v>
      </c>
      <c r="C4826" s="1" t="n">
        <v>46103</v>
      </c>
      <c r="D4826" t="inlineStr">
        <is>
          <t>KRONOBERGS LÄN</t>
        </is>
      </c>
      <c r="E4826" t="inlineStr">
        <is>
          <t>VÄXJÖ</t>
        </is>
      </c>
      <c r="F4826" t="inlineStr">
        <is>
          <t>Kyrkan</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36463-2025</t>
        </is>
      </c>
      <c r="B4827" s="1" t="n">
        <v>45869</v>
      </c>
      <c r="C4827" s="1" t="n">
        <v>46103</v>
      </c>
      <c r="D4827" t="inlineStr">
        <is>
          <t>KRONOBERGS LÄN</t>
        </is>
      </c>
      <c r="E4827" t="inlineStr">
        <is>
          <t>VÄXJÖ</t>
        </is>
      </c>
      <c r="F4827" t="inlineStr">
        <is>
          <t>Kyrkan</t>
        </is>
      </c>
      <c r="G4827" t="n">
        <v>5.3</v>
      </c>
      <c r="H4827" t="n">
        <v>0</v>
      </c>
      <c r="I4827" t="n">
        <v>0</v>
      </c>
      <c r="J4827" t="n">
        <v>0</v>
      </c>
      <c r="K4827" t="n">
        <v>0</v>
      </c>
      <c r="L4827" t="n">
        <v>0</v>
      </c>
      <c r="M4827" t="n">
        <v>0</v>
      </c>
      <c r="N4827" t="n">
        <v>0</v>
      </c>
      <c r="O4827" t="n">
        <v>0</v>
      </c>
      <c r="P4827" t="n">
        <v>0</v>
      </c>
      <c r="Q4827" t="n">
        <v>0</v>
      </c>
      <c r="R4827" s="2" t="inlineStr"/>
    </row>
    <row r="4828" ht="15" customHeight="1">
      <c r="A4828" t="inlineStr">
        <is>
          <t>A 36499-2025</t>
        </is>
      </c>
      <c r="B4828" s="1" t="n">
        <v>45869</v>
      </c>
      <c r="C4828" s="1" t="n">
        <v>46103</v>
      </c>
      <c r="D4828" t="inlineStr">
        <is>
          <t>KRONOBERGS LÄN</t>
        </is>
      </c>
      <c r="E4828" t="inlineStr">
        <is>
          <t>MARKARYD</t>
        </is>
      </c>
      <c r="F4828" t="inlineStr">
        <is>
          <t>Kyrkan</t>
        </is>
      </c>
      <c r="G4828" t="n">
        <v>10.3</v>
      </c>
      <c r="H4828" t="n">
        <v>0</v>
      </c>
      <c r="I4828" t="n">
        <v>0</v>
      </c>
      <c r="J4828" t="n">
        <v>0</v>
      </c>
      <c r="K4828" t="n">
        <v>0</v>
      </c>
      <c r="L4828" t="n">
        <v>0</v>
      </c>
      <c r="M4828" t="n">
        <v>0</v>
      </c>
      <c r="N4828" t="n">
        <v>0</v>
      </c>
      <c r="O4828" t="n">
        <v>0</v>
      </c>
      <c r="P4828" t="n">
        <v>0</v>
      </c>
      <c r="Q4828" t="n">
        <v>0</v>
      </c>
      <c r="R4828" s="2" t="inlineStr"/>
    </row>
    <row r="4829" ht="15" customHeight="1">
      <c r="A4829" t="inlineStr">
        <is>
          <t>A 11742-2025</t>
        </is>
      </c>
      <c r="B4829" s="1" t="n">
        <v>45727.63328703704</v>
      </c>
      <c r="C4829" s="1" t="n">
        <v>46103</v>
      </c>
      <c r="D4829" t="inlineStr">
        <is>
          <t>KRONOBERGS LÄN</t>
        </is>
      </c>
      <c r="E4829" t="inlineStr">
        <is>
          <t>VÄXJÖ</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21515-2025</t>
        </is>
      </c>
      <c r="B4830" s="1" t="n">
        <v>45782.63381944445</v>
      </c>
      <c r="C4830" s="1" t="n">
        <v>46103</v>
      </c>
      <c r="D4830" t="inlineStr">
        <is>
          <t>KRONOBERGS LÄN</t>
        </is>
      </c>
      <c r="E4830" t="inlineStr">
        <is>
          <t>VÄXJÖ</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8260-2024</t>
        </is>
      </c>
      <c r="B4831" s="1" t="n">
        <v>45352.31188657408</v>
      </c>
      <c r="C4831" s="1" t="n">
        <v>46103</v>
      </c>
      <c r="D4831" t="inlineStr">
        <is>
          <t>KRONOBERGS LÄN</t>
        </is>
      </c>
      <c r="E4831" t="inlineStr">
        <is>
          <t>ÄLMHULT</t>
        </is>
      </c>
      <c r="F4831" t="inlineStr">
        <is>
          <t>Sveaskog</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36375-2025</t>
        </is>
      </c>
      <c r="B4832" s="1" t="n">
        <v>45868.56194444445</v>
      </c>
      <c r="C4832" s="1" t="n">
        <v>46103</v>
      </c>
      <c r="D4832" t="inlineStr">
        <is>
          <t>KRONOBERGS LÄN</t>
        </is>
      </c>
      <c r="E4832" t="inlineStr">
        <is>
          <t>MARKARYD</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54436-2024</t>
        </is>
      </c>
      <c r="B4833" s="1" t="n">
        <v>45617.49510416666</v>
      </c>
      <c r="C4833" s="1" t="n">
        <v>46103</v>
      </c>
      <c r="D4833" t="inlineStr">
        <is>
          <t>KRONOBERGS LÄN</t>
        </is>
      </c>
      <c r="E4833" t="inlineStr">
        <is>
          <t>LJUNGBY</t>
        </is>
      </c>
      <c r="G4833" t="n">
        <v>3.9</v>
      </c>
      <c r="H4833" t="n">
        <v>0</v>
      </c>
      <c r="I4833" t="n">
        <v>0</v>
      </c>
      <c r="J4833" t="n">
        <v>0</v>
      </c>
      <c r="K4833" t="n">
        <v>0</v>
      </c>
      <c r="L4833" t="n">
        <v>0</v>
      </c>
      <c r="M4833" t="n">
        <v>0</v>
      </c>
      <c r="N4833" t="n">
        <v>0</v>
      </c>
      <c r="O4833" t="n">
        <v>0</v>
      </c>
      <c r="P4833" t="n">
        <v>0</v>
      </c>
      <c r="Q4833" t="n">
        <v>0</v>
      </c>
      <c r="R4833" s="2" t="inlineStr"/>
    </row>
    <row r="4834" ht="15" customHeight="1">
      <c r="A4834" t="inlineStr">
        <is>
          <t>A 40622-2024</t>
        </is>
      </c>
      <c r="B4834" s="1" t="n">
        <v>45557.57826388889</v>
      </c>
      <c r="C4834" s="1" t="n">
        <v>46103</v>
      </c>
      <c r="D4834" t="inlineStr">
        <is>
          <t>KRONOBERGS LÄN</t>
        </is>
      </c>
      <c r="E4834" t="inlineStr">
        <is>
          <t>VÄXJÖ</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60746-2024</t>
        </is>
      </c>
      <c r="B4835" s="1" t="n">
        <v>45644.55795138889</v>
      </c>
      <c r="C4835" s="1" t="n">
        <v>46103</v>
      </c>
      <c r="D4835" t="inlineStr">
        <is>
          <t>KRONOBERGS LÄN</t>
        </is>
      </c>
      <c r="E4835" t="inlineStr">
        <is>
          <t>TINGSRYD</t>
        </is>
      </c>
      <c r="G4835" t="n">
        <v>3.8</v>
      </c>
      <c r="H4835" t="n">
        <v>0</v>
      </c>
      <c r="I4835" t="n">
        <v>0</v>
      </c>
      <c r="J4835" t="n">
        <v>0</v>
      </c>
      <c r="K4835" t="n">
        <v>0</v>
      </c>
      <c r="L4835" t="n">
        <v>0</v>
      </c>
      <c r="M4835" t="n">
        <v>0</v>
      </c>
      <c r="N4835" t="n">
        <v>0</v>
      </c>
      <c r="O4835" t="n">
        <v>0</v>
      </c>
      <c r="P4835" t="n">
        <v>0</v>
      </c>
      <c r="Q4835" t="n">
        <v>0</v>
      </c>
      <c r="R4835" s="2" t="inlineStr"/>
    </row>
    <row r="4836" ht="15" customHeight="1">
      <c r="A4836" t="inlineStr">
        <is>
          <t>A 36383-2025</t>
        </is>
      </c>
      <c r="B4836" s="1" t="n">
        <v>45868.58482638889</v>
      </c>
      <c r="C4836" s="1" t="n">
        <v>46103</v>
      </c>
      <c r="D4836" t="inlineStr">
        <is>
          <t>KRONOBERGS LÄN</t>
        </is>
      </c>
      <c r="E4836" t="inlineStr">
        <is>
          <t>MARKARYD</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40650-2024</t>
        </is>
      </c>
      <c r="B4837" s="1" t="n">
        <v>45558.33003472222</v>
      </c>
      <c r="C4837" s="1" t="n">
        <v>46103</v>
      </c>
      <c r="D4837" t="inlineStr">
        <is>
          <t>KRONOBERGS LÄN</t>
        </is>
      </c>
      <c r="E4837" t="inlineStr">
        <is>
          <t>MARKARYD</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16936-2025</t>
        </is>
      </c>
      <c r="B4838" s="1" t="n">
        <v>45755.41075231481</v>
      </c>
      <c r="C4838" s="1" t="n">
        <v>46103</v>
      </c>
      <c r="D4838" t="inlineStr">
        <is>
          <t>KRONOBERGS LÄN</t>
        </is>
      </c>
      <c r="E4838" t="inlineStr">
        <is>
          <t>UPPVIDINGE</t>
        </is>
      </c>
      <c r="G4838" t="n">
        <v>3.1</v>
      </c>
      <c r="H4838" t="n">
        <v>0</v>
      </c>
      <c r="I4838" t="n">
        <v>0</v>
      </c>
      <c r="J4838" t="n">
        <v>0</v>
      </c>
      <c r="K4838" t="n">
        <v>0</v>
      </c>
      <c r="L4838" t="n">
        <v>0</v>
      </c>
      <c r="M4838" t="n">
        <v>0</v>
      </c>
      <c r="N4838" t="n">
        <v>0</v>
      </c>
      <c r="O4838" t="n">
        <v>0</v>
      </c>
      <c r="P4838" t="n">
        <v>0</v>
      </c>
      <c r="Q4838" t="n">
        <v>0</v>
      </c>
      <c r="R4838" s="2" t="inlineStr"/>
    </row>
    <row r="4839" ht="15" customHeight="1">
      <c r="A4839" t="inlineStr">
        <is>
          <t>A 36441-2025</t>
        </is>
      </c>
      <c r="B4839" s="1" t="n">
        <v>45869.39628472222</v>
      </c>
      <c r="C4839" s="1" t="n">
        <v>46103</v>
      </c>
      <c r="D4839" t="inlineStr">
        <is>
          <t>KRONOBERGS LÄN</t>
        </is>
      </c>
      <c r="E4839" t="inlineStr">
        <is>
          <t>UPPVIDINGE</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63432-2023</t>
        </is>
      </c>
      <c r="B4840" s="1" t="n">
        <v>45274.57935185185</v>
      </c>
      <c r="C4840" s="1" t="n">
        <v>46103</v>
      </c>
      <c r="D4840" t="inlineStr">
        <is>
          <t>KRONOBERGS LÄN</t>
        </is>
      </c>
      <c r="E4840" t="inlineStr">
        <is>
          <t>LJUNGBY</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14608-2024</t>
        </is>
      </c>
      <c r="B4841" s="1" t="n">
        <v>45396.86226851852</v>
      </c>
      <c r="C4841" s="1" t="n">
        <v>46103</v>
      </c>
      <c r="D4841" t="inlineStr">
        <is>
          <t>KRONOBERGS LÄN</t>
        </is>
      </c>
      <c r="E4841" t="inlineStr">
        <is>
          <t>LJUNGBY</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43403-2024</t>
        </is>
      </c>
      <c r="B4842" s="1" t="n">
        <v>45568</v>
      </c>
      <c r="C4842" s="1" t="n">
        <v>46103</v>
      </c>
      <c r="D4842" t="inlineStr">
        <is>
          <t>KRONOBERGS LÄN</t>
        </is>
      </c>
      <c r="E4842" t="inlineStr">
        <is>
          <t>UPPVIDINGE</t>
        </is>
      </c>
      <c r="F4842" t="inlineStr">
        <is>
          <t>Kyrkan</t>
        </is>
      </c>
      <c r="G4842" t="n">
        <v>5.8</v>
      </c>
      <c r="H4842" t="n">
        <v>0</v>
      </c>
      <c r="I4842" t="n">
        <v>0</v>
      </c>
      <c r="J4842" t="n">
        <v>0</v>
      </c>
      <c r="K4842" t="n">
        <v>0</v>
      </c>
      <c r="L4842" t="n">
        <v>0</v>
      </c>
      <c r="M4842" t="n">
        <v>0</v>
      </c>
      <c r="N4842" t="n">
        <v>0</v>
      </c>
      <c r="O4842" t="n">
        <v>0</v>
      </c>
      <c r="P4842" t="n">
        <v>0</v>
      </c>
      <c r="Q4842" t="n">
        <v>0</v>
      </c>
      <c r="R4842" s="2" t="inlineStr"/>
    </row>
    <row r="4843" ht="15" customHeight="1">
      <c r="A4843" t="inlineStr">
        <is>
          <t>A 36725-2025</t>
        </is>
      </c>
      <c r="B4843" s="1" t="n">
        <v>45873.48318287037</v>
      </c>
      <c r="C4843" s="1" t="n">
        <v>46103</v>
      </c>
      <c r="D4843" t="inlineStr">
        <is>
          <t>KRONOBERGS LÄN</t>
        </is>
      </c>
      <c r="E4843" t="inlineStr">
        <is>
          <t>TINGSRYD</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36729-2025</t>
        </is>
      </c>
      <c r="B4844" s="1" t="n">
        <v>45873.49777777777</v>
      </c>
      <c r="C4844" s="1" t="n">
        <v>46103</v>
      </c>
      <c r="D4844" t="inlineStr">
        <is>
          <t>KRONOBERGS LÄN</t>
        </is>
      </c>
      <c r="E4844" t="inlineStr">
        <is>
          <t>ÄLMHULT</t>
        </is>
      </c>
      <c r="G4844" t="n">
        <v>4.3</v>
      </c>
      <c r="H4844" t="n">
        <v>0</v>
      </c>
      <c r="I4844" t="n">
        <v>0</v>
      </c>
      <c r="J4844" t="n">
        <v>0</v>
      </c>
      <c r="K4844" t="n">
        <v>0</v>
      </c>
      <c r="L4844" t="n">
        <v>0</v>
      </c>
      <c r="M4844" t="n">
        <v>0</v>
      </c>
      <c r="N4844" t="n">
        <v>0</v>
      </c>
      <c r="O4844" t="n">
        <v>0</v>
      </c>
      <c r="P4844" t="n">
        <v>0</v>
      </c>
      <c r="Q4844" t="n">
        <v>0</v>
      </c>
      <c r="R4844" s="2" t="inlineStr"/>
    </row>
    <row r="4845" ht="15" customHeight="1">
      <c r="A4845" t="inlineStr">
        <is>
          <t>A 9333-2025</t>
        </is>
      </c>
      <c r="B4845" s="1" t="n">
        <v>45714.80106481481</v>
      </c>
      <c r="C4845" s="1" t="n">
        <v>46103</v>
      </c>
      <c r="D4845" t="inlineStr">
        <is>
          <t>KRONOBERGS LÄN</t>
        </is>
      </c>
      <c r="E4845" t="inlineStr">
        <is>
          <t>LJUNGBY</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43447-2022</t>
        </is>
      </c>
      <c r="B4846" s="1" t="n">
        <v>44835</v>
      </c>
      <c r="C4846" s="1" t="n">
        <v>46103</v>
      </c>
      <c r="D4846" t="inlineStr">
        <is>
          <t>KRONOBERGS LÄN</t>
        </is>
      </c>
      <c r="E4846" t="inlineStr">
        <is>
          <t>MARKARYD</t>
        </is>
      </c>
      <c r="G4846" t="n">
        <v>4.6</v>
      </c>
      <c r="H4846" t="n">
        <v>0</v>
      </c>
      <c r="I4846" t="n">
        <v>0</v>
      </c>
      <c r="J4846" t="n">
        <v>0</v>
      </c>
      <c r="K4846" t="n">
        <v>0</v>
      </c>
      <c r="L4846" t="n">
        <v>0</v>
      </c>
      <c r="M4846" t="n">
        <v>0</v>
      </c>
      <c r="N4846" t="n">
        <v>0</v>
      </c>
      <c r="O4846" t="n">
        <v>0</v>
      </c>
      <c r="P4846" t="n">
        <v>0</v>
      </c>
      <c r="Q4846" t="n">
        <v>0</v>
      </c>
      <c r="R4846" s="2" t="inlineStr"/>
    </row>
    <row r="4847" ht="15" customHeight="1">
      <c r="A4847" t="inlineStr">
        <is>
          <t>A 13873-2024</t>
        </is>
      </c>
      <c r="B4847" s="1" t="n">
        <v>45391.58608796296</v>
      </c>
      <c r="C4847" s="1" t="n">
        <v>46103</v>
      </c>
      <c r="D4847" t="inlineStr">
        <is>
          <t>KRONOBERGS LÄN</t>
        </is>
      </c>
      <c r="E4847" t="inlineStr">
        <is>
          <t>UPPVIDINGE</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35170-2023</t>
        </is>
      </c>
      <c r="B4848" s="1" t="n">
        <v>45145.58085648148</v>
      </c>
      <c r="C4848" s="1" t="n">
        <v>46103</v>
      </c>
      <c r="D4848" t="inlineStr">
        <is>
          <t>KRONOBERGS LÄN</t>
        </is>
      </c>
      <c r="E4848" t="inlineStr">
        <is>
          <t>LJUNGBY</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19240-2025</t>
        </is>
      </c>
      <c r="B4849" s="1" t="n">
        <v>45769.47458333334</v>
      </c>
      <c r="C4849" s="1" t="n">
        <v>46103</v>
      </c>
      <c r="D4849" t="inlineStr">
        <is>
          <t>KRONOBERGS LÄN</t>
        </is>
      </c>
      <c r="E4849" t="inlineStr">
        <is>
          <t>MARKARYD</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54177-2022</t>
        </is>
      </c>
      <c r="B4850" s="1" t="n">
        <v>44881</v>
      </c>
      <c r="C4850" s="1" t="n">
        <v>46103</v>
      </c>
      <c r="D4850" t="inlineStr">
        <is>
          <t>KRONOBERGS LÄN</t>
        </is>
      </c>
      <c r="E4850" t="inlineStr">
        <is>
          <t>LJUNGBY</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25997-2025</t>
        </is>
      </c>
      <c r="B4851" s="1" t="n">
        <v>45804.6612962963</v>
      </c>
      <c r="C4851" s="1" t="n">
        <v>46103</v>
      </c>
      <c r="D4851" t="inlineStr">
        <is>
          <t>KRONOBERGS LÄN</t>
        </is>
      </c>
      <c r="E4851" t="inlineStr">
        <is>
          <t>LJUNGBY</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37682-2021</t>
        </is>
      </c>
      <c r="B4852" s="1" t="n">
        <v>44400</v>
      </c>
      <c r="C4852" s="1" t="n">
        <v>46103</v>
      </c>
      <c r="D4852" t="inlineStr">
        <is>
          <t>KRONOBERGS LÄN</t>
        </is>
      </c>
      <c r="E4852" t="inlineStr">
        <is>
          <t>UPPVIDINGE</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36515-2025</t>
        </is>
      </c>
      <c r="B4853" s="1" t="n">
        <v>45869</v>
      </c>
      <c r="C4853" s="1" t="n">
        <v>46103</v>
      </c>
      <c r="D4853" t="inlineStr">
        <is>
          <t>KRONOBERGS LÄN</t>
        </is>
      </c>
      <c r="E4853" t="inlineStr">
        <is>
          <t>LJUNGBY</t>
        </is>
      </c>
      <c r="F4853" t="inlineStr">
        <is>
          <t>Kyrkan</t>
        </is>
      </c>
      <c r="G4853" t="n">
        <v>4.2</v>
      </c>
      <c r="H4853" t="n">
        <v>0</v>
      </c>
      <c r="I4853" t="n">
        <v>0</v>
      </c>
      <c r="J4853" t="n">
        <v>0</v>
      </c>
      <c r="K4853" t="n">
        <v>0</v>
      </c>
      <c r="L4853" t="n">
        <v>0</v>
      </c>
      <c r="M4853" t="n">
        <v>0</v>
      </c>
      <c r="N4853" t="n">
        <v>0</v>
      </c>
      <c r="O4853" t="n">
        <v>0</v>
      </c>
      <c r="P4853" t="n">
        <v>0</v>
      </c>
      <c r="Q4853" t="n">
        <v>0</v>
      </c>
      <c r="R4853" s="2" t="inlineStr"/>
    </row>
    <row r="4854" ht="15" customHeight="1">
      <c r="A4854" t="inlineStr">
        <is>
          <t>A 34477-2025</t>
        </is>
      </c>
      <c r="B4854" s="1" t="n">
        <v>45847.3721412037</v>
      </c>
      <c r="C4854" s="1" t="n">
        <v>46103</v>
      </c>
      <c r="D4854" t="inlineStr">
        <is>
          <t>KRONOBERGS LÄN</t>
        </is>
      </c>
      <c r="E4854" t="inlineStr">
        <is>
          <t>LJUNGBY</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17130-2025</t>
        </is>
      </c>
      <c r="B4855" s="1" t="n">
        <v>45755.74106481481</v>
      </c>
      <c r="C4855" s="1" t="n">
        <v>46103</v>
      </c>
      <c r="D4855" t="inlineStr">
        <is>
          <t>KRONOBERGS LÄN</t>
        </is>
      </c>
      <c r="E4855" t="inlineStr">
        <is>
          <t>TINGSRYD</t>
        </is>
      </c>
      <c r="G4855" t="n">
        <v>3.6</v>
      </c>
      <c r="H4855" t="n">
        <v>0</v>
      </c>
      <c r="I4855" t="n">
        <v>0</v>
      </c>
      <c r="J4855" t="n">
        <v>0</v>
      </c>
      <c r="K4855" t="n">
        <v>0</v>
      </c>
      <c r="L4855" t="n">
        <v>0</v>
      </c>
      <c r="M4855" t="n">
        <v>0</v>
      </c>
      <c r="N4855" t="n">
        <v>0</v>
      </c>
      <c r="O4855" t="n">
        <v>0</v>
      </c>
      <c r="P4855" t="n">
        <v>0</v>
      </c>
      <c r="Q4855" t="n">
        <v>0</v>
      </c>
      <c r="R4855" s="2" t="inlineStr"/>
    </row>
    <row r="4856" ht="15" customHeight="1">
      <c r="A4856" t="inlineStr">
        <is>
          <t>A 7008-2025</t>
        </is>
      </c>
      <c r="B4856" s="1" t="n">
        <v>45701.60341435186</v>
      </c>
      <c r="C4856" s="1" t="n">
        <v>46103</v>
      </c>
      <c r="D4856" t="inlineStr">
        <is>
          <t>KRONOBERGS LÄN</t>
        </is>
      </c>
      <c r="E4856" t="inlineStr">
        <is>
          <t>LJUNGBY</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56832-2022</t>
        </is>
      </c>
      <c r="B4857" s="1" t="n">
        <v>44894.45888888889</v>
      </c>
      <c r="C4857" s="1" t="n">
        <v>46103</v>
      </c>
      <c r="D4857" t="inlineStr">
        <is>
          <t>KRONOBERGS LÄN</t>
        </is>
      </c>
      <c r="E4857" t="inlineStr">
        <is>
          <t>LJUNGBY</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61670-2024</t>
        </is>
      </c>
      <c r="B4858" s="1" t="n">
        <v>45647</v>
      </c>
      <c r="C4858" s="1" t="n">
        <v>46103</v>
      </c>
      <c r="D4858" t="inlineStr">
        <is>
          <t>KRONOBERGS LÄN</t>
        </is>
      </c>
      <c r="E4858" t="inlineStr">
        <is>
          <t>LJUNGBY</t>
        </is>
      </c>
      <c r="G4858" t="n">
        <v>3.7</v>
      </c>
      <c r="H4858" t="n">
        <v>0</v>
      </c>
      <c r="I4858" t="n">
        <v>0</v>
      </c>
      <c r="J4858" t="n">
        <v>0</v>
      </c>
      <c r="K4858" t="n">
        <v>0</v>
      </c>
      <c r="L4858" t="n">
        <v>0</v>
      </c>
      <c r="M4858" t="n">
        <v>0</v>
      </c>
      <c r="N4858" t="n">
        <v>0</v>
      </c>
      <c r="O4858" t="n">
        <v>0</v>
      </c>
      <c r="P4858" t="n">
        <v>0</v>
      </c>
      <c r="Q4858" t="n">
        <v>0</v>
      </c>
      <c r="R4858" s="2" t="inlineStr"/>
    </row>
    <row r="4859" ht="15" customHeight="1">
      <c r="A4859" t="inlineStr">
        <is>
          <t>A 3203-2023</t>
        </is>
      </c>
      <c r="B4859" s="1" t="n">
        <v>44946.62486111111</v>
      </c>
      <c r="C4859" s="1" t="n">
        <v>46103</v>
      </c>
      <c r="D4859" t="inlineStr">
        <is>
          <t>KRONOBERGS LÄN</t>
        </is>
      </c>
      <c r="E4859" t="inlineStr">
        <is>
          <t>LJUNGBY</t>
        </is>
      </c>
      <c r="F4859" t="inlineStr">
        <is>
          <t>Kommuner</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34475-2025</t>
        </is>
      </c>
      <c r="B4860" s="1" t="n">
        <v>45847</v>
      </c>
      <c r="C4860" s="1" t="n">
        <v>46103</v>
      </c>
      <c r="D4860" t="inlineStr">
        <is>
          <t>KRONOBERGS LÄN</t>
        </is>
      </c>
      <c r="E4860" t="inlineStr">
        <is>
          <t>LJUNGBY</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13998-2025</t>
        </is>
      </c>
      <c r="B4861" s="1" t="n">
        <v>45739.84453703704</v>
      </c>
      <c r="C4861" s="1" t="n">
        <v>46103</v>
      </c>
      <c r="D4861" t="inlineStr">
        <is>
          <t>KRONOBERGS LÄN</t>
        </is>
      </c>
      <c r="E4861" t="inlineStr">
        <is>
          <t>LJUNGBY</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21788-2025</t>
        </is>
      </c>
      <c r="B4862" s="1" t="n">
        <v>45783.67510416666</v>
      </c>
      <c r="C4862" s="1" t="n">
        <v>46103</v>
      </c>
      <c r="D4862" t="inlineStr">
        <is>
          <t>KRONOBERGS LÄN</t>
        </is>
      </c>
      <c r="E4862" t="inlineStr">
        <is>
          <t>LJUNGBY</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62030-2023</t>
        </is>
      </c>
      <c r="B4863" s="1" t="n">
        <v>45266.66293981481</v>
      </c>
      <c r="C4863" s="1" t="n">
        <v>46103</v>
      </c>
      <c r="D4863" t="inlineStr">
        <is>
          <t>KRONOBERGS LÄN</t>
        </is>
      </c>
      <c r="E4863" t="inlineStr">
        <is>
          <t>MARKARYD</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13388-2023</t>
        </is>
      </c>
      <c r="B4864" s="1" t="n">
        <v>45005</v>
      </c>
      <c r="C4864" s="1" t="n">
        <v>46103</v>
      </c>
      <c r="D4864" t="inlineStr">
        <is>
          <t>KRONOBERGS LÄN</t>
        </is>
      </c>
      <c r="E4864" t="inlineStr">
        <is>
          <t>LJUNGBY</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61893-2022</t>
        </is>
      </c>
      <c r="B4865" s="1" t="n">
        <v>44917</v>
      </c>
      <c r="C4865" s="1" t="n">
        <v>46103</v>
      </c>
      <c r="D4865" t="inlineStr">
        <is>
          <t>KRONOBERGS LÄN</t>
        </is>
      </c>
      <c r="E4865" t="inlineStr">
        <is>
          <t>LJUNGBY</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7004-2025</t>
        </is>
      </c>
      <c r="B4866" s="1" t="n">
        <v>45701.59954861111</v>
      </c>
      <c r="C4866" s="1" t="n">
        <v>46103</v>
      </c>
      <c r="D4866" t="inlineStr">
        <is>
          <t>KRONOBERGS LÄN</t>
        </is>
      </c>
      <c r="E4866" t="inlineStr">
        <is>
          <t>LJUNGBY</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60979-2023</t>
        </is>
      </c>
      <c r="B4867" s="1" t="n">
        <v>45261</v>
      </c>
      <c r="C4867" s="1" t="n">
        <v>46103</v>
      </c>
      <c r="D4867" t="inlineStr">
        <is>
          <t>KRONOBERGS LÄN</t>
        </is>
      </c>
      <c r="E4867" t="inlineStr">
        <is>
          <t>TINGSRYD</t>
        </is>
      </c>
      <c r="G4867" t="n">
        <v>3.2</v>
      </c>
      <c r="H4867" t="n">
        <v>0</v>
      </c>
      <c r="I4867" t="n">
        <v>0</v>
      </c>
      <c r="J4867" t="n">
        <v>0</v>
      </c>
      <c r="K4867" t="n">
        <v>0</v>
      </c>
      <c r="L4867" t="n">
        <v>0</v>
      </c>
      <c r="M4867" t="n">
        <v>0</v>
      </c>
      <c r="N4867" t="n">
        <v>0</v>
      </c>
      <c r="O4867" t="n">
        <v>0</v>
      </c>
      <c r="P4867" t="n">
        <v>0</v>
      </c>
      <c r="Q4867" t="n">
        <v>0</v>
      </c>
      <c r="R4867" s="2" t="inlineStr"/>
    </row>
    <row r="4868" ht="15" customHeight="1">
      <c r="A4868" t="inlineStr">
        <is>
          <t>A 32617-2024</t>
        </is>
      </c>
      <c r="B4868" s="1" t="n">
        <v>45513.67152777778</v>
      </c>
      <c r="C4868" s="1" t="n">
        <v>46103</v>
      </c>
      <c r="D4868" t="inlineStr">
        <is>
          <t>KRONOBERGS LÄN</t>
        </is>
      </c>
      <c r="E4868" t="inlineStr">
        <is>
          <t>ÄLMHULT</t>
        </is>
      </c>
      <c r="G4868" t="n">
        <v>7.6</v>
      </c>
      <c r="H4868" t="n">
        <v>0</v>
      </c>
      <c r="I4868" t="n">
        <v>0</v>
      </c>
      <c r="J4868" t="n">
        <v>0</v>
      </c>
      <c r="K4868" t="n">
        <v>0</v>
      </c>
      <c r="L4868" t="n">
        <v>0</v>
      </c>
      <c r="M4868" t="n">
        <v>0</v>
      </c>
      <c r="N4868" t="n">
        <v>0</v>
      </c>
      <c r="O4868" t="n">
        <v>0</v>
      </c>
      <c r="P4868" t="n">
        <v>0</v>
      </c>
      <c r="Q4868" t="n">
        <v>0</v>
      </c>
      <c r="R4868" s="2" t="inlineStr"/>
    </row>
    <row r="4869" ht="15" customHeight="1">
      <c r="A4869" t="inlineStr">
        <is>
          <t>A 18567-2024</t>
        </is>
      </c>
      <c r="B4869" s="1" t="n">
        <v>45425.69540509259</v>
      </c>
      <c r="C4869" s="1" t="n">
        <v>46103</v>
      </c>
      <c r="D4869" t="inlineStr">
        <is>
          <t>KRONOBERGS LÄN</t>
        </is>
      </c>
      <c r="E4869" t="inlineStr">
        <is>
          <t>LJUNGBY</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55752-2023</t>
        </is>
      </c>
      <c r="B4870" s="1" t="n">
        <v>45239</v>
      </c>
      <c r="C4870" s="1" t="n">
        <v>46103</v>
      </c>
      <c r="D4870" t="inlineStr">
        <is>
          <t>KRONOBERGS LÄN</t>
        </is>
      </c>
      <c r="E4870" t="inlineStr">
        <is>
          <t>LJUNGBY</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60214-2021</t>
        </is>
      </c>
      <c r="B4871" s="1" t="n">
        <v>44495</v>
      </c>
      <c r="C4871" s="1" t="n">
        <v>46103</v>
      </c>
      <c r="D4871" t="inlineStr">
        <is>
          <t>KRONOBERGS LÄN</t>
        </is>
      </c>
      <c r="E4871" t="inlineStr">
        <is>
          <t>TINGSRYD</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28350-2023</t>
        </is>
      </c>
      <c r="B4872" s="1" t="n">
        <v>45099.91826388889</v>
      </c>
      <c r="C4872" s="1" t="n">
        <v>46103</v>
      </c>
      <c r="D4872" t="inlineStr">
        <is>
          <t>KRONOBERGS LÄN</t>
        </is>
      </c>
      <c r="E4872" t="inlineStr">
        <is>
          <t>LJUNGBY</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10085-2022</t>
        </is>
      </c>
      <c r="B4873" s="1" t="n">
        <v>44621.66707175926</v>
      </c>
      <c r="C4873" s="1" t="n">
        <v>46103</v>
      </c>
      <c r="D4873" t="inlineStr">
        <is>
          <t>KRONOBERGS LÄN</t>
        </is>
      </c>
      <c r="E4873" t="inlineStr">
        <is>
          <t>LJUNGBY</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23075-2021</t>
        </is>
      </c>
      <c r="B4874" s="1" t="n">
        <v>44330.36730324074</v>
      </c>
      <c r="C4874" s="1" t="n">
        <v>46103</v>
      </c>
      <c r="D4874" t="inlineStr">
        <is>
          <t>KRONOBERGS LÄN</t>
        </is>
      </c>
      <c r="E4874" t="inlineStr">
        <is>
          <t>LJUNGBY</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2351-2025</t>
        </is>
      </c>
      <c r="B4875" s="1" t="n">
        <v>45673.6791087963</v>
      </c>
      <c r="C4875" s="1" t="n">
        <v>46103</v>
      </c>
      <c r="D4875" t="inlineStr">
        <is>
          <t>KRONOBERGS LÄN</t>
        </is>
      </c>
      <c r="E4875" t="inlineStr">
        <is>
          <t>MARKARYD</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46856-2021</t>
        </is>
      </c>
      <c r="B4876" s="1" t="n">
        <v>44446</v>
      </c>
      <c r="C4876" s="1" t="n">
        <v>46103</v>
      </c>
      <c r="D4876" t="inlineStr">
        <is>
          <t>KRONOBERGS LÄN</t>
        </is>
      </c>
      <c r="E4876" t="inlineStr">
        <is>
          <t>LJUNGBY</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29406-2025</t>
        </is>
      </c>
      <c r="B4877" s="1" t="n">
        <v>45824.61572916667</v>
      </c>
      <c r="C4877" s="1" t="n">
        <v>46103</v>
      </c>
      <c r="D4877" t="inlineStr">
        <is>
          <t>KRONOBERGS LÄN</t>
        </is>
      </c>
      <c r="E4877" t="inlineStr">
        <is>
          <t>LJUNGBY</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25152-2023</t>
        </is>
      </c>
      <c r="B4878" s="1" t="n">
        <v>45079</v>
      </c>
      <c r="C4878" s="1" t="n">
        <v>46103</v>
      </c>
      <c r="D4878" t="inlineStr">
        <is>
          <t>KRONOBERGS LÄN</t>
        </is>
      </c>
      <c r="E4878" t="inlineStr">
        <is>
          <t>LJUNGBY</t>
        </is>
      </c>
      <c r="G4878" t="n">
        <v>5.4</v>
      </c>
      <c r="H4878" t="n">
        <v>0</v>
      </c>
      <c r="I4878" t="n">
        <v>0</v>
      </c>
      <c r="J4878" t="n">
        <v>0</v>
      </c>
      <c r="K4878" t="n">
        <v>0</v>
      </c>
      <c r="L4878" t="n">
        <v>0</v>
      </c>
      <c r="M4878" t="n">
        <v>0</v>
      </c>
      <c r="N4878" t="n">
        <v>0</v>
      </c>
      <c r="O4878" t="n">
        <v>0</v>
      </c>
      <c r="P4878" t="n">
        <v>0</v>
      </c>
      <c r="Q4878" t="n">
        <v>0</v>
      </c>
      <c r="R4878" s="2" t="inlineStr"/>
    </row>
    <row r="4879" ht="15" customHeight="1">
      <c r="A4879" t="inlineStr">
        <is>
          <t>A 70888-2021</t>
        </is>
      </c>
      <c r="B4879" s="1" t="n">
        <v>44538.40638888889</v>
      </c>
      <c r="C4879" s="1" t="n">
        <v>46103</v>
      </c>
      <c r="D4879" t="inlineStr">
        <is>
          <t>KRONOBERGS LÄN</t>
        </is>
      </c>
      <c r="E4879" t="inlineStr">
        <is>
          <t>LJUNGBY</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61676-2024</t>
        </is>
      </c>
      <c r="B4880" s="1" t="n">
        <v>45647</v>
      </c>
      <c r="C4880" s="1" t="n">
        <v>46103</v>
      </c>
      <c r="D4880" t="inlineStr">
        <is>
          <t>KRONOBERGS LÄN</t>
        </is>
      </c>
      <c r="E4880" t="inlineStr">
        <is>
          <t>LJUNGBY</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27887-2024</t>
        </is>
      </c>
      <c r="B4881" s="1" t="n">
        <v>45475</v>
      </c>
      <c r="C4881" s="1" t="n">
        <v>46103</v>
      </c>
      <c r="D4881" t="inlineStr">
        <is>
          <t>KRONOBERGS LÄN</t>
        </is>
      </c>
      <c r="E4881" t="inlineStr">
        <is>
          <t>UPPVIDINGE</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25999-2025</t>
        </is>
      </c>
      <c r="B4882" s="1" t="n">
        <v>45804.66229166667</v>
      </c>
      <c r="C4882" s="1" t="n">
        <v>46103</v>
      </c>
      <c r="D4882" t="inlineStr">
        <is>
          <t>KRONOBERGS LÄN</t>
        </is>
      </c>
      <c r="E4882" t="inlineStr">
        <is>
          <t>LJUNGBY</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19712-2024</t>
        </is>
      </c>
      <c r="B4883" s="1" t="n">
        <v>45432.55671296296</v>
      </c>
      <c r="C4883" s="1" t="n">
        <v>46103</v>
      </c>
      <c r="D4883" t="inlineStr">
        <is>
          <t>KRONOBERGS LÄN</t>
        </is>
      </c>
      <c r="E4883" t="inlineStr">
        <is>
          <t>VÄXJÖ</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14561-2024</t>
        </is>
      </c>
      <c r="B4884" s="1" t="n">
        <v>45394.73528935185</v>
      </c>
      <c r="C4884" s="1" t="n">
        <v>46103</v>
      </c>
      <c r="D4884" t="inlineStr">
        <is>
          <t>KRONOBERGS LÄN</t>
        </is>
      </c>
      <c r="E4884" t="inlineStr">
        <is>
          <t>LJUNGBY</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18427-2022</t>
        </is>
      </c>
      <c r="B4885" s="1" t="n">
        <v>44686.44046296296</v>
      </c>
      <c r="C4885" s="1" t="n">
        <v>46103</v>
      </c>
      <c r="D4885" t="inlineStr">
        <is>
          <t>KRONOBERGS LÄN</t>
        </is>
      </c>
      <c r="E4885" t="inlineStr">
        <is>
          <t>VÄXJÖ</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36781-2025</t>
        </is>
      </c>
      <c r="B4886" s="1" t="n">
        <v>45873.60206018519</v>
      </c>
      <c r="C4886" s="1" t="n">
        <v>46103</v>
      </c>
      <c r="D4886" t="inlineStr">
        <is>
          <t>KRONOBERGS LÄN</t>
        </is>
      </c>
      <c r="E4886" t="inlineStr">
        <is>
          <t>ALVESTA</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59803-2024</t>
        </is>
      </c>
      <c r="B4887" s="1" t="n">
        <v>45639.59918981481</v>
      </c>
      <c r="C4887" s="1" t="n">
        <v>46103</v>
      </c>
      <c r="D4887" t="inlineStr">
        <is>
          <t>KRONOBERGS LÄN</t>
        </is>
      </c>
      <c r="E4887" t="inlineStr">
        <is>
          <t>UPPVIDINGE</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26001-2025</t>
        </is>
      </c>
      <c r="B4888" s="1" t="n">
        <v>45804</v>
      </c>
      <c r="C4888" s="1" t="n">
        <v>46103</v>
      </c>
      <c r="D4888" t="inlineStr">
        <is>
          <t>KRONOBERGS LÄN</t>
        </is>
      </c>
      <c r="E4888" t="inlineStr">
        <is>
          <t>LJUNGBY</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36513-2025</t>
        </is>
      </c>
      <c r="B4889" s="1" t="n">
        <v>45869</v>
      </c>
      <c r="C4889" s="1" t="n">
        <v>46103</v>
      </c>
      <c r="D4889" t="inlineStr">
        <is>
          <t>KRONOBERGS LÄN</t>
        </is>
      </c>
      <c r="E4889" t="inlineStr">
        <is>
          <t>LJUNGBY</t>
        </is>
      </c>
      <c r="F4889" t="inlineStr">
        <is>
          <t>Kyrkan</t>
        </is>
      </c>
      <c r="G4889" t="n">
        <v>7.2</v>
      </c>
      <c r="H4889" t="n">
        <v>0</v>
      </c>
      <c r="I4889" t="n">
        <v>0</v>
      </c>
      <c r="J4889" t="n">
        <v>0</v>
      </c>
      <c r="K4889" t="n">
        <v>0</v>
      </c>
      <c r="L4889" t="n">
        <v>0</v>
      </c>
      <c r="M4889" t="n">
        <v>0</v>
      </c>
      <c r="N4889" t="n">
        <v>0</v>
      </c>
      <c r="O4889" t="n">
        <v>0</v>
      </c>
      <c r="P4889" t="n">
        <v>0</v>
      </c>
      <c r="Q4889" t="n">
        <v>0</v>
      </c>
      <c r="R4889" s="2" t="inlineStr"/>
    </row>
    <row r="4890" ht="15" customHeight="1">
      <c r="A4890" t="inlineStr">
        <is>
          <t>A 64509-2023</t>
        </is>
      </c>
      <c r="B4890" s="1" t="n">
        <v>45281.30091435185</v>
      </c>
      <c r="C4890" s="1" t="n">
        <v>46103</v>
      </c>
      <c r="D4890" t="inlineStr">
        <is>
          <t>KRONOBERGS LÄN</t>
        </is>
      </c>
      <c r="E4890" t="inlineStr">
        <is>
          <t>MARKARYD</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36782-2025</t>
        </is>
      </c>
      <c r="B4891" s="1" t="n">
        <v>45873</v>
      </c>
      <c r="C4891" s="1" t="n">
        <v>46103</v>
      </c>
      <c r="D4891" t="inlineStr">
        <is>
          <t>KRONOBERGS LÄN</t>
        </is>
      </c>
      <c r="E4891" t="inlineStr">
        <is>
          <t>TINGSRYD</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36783-2025</t>
        </is>
      </c>
      <c r="B4892" s="1" t="n">
        <v>45873.61965277778</v>
      </c>
      <c r="C4892" s="1" t="n">
        <v>46103</v>
      </c>
      <c r="D4892" t="inlineStr">
        <is>
          <t>KRONOBERGS LÄN</t>
        </is>
      </c>
      <c r="E4892" t="inlineStr">
        <is>
          <t>TINGSRYD</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36785-2025</t>
        </is>
      </c>
      <c r="B4893" s="1" t="n">
        <v>45873.62280092593</v>
      </c>
      <c r="C4893" s="1" t="n">
        <v>46103</v>
      </c>
      <c r="D4893" t="inlineStr">
        <is>
          <t>KRONOBERGS LÄN</t>
        </is>
      </c>
      <c r="E4893" t="inlineStr">
        <is>
          <t>TINGSRYD</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35531-2025</t>
        </is>
      </c>
      <c r="B4894" s="1" t="n">
        <v>45856</v>
      </c>
      <c r="C4894" s="1" t="n">
        <v>46103</v>
      </c>
      <c r="D4894" t="inlineStr">
        <is>
          <t>KRONOBERGS LÄN</t>
        </is>
      </c>
      <c r="E4894" t="inlineStr">
        <is>
          <t>ÄLMHULT</t>
        </is>
      </c>
      <c r="G4894" t="n">
        <v>5.2</v>
      </c>
      <c r="H4894" t="n">
        <v>0</v>
      </c>
      <c r="I4894" t="n">
        <v>0</v>
      </c>
      <c r="J4894" t="n">
        <v>0</v>
      </c>
      <c r="K4894" t="n">
        <v>0</v>
      </c>
      <c r="L4894" t="n">
        <v>0</v>
      </c>
      <c r="M4894" t="n">
        <v>0</v>
      </c>
      <c r="N4894" t="n">
        <v>0</v>
      </c>
      <c r="O4894" t="n">
        <v>0</v>
      </c>
      <c r="P4894" t="n">
        <v>0</v>
      </c>
      <c r="Q4894" t="n">
        <v>0</v>
      </c>
      <c r="R4894" s="2" t="inlineStr"/>
    </row>
    <row r="4895" ht="15" customHeight="1">
      <c r="A4895" t="inlineStr">
        <is>
          <t>A 49550-2023</t>
        </is>
      </c>
      <c r="B4895" s="1" t="n">
        <v>45211.63446759259</v>
      </c>
      <c r="C4895" s="1" t="n">
        <v>46103</v>
      </c>
      <c r="D4895" t="inlineStr">
        <is>
          <t>KRONOBERGS LÄN</t>
        </is>
      </c>
      <c r="E4895" t="inlineStr">
        <is>
          <t>LJUNGBY</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60038-2024</t>
        </is>
      </c>
      <c r="B4896" s="1" t="n">
        <v>45642.46802083333</v>
      </c>
      <c r="C4896" s="1" t="n">
        <v>46103</v>
      </c>
      <c r="D4896" t="inlineStr">
        <is>
          <t>KRONOBERGS LÄN</t>
        </is>
      </c>
      <c r="E4896" t="inlineStr">
        <is>
          <t>UPPVIDINGE</t>
        </is>
      </c>
      <c r="F4896" t="inlineStr">
        <is>
          <t>Sveaskog</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62717-2023</t>
        </is>
      </c>
      <c r="B4897" s="1" t="n">
        <v>45271</v>
      </c>
      <c r="C4897" s="1" t="n">
        <v>46103</v>
      </c>
      <c r="D4897" t="inlineStr">
        <is>
          <t>KRONOBERGS LÄN</t>
        </is>
      </c>
      <c r="E4897" t="inlineStr">
        <is>
          <t>LJUNGBY</t>
        </is>
      </c>
      <c r="G4897" t="n">
        <v>3.3</v>
      </c>
      <c r="H4897" t="n">
        <v>0</v>
      </c>
      <c r="I4897" t="n">
        <v>0</v>
      </c>
      <c r="J4897" t="n">
        <v>0</v>
      </c>
      <c r="K4897" t="n">
        <v>0</v>
      </c>
      <c r="L4897" t="n">
        <v>0</v>
      </c>
      <c r="M4897" t="n">
        <v>0</v>
      </c>
      <c r="N4897" t="n">
        <v>0</v>
      </c>
      <c r="O4897" t="n">
        <v>0</v>
      </c>
      <c r="P4897" t="n">
        <v>0</v>
      </c>
      <c r="Q4897" t="n">
        <v>0</v>
      </c>
      <c r="R4897" s="2" t="inlineStr"/>
    </row>
    <row r="4898" ht="15" customHeight="1">
      <c r="A4898" t="inlineStr">
        <is>
          <t>A 20431-2025</t>
        </is>
      </c>
      <c r="B4898" s="1" t="n">
        <v>45775.47883101852</v>
      </c>
      <c r="C4898" s="1" t="n">
        <v>46103</v>
      </c>
      <c r="D4898" t="inlineStr">
        <is>
          <t>KRONOBERGS LÄN</t>
        </is>
      </c>
      <c r="E4898" t="inlineStr">
        <is>
          <t>LESSEBO</t>
        </is>
      </c>
      <c r="F4898" t="inlineStr">
        <is>
          <t>Sveaskog</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46150-2022</t>
        </is>
      </c>
      <c r="B4899" s="1" t="n">
        <v>44847.46701388889</v>
      </c>
      <c r="C4899" s="1" t="n">
        <v>46103</v>
      </c>
      <c r="D4899" t="inlineStr">
        <is>
          <t>KRONOBERGS LÄN</t>
        </is>
      </c>
      <c r="E4899" t="inlineStr">
        <is>
          <t>LJUNGBY</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16128-2023</t>
        </is>
      </c>
      <c r="B4900" s="1" t="n">
        <v>45026</v>
      </c>
      <c r="C4900" s="1" t="n">
        <v>46103</v>
      </c>
      <c r="D4900" t="inlineStr">
        <is>
          <t>KRONOBERGS LÄN</t>
        </is>
      </c>
      <c r="E4900" t="inlineStr">
        <is>
          <t>LJUNGBY</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1064-2024</t>
        </is>
      </c>
      <c r="B4901" s="1" t="n">
        <v>45301.98575231482</v>
      </c>
      <c r="C4901" s="1" t="n">
        <v>46103</v>
      </c>
      <c r="D4901" t="inlineStr">
        <is>
          <t>KRONOBERGS LÄN</t>
        </is>
      </c>
      <c r="E4901" t="inlineStr">
        <is>
          <t>LJUNGBY</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59615-2024</t>
        </is>
      </c>
      <c r="B4902" s="1" t="n">
        <v>45638</v>
      </c>
      <c r="C4902" s="1" t="n">
        <v>46103</v>
      </c>
      <c r="D4902" t="inlineStr">
        <is>
          <t>KRONOBERGS LÄN</t>
        </is>
      </c>
      <c r="E4902" t="inlineStr">
        <is>
          <t>LJUNGBY</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61673-2024</t>
        </is>
      </c>
      <c r="B4903" s="1" t="n">
        <v>45647</v>
      </c>
      <c r="C4903" s="1" t="n">
        <v>46103</v>
      </c>
      <c r="D4903" t="inlineStr">
        <is>
          <t>KRONOBERGS LÄN</t>
        </is>
      </c>
      <c r="E4903" t="inlineStr">
        <is>
          <t>LJUNGBY</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32426-2024</t>
        </is>
      </c>
      <c r="B4904" s="1" t="n">
        <v>45512</v>
      </c>
      <c r="C4904" s="1" t="n">
        <v>46103</v>
      </c>
      <c r="D4904" t="inlineStr">
        <is>
          <t>KRONOBERGS LÄN</t>
        </is>
      </c>
      <c r="E4904" t="inlineStr">
        <is>
          <t>MARKARYD</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39360-2023</t>
        </is>
      </c>
      <c r="B4905" s="1" t="n">
        <v>45166</v>
      </c>
      <c r="C4905" s="1" t="n">
        <v>46103</v>
      </c>
      <c r="D4905" t="inlineStr">
        <is>
          <t>KRONOBERGS LÄN</t>
        </is>
      </c>
      <c r="E4905" t="inlineStr">
        <is>
          <t>ÄLMHULT</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61666-2024</t>
        </is>
      </c>
      <c r="B4906" s="1" t="n">
        <v>45647</v>
      </c>
      <c r="C4906" s="1" t="n">
        <v>46103</v>
      </c>
      <c r="D4906" t="inlineStr">
        <is>
          <t>KRONOBERGS LÄN</t>
        </is>
      </c>
      <c r="E4906" t="inlineStr">
        <is>
          <t>LJUNGBY</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19377-2024</t>
        </is>
      </c>
      <c r="B4907" s="1" t="n">
        <v>45428</v>
      </c>
      <c r="C4907" s="1" t="n">
        <v>46103</v>
      </c>
      <c r="D4907" t="inlineStr">
        <is>
          <t>KRONOBERGS LÄN</t>
        </is>
      </c>
      <c r="E4907" t="inlineStr">
        <is>
          <t>VÄXJÖ</t>
        </is>
      </c>
      <c r="F4907" t="inlineStr">
        <is>
          <t>Kyrkan</t>
        </is>
      </c>
      <c r="G4907" t="n">
        <v>9.199999999999999</v>
      </c>
      <c r="H4907" t="n">
        <v>0</v>
      </c>
      <c r="I4907" t="n">
        <v>0</v>
      </c>
      <c r="J4907" t="n">
        <v>0</v>
      </c>
      <c r="K4907" t="n">
        <v>0</v>
      </c>
      <c r="L4907" t="n">
        <v>0</v>
      </c>
      <c r="M4907" t="n">
        <v>0</v>
      </c>
      <c r="N4907" t="n">
        <v>0</v>
      </c>
      <c r="O4907" t="n">
        <v>0</v>
      </c>
      <c r="P4907" t="n">
        <v>0</v>
      </c>
      <c r="Q4907" t="n">
        <v>0</v>
      </c>
      <c r="R4907" s="2" t="inlineStr"/>
    </row>
    <row r="4908" ht="15" customHeight="1">
      <c r="A4908" t="inlineStr">
        <is>
          <t>A 19380-2024</t>
        </is>
      </c>
      <c r="B4908" s="1" t="n">
        <v>45429</v>
      </c>
      <c r="C4908" s="1" t="n">
        <v>46103</v>
      </c>
      <c r="D4908" t="inlineStr">
        <is>
          <t>KRONOBERGS LÄN</t>
        </is>
      </c>
      <c r="E4908" t="inlineStr">
        <is>
          <t>TINGSRYD</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19382-2024</t>
        </is>
      </c>
      <c r="B4909" s="1" t="n">
        <v>45429.37171296297</v>
      </c>
      <c r="C4909" s="1" t="n">
        <v>46103</v>
      </c>
      <c r="D4909" t="inlineStr">
        <is>
          <t>KRONOBERGS LÄN</t>
        </is>
      </c>
      <c r="E4909" t="inlineStr">
        <is>
          <t>TINGSRYD</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19399-2024</t>
        </is>
      </c>
      <c r="B4910" s="1" t="n">
        <v>45428</v>
      </c>
      <c r="C4910" s="1" t="n">
        <v>46103</v>
      </c>
      <c r="D4910" t="inlineStr">
        <is>
          <t>KRONOBERGS LÄN</t>
        </is>
      </c>
      <c r="E4910" t="inlineStr">
        <is>
          <t>MARKARYD</t>
        </is>
      </c>
      <c r="F4910" t="inlineStr">
        <is>
          <t>Kyrkan</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36707-2025</t>
        </is>
      </c>
      <c r="B4911" s="1" t="n">
        <v>45873.45962962963</v>
      </c>
      <c r="C4911" s="1" t="n">
        <v>46103</v>
      </c>
      <c r="D4911" t="inlineStr">
        <is>
          <t>KRONOBERGS LÄN</t>
        </is>
      </c>
      <c r="E4911" t="inlineStr">
        <is>
          <t>TINGSRYD</t>
        </is>
      </c>
      <c r="G4911" t="n">
        <v>3.3</v>
      </c>
      <c r="H4911" t="n">
        <v>0</v>
      </c>
      <c r="I4911" t="n">
        <v>0</v>
      </c>
      <c r="J4911" t="n">
        <v>0</v>
      </c>
      <c r="K4911" t="n">
        <v>0</v>
      </c>
      <c r="L4911" t="n">
        <v>0</v>
      </c>
      <c r="M4911" t="n">
        <v>0</v>
      </c>
      <c r="N4911" t="n">
        <v>0</v>
      </c>
      <c r="O4911" t="n">
        <v>0</v>
      </c>
      <c r="P4911" t="n">
        <v>0</v>
      </c>
      <c r="Q4911" t="n">
        <v>0</v>
      </c>
      <c r="R4911" s="2" t="inlineStr"/>
    </row>
    <row r="4912" ht="15" customHeight="1">
      <c r="A4912" t="inlineStr">
        <is>
          <t>A 46448-2021</t>
        </is>
      </c>
      <c r="B4912" s="1" t="n">
        <v>44445.35109953704</v>
      </c>
      <c r="C4912" s="1" t="n">
        <v>46103</v>
      </c>
      <c r="D4912" t="inlineStr">
        <is>
          <t>KRONOBERGS LÄN</t>
        </is>
      </c>
      <c r="E4912" t="inlineStr">
        <is>
          <t>ALVESTA</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72446-2021</t>
        </is>
      </c>
      <c r="B4913" s="1" t="n">
        <v>44545.69075231482</v>
      </c>
      <c r="C4913" s="1" t="n">
        <v>46103</v>
      </c>
      <c r="D4913" t="inlineStr">
        <is>
          <t>KRONOBERGS LÄN</t>
        </is>
      </c>
      <c r="E4913" t="inlineStr">
        <is>
          <t>TINGSRYD</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27540-2022</t>
        </is>
      </c>
      <c r="B4914" s="1" t="n">
        <v>44742.71030092592</v>
      </c>
      <c r="C4914" s="1" t="n">
        <v>46103</v>
      </c>
      <c r="D4914" t="inlineStr">
        <is>
          <t>KRONOBERGS LÄN</t>
        </is>
      </c>
      <c r="E4914" t="inlineStr">
        <is>
          <t>LJUNGBY</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54182-2022</t>
        </is>
      </c>
      <c r="B4915" s="1" t="n">
        <v>44881</v>
      </c>
      <c r="C4915" s="1" t="n">
        <v>46103</v>
      </c>
      <c r="D4915" t="inlineStr">
        <is>
          <t>KRONOBERGS LÄN</t>
        </is>
      </c>
      <c r="E4915" t="inlineStr">
        <is>
          <t>LJUNGBY</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49552-2023</t>
        </is>
      </c>
      <c r="B4916" s="1" t="n">
        <v>45211.63712962963</v>
      </c>
      <c r="C4916" s="1" t="n">
        <v>46103</v>
      </c>
      <c r="D4916" t="inlineStr">
        <is>
          <t>KRONOBERGS LÄN</t>
        </is>
      </c>
      <c r="E4916" t="inlineStr">
        <is>
          <t>LJUNGBY</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35170-2025</t>
        </is>
      </c>
      <c r="B4917" s="1" t="n">
        <v>45852.75837962963</v>
      </c>
      <c r="C4917" s="1" t="n">
        <v>46103</v>
      </c>
      <c r="D4917" t="inlineStr">
        <is>
          <t>KRONOBERGS LÄN</t>
        </is>
      </c>
      <c r="E4917" t="inlineStr">
        <is>
          <t>LJUNGBY</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5223-2025</t>
        </is>
      </c>
      <c r="B4918" s="1" t="n">
        <v>45691.71813657408</v>
      </c>
      <c r="C4918" s="1" t="n">
        <v>46103</v>
      </c>
      <c r="D4918" t="inlineStr">
        <is>
          <t>KRONOBERGS LÄN</t>
        </is>
      </c>
      <c r="E4918" t="inlineStr">
        <is>
          <t>TINGSRYD</t>
        </is>
      </c>
      <c r="F4918" t="inlineStr">
        <is>
          <t>Sveaskog</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57875-2023</t>
        </is>
      </c>
      <c r="B4919" s="1" t="n">
        <v>45247.46569444444</v>
      </c>
      <c r="C4919" s="1" t="n">
        <v>46103</v>
      </c>
      <c r="D4919" t="inlineStr">
        <is>
          <t>KRONOBERGS LÄN</t>
        </is>
      </c>
      <c r="E4919" t="inlineStr">
        <is>
          <t>LJUNGBY</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3377-2025</t>
        </is>
      </c>
      <c r="B4920" s="1" t="n">
        <v>45680.33516203704</v>
      </c>
      <c r="C4920" s="1" t="n">
        <v>46103</v>
      </c>
      <c r="D4920" t="inlineStr">
        <is>
          <t>KRONOBERGS LÄN</t>
        </is>
      </c>
      <c r="E4920" t="inlineStr">
        <is>
          <t>ÄLMHULT</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51274-2021</t>
        </is>
      </c>
      <c r="B4921" s="1" t="n">
        <v>44461</v>
      </c>
      <c r="C4921" s="1" t="n">
        <v>46103</v>
      </c>
      <c r="D4921" t="inlineStr">
        <is>
          <t>KRONOBERGS LÄN</t>
        </is>
      </c>
      <c r="E4921" t="inlineStr">
        <is>
          <t>LJUNGBY</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51276-2021</t>
        </is>
      </c>
      <c r="B4922" s="1" t="n">
        <v>44461.57160879629</v>
      </c>
      <c r="C4922" s="1" t="n">
        <v>46103</v>
      </c>
      <c r="D4922" t="inlineStr">
        <is>
          <t>KRONOBERGS LÄN</t>
        </is>
      </c>
      <c r="E4922" t="inlineStr">
        <is>
          <t>LJUNGBY</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35167-2023</t>
        </is>
      </c>
      <c r="B4923" s="1" t="n">
        <v>45145.57798611111</v>
      </c>
      <c r="C4923" s="1" t="n">
        <v>46103</v>
      </c>
      <c r="D4923" t="inlineStr">
        <is>
          <t>KRONOBERGS LÄN</t>
        </is>
      </c>
      <c r="E4923" t="inlineStr">
        <is>
          <t>LJUNGBY</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4825-2025</t>
        </is>
      </c>
      <c r="B4924" s="1" t="n">
        <v>45688.63835648148</v>
      </c>
      <c r="C4924" s="1" t="n">
        <v>46103</v>
      </c>
      <c r="D4924" t="inlineStr">
        <is>
          <t>KRONOBERGS LÄN</t>
        </is>
      </c>
      <c r="E4924" t="inlineStr">
        <is>
          <t>UPPVIDINGE</t>
        </is>
      </c>
      <c r="F4924" t="inlineStr">
        <is>
          <t>Sveaskog</t>
        </is>
      </c>
      <c r="G4924" t="n">
        <v>3.3</v>
      </c>
      <c r="H4924" t="n">
        <v>0</v>
      </c>
      <c r="I4924" t="n">
        <v>0</v>
      </c>
      <c r="J4924" t="n">
        <v>0</v>
      </c>
      <c r="K4924" t="n">
        <v>0</v>
      </c>
      <c r="L4924" t="n">
        <v>0</v>
      </c>
      <c r="M4924" t="n">
        <v>0</v>
      </c>
      <c r="N4924" t="n">
        <v>0</v>
      </c>
      <c r="O4924" t="n">
        <v>0</v>
      </c>
      <c r="P4924" t="n">
        <v>0</v>
      </c>
      <c r="Q4924" t="n">
        <v>0</v>
      </c>
      <c r="R4924" s="2" t="inlineStr"/>
    </row>
    <row r="4925" ht="15" customHeight="1">
      <c r="A4925" t="inlineStr">
        <is>
          <t>A 14402-2024</t>
        </is>
      </c>
      <c r="B4925" s="1" t="n">
        <v>45394.35633101852</v>
      </c>
      <c r="C4925" s="1" t="n">
        <v>46103</v>
      </c>
      <c r="D4925" t="inlineStr">
        <is>
          <t>KRONOBERGS LÄN</t>
        </is>
      </c>
      <c r="E4925" t="inlineStr">
        <is>
          <t>LJUNGBY</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8405-2025</t>
        </is>
      </c>
      <c r="B4926" s="1" t="n">
        <v>45709.38243055555</v>
      </c>
      <c r="C4926" s="1" t="n">
        <v>46103</v>
      </c>
      <c r="D4926" t="inlineStr">
        <is>
          <t>KRONOBERGS LÄN</t>
        </is>
      </c>
      <c r="E4926" t="inlineStr">
        <is>
          <t>UPPVIDINGE</t>
        </is>
      </c>
      <c r="F4926" t="inlineStr">
        <is>
          <t>Sveaskog</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22800-2022</t>
        </is>
      </c>
      <c r="B4927" s="1" t="n">
        <v>44715</v>
      </c>
      <c r="C4927" s="1" t="n">
        <v>46103</v>
      </c>
      <c r="D4927" t="inlineStr">
        <is>
          <t>KRONOBERGS LÄN</t>
        </is>
      </c>
      <c r="E4927" t="inlineStr">
        <is>
          <t>LJUNGBY</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40514-2023</t>
        </is>
      </c>
      <c r="B4928" s="1" t="n">
        <v>45170.41726851852</v>
      </c>
      <c r="C4928" s="1" t="n">
        <v>46103</v>
      </c>
      <c r="D4928" t="inlineStr">
        <is>
          <t>KRONOBERGS LÄN</t>
        </is>
      </c>
      <c r="E4928" t="inlineStr">
        <is>
          <t>MARKARYD</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1061-2024</t>
        </is>
      </c>
      <c r="B4929" s="1" t="n">
        <v>45301.98100694444</v>
      </c>
      <c r="C4929" s="1" t="n">
        <v>46103</v>
      </c>
      <c r="D4929" t="inlineStr">
        <is>
          <t>KRONOBERGS LÄN</t>
        </is>
      </c>
      <c r="E4929" t="inlineStr">
        <is>
          <t>LJUNGBY</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54956-2023</t>
        </is>
      </c>
      <c r="B4930" s="1" t="n">
        <v>45236</v>
      </c>
      <c r="C4930" s="1" t="n">
        <v>46103</v>
      </c>
      <c r="D4930" t="inlineStr">
        <is>
          <t>KRONOBERGS LÄN</t>
        </is>
      </c>
      <c r="E4930" t="inlineStr">
        <is>
          <t>LJUNGBY</t>
        </is>
      </c>
      <c r="G4930" t="n">
        <v>19.8</v>
      </c>
      <c r="H4930" t="n">
        <v>0</v>
      </c>
      <c r="I4930" t="n">
        <v>0</v>
      </c>
      <c r="J4930" t="n">
        <v>0</v>
      </c>
      <c r="K4930" t="n">
        <v>0</v>
      </c>
      <c r="L4930" t="n">
        <v>0</v>
      </c>
      <c r="M4930" t="n">
        <v>0</v>
      </c>
      <c r="N4930" t="n">
        <v>0</v>
      </c>
      <c r="O4930" t="n">
        <v>0</v>
      </c>
      <c r="P4930" t="n">
        <v>0</v>
      </c>
      <c r="Q4930" t="n">
        <v>0</v>
      </c>
      <c r="R4930" s="2" t="inlineStr"/>
    </row>
    <row r="4931" ht="15" customHeight="1">
      <c r="A4931" t="inlineStr">
        <is>
          <t>A 28991-2024</t>
        </is>
      </c>
      <c r="B4931" s="1" t="n">
        <v>45481.49108796296</v>
      </c>
      <c r="C4931" s="1" t="n">
        <v>46103</v>
      </c>
      <c r="D4931" t="inlineStr">
        <is>
          <t>KRONOBERGS LÄN</t>
        </is>
      </c>
      <c r="E4931" t="inlineStr">
        <is>
          <t>LJUNGBY</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65062-2021</t>
        </is>
      </c>
      <c r="B4932" s="1" t="n">
        <v>44515</v>
      </c>
      <c r="C4932" s="1" t="n">
        <v>46103</v>
      </c>
      <c r="D4932" t="inlineStr">
        <is>
          <t>KRONOBERGS LÄN</t>
        </is>
      </c>
      <c r="E4932" t="inlineStr">
        <is>
          <t>LJUNGBY</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65066-2021</t>
        </is>
      </c>
      <c r="B4933" s="1" t="n">
        <v>44515</v>
      </c>
      <c r="C4933" s="1" t="n">
        <v>46103</v>
      </c>
      <c r="D4933" t="inlineStr">
        <is>
          <t>KRONOBERGS LÄN</t>
        </is>
      </c>
      <c r="E4933" t="inlineStr">
        <is>
          <t>LJUNGBY</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30561-2025</t>
        </is>
      </c>
      <c r="B4934" s="1" t="n">
        <v>45831.3978587963</v>
      </c>
      <c r="C4934" s="1" t="n">
        <v>46103</v>
      </c>
      <c r="D4934" t="inlineStr">
        <is>
          <t>KRONOBERGS LÄN</t>
        </is>
      </c>
      <c r="E4934" t="inlineStr">
        <is>
          <t>LJUNGBY</t>
        </is>
      </c>
      <c r="G4934" t="n">
        <v>7.1</v>
      </c>
      <c r="H4934" t="n">
        <v>0</v>
      </c>
      <c r="I4934" t="n">
        <v>0</v>
      </c>
      <c r="J4934" t="n">
        <v>0</v>
      </c>
      <c r="K4934" t="n">
        <v>0</v>
      </c>
      <c r="L4934" t="n">
        <v>0</v>
      </c>
      <c r="M4934" t="n">
        <v>0</v>
      </c>
      <c r="N4934" t="n">
        <v>0</v>
      </c>
      <c r="O4934" t="n">
        <v>0</v>
      </c>
      <c r="P4934" t="n">
        <v>0</v>
      </c>
      <c r="Q4934" t="n">
        <v>0</v>
      </c>
      <c r="R4934" s="2" t="inlineStr"/>
    </row>
    <row r="4935" ht="15" customHeight="1">
      <c r="A4935" t="inlineStr">
        <is>
          <t>A 46472-2023</t>
        </is>
      </c>
      <c r="B4935" s="1" t="n">
        <v>45191</v>
      </c>
      <c r="C4935" s="1" t="n">
        <v>46103</v>
      </c>
      <c r="D4935" t="inlineStr">
        <is>
          <t>KRONOBERGS LÄN</t>
        </is>
      </c>
      <c r="E4935" t="inlineStr">
        <is>
          <t>ÄLMHULT</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30854-2025</t>
        </is>
      </c>
      <c r="B4936" s="1" t="n">
        <v>45831</v>
      </c>
      <c r="C4936" s="1" t="n">
        <v>46103</v>
      </c>
      <c r="D4936" t="inlineStr">
        <is>
          <t>KRONOBERGS LÄN</t>
        </is>
      </c>
      <c r="E4936" t="inlineStr">
        <is>
          <t>LJUNGBY</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34612-2025</t>
        </is>
      </c>
      <c r="B4937" s="1" t="n">
        <v>45847.67734953704</v>
      </c>
      <c r="C4937" s="1" t="n">
        <v>46103</v>
      </c>
      <c r="D4937" t="inlineStr">
        <is>
          <t>KRONOBERGS LÄN</t>
        </is>
      </c>
      <c r="E4937" t="inlineStr">
        <is>
          <t>LJUNGBY</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34616-2025</t>
        </is>
      </c>
      <c r="B4938" s="1" t="n">
        <v>45847.67871527778</v>
      </c>
      <c r="C4938" s="1" t="n">
        <v>46103</v>
      </c>
      <c r="D4938" t="inlineStr">
        <is>
          <t>KRONOBERGS LÄN</t>
        </is>
      </c>
      <c r="E4938" t="inlineStr">
        <is>
          <t>LJUNGBY</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36864-2025</t>
        </is>
      </c>
      <c r="B4939" s="1" t="n">
        <v>45873</v>
      </c>
      <c r="C4939" s="1" t="n">
        <v>46103</v>
      </c>
      <c r="D4939" t="inlineStr">
        <is>
          <t>KRONOBERGS LÄN</t>
        </is>
      </c>
      <c r="E4939" t="inlineStr">
        <is>
          <t>UPPVIDINGE</t>
        </is>
      </c>
      <c r="G4939" t="n">
        <v>5.2</v>
      </c>
      <c r="H4939" t="n">
        <v>0</v>
      </c>
      <c r="I4939" t="n">
        <v>0</v>
      </c>
      <c r="J4939" t="n">
        <v>0</v>
      </c>
      <c r="K4939" t="n">
        <v>0</v>
      </c>
      <c r="L4939" t="n">
        <v>0</v>
      </c>
      <c r="M4939" t="n">
        <v>0</v>
      </c>
      <c r="N4939" t="n">
        <v>0</v>
      </c>
      <c r="O4939" t="n">
        <v>0</v>
      </c>
      <c r="P4939" t="n">
        <v>0</v>
      </c>
      <c r="Q4939" t="n">
        <v>0</v>
      </c>
      <c r="R4939" s="2" t="inlineStr"/>
    </row>
    <row r="4940" ht="15" customHeight="1">
      <c r="A4940" t="inlineStr">
        <is>
          <t>A 16711-2022</t>
        </is>
      </c>
      <c r="B4940" s="1" t="n">
        <v>44673.39659722222</v>
      </c>
      <c r="C4940" s="1" t="n">
        <v>46103</v>
      </c>
      <c r="D4940" t="inlineStr">
        <is>
          <t>KRONOBERGS LÄN</t>
        </is>
      </c>
      <c r="E4940" t="inlineStr">
        <is>
          <t>MARKARYD</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16274-2025</t>
        </is>
      </c>
      <c r="B4941" s="1" t="n">
        <v>45750.94241898148</v>
      </c>
      <c r="C4941" s="1" t="n">
        <v>46103</v>
      </c>
      <c r="D4941" t="inlineStr">
        <is>
          <t>KRONOBERGS LÄN</t>
        </is>
      </c>
      <c r="E4941" t="inlineStr">
        <is>
          <t>LJUNGBY</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16712-2022</t>
        </is>
      </c>
      <c r="B4942" s="1" t="n">
        <v>44673.39770833333</v>
      </c>
      <c r="C4942" s="1" t="n">
        <v>46103</v>
      </c>
      <c r="D4942" t="inlineStr">
        <is>
          <t>KRONOBERGS LÄN</t>
        </is>
      </c>
      <c r="E4942" t="inlineStr">
        <is>
          <t>MARKARYD</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19989-2021</t>
        </is>
      </c>
      <c r="B4943" s="1" t="n">
        <v>44308</v>
      </c>
      <c r="C4943" s="1" t="n">
        <v>46103</v>
      </c>
      <c r="D4943" t="inlineStr">
        <is>
          <t>KRONOBERGS LÄN</t>
        </is>
      </c>
      <c r="E4943" t="inlineStr">
        <is>
          <t>UPPVIDINGE</t>
        </is>
      </c>
      <c r="G4943" t="n">
        <v>32.4</v>
      </c>
      <c r="H4943" t="n">
        <v>0</v>
      </c>
      <c r="I4943" t="n">
        <v>0</v>
      </c>
      <c r="J4943" t="n">
        <v>0</v>
      </c>
      <c r="K4943" t="n">
        <v>0</v>
      </c>
      <c r="L4943" t="n">
        <v>0</v>
      </c>
      <c r="M4943" t="n">
        <v>0</v>
      </c>
      <c r="N4943" t="n">
        <v>0</v>
      </c>
      <c r="O4943" t="n">
        <v>0</v>
      </c>
      <c r="P4943" t="n">
        <v>0</v>
      </c>
      <c r="Q4943" t="n">
        <v>0</v>
      </c>
      <c r="R4943" s="2" t="inlineStr"/>
    </row>
    <row r="4944" ht="15" customHeight="1">
      <c r="A4944" t="inlineStr">
        <is>
          <t>A 26421-2024</t>
        </is>
      </c>
      <c r="B4944" s="1" t="n">
        <v>45469.46677083334</v>
      </c>
      <c r="C4944" s="1" t="n">
        <v>46103</v>
      </c>
      <c r="D4944" t="inlineStr">
        <is>
          <t>KRONOBERGS LÄN</t>
        </is>
      </c>
      <c r="E4944" t="inlineStr">
        <is>
          <t>TINGSRYD</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8134-2023</t>
        </is>
      </c>
      <c r="B4945" s="1" t="n">
        <v>44974</v>
      </c>
      <c r="C4945" s="1" t="n">
        <v>46103</v>
      </c>
      <c r="D4945" t="inlineStr">
        <is>
          <t>KRONOBERGS LÄN</t>
        </is>
      </c>
      <c r="E4945" t="inlineStr">
        <is>
          <t>LJUNGBY</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29588-2023</t>
        </is>
      </c>
      <c r="B4946" s="1" t="n">
        <v>45106.86053240741</v>
      </c>
      <c r="C4946" s="1" t="n">
        <v>46103</v>
      </c>
      <c r="D4946" t="inlineStr">
        <is>
          <t>KRONOBERGS LÄN</t>
        </is>
      </c>
      <c r="E4946" t="inlineStr">
        <is>
          <t>TINGSRYD</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19233-2025</t>
        </is>
      </c>
      <c r="B4947" s="1" t="n">
        <v>45769.46652777777</v>
      </c>
      <c r="C4947" s="1" t="n">
        <v>46103</v>
      </c>
      <c r="D4947" t="inlineStr">
        <is>
          <t>KRONOBERGS LÄN</t>
        </is>
      </c>
      <c r="E4947" t="inlineStr">
        <is>
          <t>MARKARYD</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36460-2025</t>
        </is>
      </c>
      <c r="B4948" s="1" t="n">
        <v>45869</v>
      </c>
      <c r="C4948" s="1" t="n">
        <v>46103</v>
      </c>
      <c r="D4948" t="inlineStr">
        <is>
          <t>KRONOBERGS LÄN</t>
        </is>
      </c>
      <c r="E4948" t="inlineStr">
        <is>
          <t>LJUNGBY</t>
        </is>
      </c>
      <c r="F4948" t="inlineStr">
        <is>
          <t>Kyrkan</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61117-2023</t>
        </is>
      </c>
      <c r="B4949" s="1" t="n">
        <v>45261</v>
      </c>
      <c r="C4949" s="1" t="n">
        <v>46103</v>
      </c>
      <c r="D4949" t="inlineStr">
        <is>
          <t>KRONOBERGS LÄN</t>
        </is>
      </c>
      <c r="E4949" t="inlineStr">
        <is>
          <t>TINGSRYD</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47537-2022</t>
        </is>
      </c>
      <c r="B4950" s="1" t="n">
        <v>44853.81195601852</v>
      </c>
      <c r="C4950" s="1" t="n">
        <v>46103</v>
      </c>
      <c r="D4950" t="inlineStr">
        <is>
          <t>KRONOBERGS LÄN</t>
        </is>
      </c>
      <c r="E4950" t="inlineStr">
        <is>
          <t>ÄLMHULT</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29408-2025</t>
        </is>
      </c>
      <c r="B4951" s="1" t="n">
        <v>45824.61681712963</v>
      </c>
      <c r="C4951" s="1" t="n">
        <v>46103</v>
      </c>
      <c r="D4951" t="inlineStr">
        <is>
          <t>KRONOBERGS LÄN</t>
        </is>
      </c>
      <c r="E4951" t="inlineStr">
        <is>
          <t>LJUNGBY</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58494-2023</t>
        </is>
      </c>
      <c r="B4952" s="1" t="n">
        <v>45251.34717592593</v>
      </c>
      <c r="C4952" s="1" t="n">
        <v>46103</v>
      </c>
      <c r="D4952" t="inlineStr">
        <is>
          <t>KRONOBERGS LÄN</t>
        </is>
      </c>
      <c r="E4952" t="inlineStr">
        <is>
          <t>ÄLMHULT</t>
        </is>
      </c>
      <c r="G4952" t="n">
        <v>3.3</v>
      </c>
      <c r="H4952" t="n">
        <v>0</v>
      </c>
      <c r="I4952" t="n">
        <v>0</v>
      </c>
      <c r="J4952" t="n">
        <v>0</v>
      </c>
      <c r="K4952" t="n">
        <v>0</v>
      </c>
      <c r="L4952" t="n">
        <v>0</v>
      </c>
      <c r="M4952" t="n">
        <v>0</v>
      </c>
      <c r="N4952" t="n">
        <v>0</v>
      </c>
      <c r="O4952" t="n">
        <v>0</v>
      </c>
      <c r="P4952" t="n">
        <v>0</v>
      </c>
      <c r="Q4952" t="n">
        <v>0</v>
      </c>
      <c r="R4952" s="2" t="inlineStr"/>
    </row>
    <row r="4953" ht="15" customHeight="1">
      <c r="A4953" t="inlineStr">
        <is>
          <t>A 1062-2024</t>
        </is>
      </c>
      <c r="B4953" s="1" t="n">
        <v>45301.98247685185</v>
      </c>
      <c r="C4953" s="1" t="n">
        <v>46103</v>
      </c>
      <c r="D4953" t="inlineStr">
        <is>
          <t>KRONOBERGS LÄN</t>
        </is>
      </c>
      <c r="E4953" t="inlineStr">
        <is>
          <t>LJUNGBY</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49179-2022</t>
        </is>
      </c>
      <c r="B4954" s="1" t="n">
        <v>44860.93721064815</v>
      </c>
      <c r="C4954" s="1" t="n">
        <v>46103</v>
      </c>
      <c r="D4954" t="inlineStr">
        <is>
          <t>KRONOBERGS LÄN</t>
        </is>
      </c>
      <c r="E4954" t="inlineStr">
        <is>
          <t>LJUNGBY</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2648-2025</t>
        </is>
      </c>
      <c r="B4955" s="1" t="n">
        <v>45676.57688657408</v>
      </c>
      <c r="C4955" s="1" t="n">
        <v>46103</v>
      </c>
      <c r="D4955" t="inlineStr">
        <is>
          <t>KRONOBERGS LÄN</t>
        </is>
      </c>
      <c r="E4955" t="inlineStr">
        <is>
          <t>LJUNGBY</t>
        </is>
      </c>
      <c r="G4955" t="n">
        <v>4.2</v>
      </c>
      <c r="H4955" t="n">
        <v>0</v>
      </c>
      <c r="I4955" t="n">
        <v>0</v>
      </c>
      <c r="J4955" t="n">
        <v>0</v>
      </c>
      <c r="K4955" t="n">
        <v>0</v>
      </c>
      <c r="L4955" t="n">
        <v>0</v>
      </c>
      <c r="M4955" t="n">
        <v>0</v>
      </c>
      <c r="N4955" t="n">
        <v>0</v>
      </c>
      <c r="O4955" t="n">
        <v>0</v>
      </c>
      <c r="P4955" t="n">
        <v>0</v>
      </c>
      <c r="Q4955" t="n">
        <v>0</v>
      </c>
      <c r="R4955" s="2" t="inlineStr"/>
    </row>
    <row r="4956" ht="15" customHeight="1">
      <c r="A4956" t="inlineStr">
        <is>
          <t>A 58648-2024</t>
        </is>
      </c>
      <c r="B4956" s="1" t="n">
        <v>45635.5952662037</v>
      </c>
      <c r="C4956" s="1" t="n">
        <v>46103</v>
      </c>
      <c r="D4956" t="inlineStr">
        <is>
          <t>KRONOBERGS LÄN</t>
        </is>
      </c>
      <c r="E4956" t="inlineStr">
        <is>
          <t>ALVESTA</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36866-2025</t>
        </is>
      </c>
      <c r="B4957" s="1" t="n">
        <v>45874.42462962963</v>
      </c>
      <c r="C4957" s="1" t="n">
        <v>46103</v>
      </c>
      <c r="D4957" t="inlineStr">
        <is>
          <t>KRONOBERGS LÄN</t>
        </is>
      </c>
      <c r="E4957" t="inlineStr">
        <is>
          <t>VÄXJÖ</t>
        </is>
      </c>
      <c r="G4957" t="n">
        <v>10.9</v>
      </c>
      <c r="H4957" t="n">
        <v>0</v>
      </c>
      <c r="I4957" t="n">
        <v>0</v>
      </c>
      <c r="J4957" t="n">
        <v>0</v>
      </c>
      <c r="K4957" t="n">
        <v>0</v>
      </c>
      <c r="L4957" t="n">
        <v>0</v>
      </c>
      <c r="M4957" t="n">
        <v>0</v>
      </c>
      <c r="N4957" t="n">
        <v>0</v>
      </c>
      <c r="O4957" t="n">
        <v>0</v>
      </c>
      <c r="P4957" t="n">
        <v>0</v>
      </c>
      <c r="Q4957" t="n">
        <v>0</v>
      </c>
      <c r="R4957" s="2" t="inlineStr"/>
    </row>
    <row r="4958" ht="15" customHeight="1">
      <c r="A4958" t="inlineStr">
        <is>
          <t>A 37016-2025</t>
        </is>
      </c>
      <c r="B4958" s="1" t="n">
        <v>45874</v>
      </c>
      <c r="C4958" s="1" t="n">
        <v>46103</v>
      </c>
      <c r="D4958" t="inlineStr">
        <is>
          <t>KRONOBERGS LÄN</t>
        </is>
      </c>
      <c r="E4958" t="inlineStr">
        <is>
          <t>VÄXJÖ</t>
        </is>
      </c>
      <c r="F4958" t="inlineStr">
        <is>
          <t>Kyrkan</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11131-2025</t>
        </is>
      </c>
      <c r="B4959" s="1" t="n">
        <v>45723.64875</v>
      </c>
      <c r="C4959" s="1" t="n">
        <v>46103</v>
      </c>
      <c r="D4959" t="inlineStr">
        <is>
          <t>KRONOBERGS LÄN</t>
        </is>
      </c>
      <c r="E4959" t="inlineStr">
        <is>
          <t>ALVESTA</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11214-2025</t>
        </is>
      </c>
      <c r="B4960" s="1" t="n">
        <v>45726.3347337963</v>
      </c>
      <c r="C4960" s="1" t="n">
        <v>46103</v>
      </c>
      <c r="D4960" t="inlineStr">
        <is>
          <t>KRONOBERGS LÄN</t>
        </is>
      </c>
      <c r="E4960" t="inlineStr">
        <is>
          <t>VÄXJÖ</t>
        </is>
      </c>
      <c r="G4960" t="n">
        <v>3.7</v>
      </c>
      <c r="H4960" t="n">
        <v>0</v>
      </c>
      <c r="I4960" t="n">
        <v>0</v>
      </c>
      <c r="J4960" t="n">
        <v>0</v>
      </c>
      <c r="K4960" t="n">
        <v>0</v>
      </c>
      <c r="L4960" t="n">
        <v>0</v>
      </c>
      <c r="M4960" t="n">
        <v>0</v>
      </c>
      <c r="N4960" t="n">
        <v>0</v>
      </c>
      <c r="O4960" t="n">
        <v>0</v>
      </c>
      <c r="P4960" t="n">
        <v>0</v>
      </c>
      <c r="Q4960" t="n">
        <v>0</v>
      </c>
      <c r="R4960" s="2" t="inlineStr"/>
    </row>
    <row r="4961" ht="15" customHeight="1">
      <c r="A4961" t="inlineStr">
        <is>
          <t>A 67156-2021</t>
        </is>
      </c>
      <c r="B4961" s="1" t="n">
        <v>44523.4103587963</v>
      </c>
      <c r="C4961" s="1" t="n">
        <v>46103</v>
      </c>
      <c r="D4961" t="inlineStr">
        <is>
          <t>KRONOBERGS LÄN</t>
        </is>
      </c>
      <c r="E4961" t="inlineStr">
        <is>
          <t>UPPVIDINGE</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3850-2022</t>
        </is>
      </c>
      <c r="B4962" s="1" t="n">
        <v>44587.40662037037</v>
      </c>
      <c r="C4962" s="1" t="n">
        <v>46103</v>
      </c>
      <c r="D4962" t="inlineStr">
        <is>
          <t>KRONOBERGS LÄN</t>
        </is>
      </c>
      <c r="E4962" t="inlineStr">
        <is>
          <t>LJUNGBY</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37026-2025</t>
        </is>
      </c>
      <c r="B4963" s="1" t="n">
        <v>45874.81962962963</v>
      </c>
      <c r="C4963" s="1" t="n">
        <v>46103</v>
      </c>
      <c r="D4963" t="inlineStr">
        <is>
          <t>KRONOBERGS LÄN</t>
        </is>
      </c>
      <c r="E4963" t="inlineStr">
        <is>
          <t>MARKARYD</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37087-2025</t>
        </is>
      </c>
      <c r="B4964" s="1" t="n">
        <v>45875.45658564815</v>
      </c>
      <c r="C4964" s="1" t="n">
        <v>46103</v>
      </c>
      <c r="D4964" t="inlineStr">
        <is>
          <t>KRONOBERGS LÄN</t>
        </is>
      </c>
      <c r="E4964" t="inlineStr">
        <is>
          <t>LJUNGBY</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36985-2025</t>
        </is>
      </c>
      <c r="B4965" s="1" t="n">
        <v>45874.65034722222</v>
      </c>
      <c r="C4965" s="1" t="n">
        <v>46103</v>
      </c>
      <c r="D4965" t="inlineStr">
        <is>
          <t>KRONOBERGS LÄN</t>
        </is>
      </c>
      <c r="E4965" t="inlineStr">
        <is>
          <t>LJUNGBY</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36987-2025</t>
        </is>
      </c>
      <c r="B4966" s="1" t="n">
        <v>45874.6512962963</v>
      </c>
      <c r="C4966" s="1" t="n">
        <v>46103</v>
      </c>
      <c r="D4966" t="inlineStr">
        <is>
          <t>KRONOBERGS LÄN</t>
        </is>
      </c>
      <c r="E4966" t="inlineStr">
        <is>
          <t>ÄLMHULT</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15223-2024</t>
        </is>
      </c>
      <c r="B4967" s="1" t="n">
        <v>45400.47762731482</v>
      </c>
      <c r="C4967" s="1" t="n">
        <v>46103</v>
      </c>
      <c r="D4967" t="inlineStr">
        <is>
          <t>KRONOBERGS LÄN</t>
        </is>
      </c>
      <c r="E4967" t="inlineStr">
        <is>
          <t>VÄXJÖ</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37217-2025</t>
        </is>
      </c>
      <c r="B4968" s="1" t="n">
        <v>45875</v>
      </c>
      <c r="C4968" s="1" t="n">
        <v>46103</v>
      </c>
      <c r="D4968" t="inlineStr">
        <is>
          <t>KRONOBERGS LÄN</t>
        </is>
      </c>
      <c r="E4968" t="inlineStr">
        <is>
          <t>ALVESTA</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23543-2023</t>
        </is>
      </c>
      <c r="B4969" s="1" t="n">
        <v>45077.3275462963</v>
      </c>
      <c r="C4969" s="1" t="n">
        <v>46103</v>
      </c>
      <c r="D4969" t="inlineStr">
        <is>
          <t>KRONOBERGS LÄN</t>
        </is>
      </c>
      <c r="E4969" t="inlineStr">
        <is>
          <t>MARKARYD</t>
        </is>
      </c>
      <c r="G4969" t="n">
        <v>3.6</v>
      </c>
      <c r="H4969" t="n">
        <v>0</v>
      </c>
      <c r="I4969" t="n">
        <v>0</v>
      </c>
      <c r="J4969" t="n">
        <v>0</v>
      </c>
      <c r="K4969" t="n">
        <v>0</v>
      </c>
      <c r="L4969" t="n">
        <v>0</v>
      </c>
      <c r="M4969" t="n">
        <v>0</v>
      </c>
      <c r="N4969" t="n">
        <v>0</v>
      </c>
      <c r="O4969" t="n">
        <v>0</v>
      </c>
      <c r="P4969" t="n">
        <v>0</v>
      </c>
      <c r="Q4969" t="n">
        <v>0</v>
      </c>
      <c r="R4969" s="2" t="inlineStr"/>
    </row>
    <row r="4970" ht="15" customHeight="1">
      <c r="A4970" t="inlineStr">
        <is>
          <t>A 64159-2023</t>
        </is>
      </c>
      <c r="B4970" s="1" t="n">
        <v>45279.61047453704</v>
      </c>
      <c r="C4970" s="1" t="n">
        <v>46103</v>
      </c>
      <c r="D4970" t="inlineStr">
        <is>
          <t>KRONOBERGS LÄN</t>
        </is>
      </c>
      <c r="E4970" t="inlineStr">
        <is>
          <t>UPPVIDINGE</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21234-2022</t>
        </is>
      </c>
      <c r="B4971" s="1" t="n">
        <v>44705</v>
      </c>
      <c r="C4971" s="1" t="n">
        <v>46103</v>
      </c>
      <c r="D4971" t="inlineStr">
        <is>
          <t>KRONOBERGS LÄN</t>
        </is>
      </c>
      <c r="E4971" t="inlineStr">
        <is>
          <t>TINGSRYD</t>
        </is>
      </c>
      <c r="G4971" t="n">
        <v>14.9</v>
      </c>
      <c r="H4971" t="n">
        <v>0</v>
      </c>
      <c r="I4971" t="n">
        <v>0</v>
      </c>
      <c r="J4971" t="n">
        <v>0</v>
      </c>
      <c r="K4971" t="n">
        <v>0</v>
      </c>
      <c r="L4971" t="n">
        <v>0</v>
      </c>
      <c r="M4971" t="n">
        <v>0</v>
      </c>
      <c r="N4971" t="n">
        <v>0</v>
      </c>
      <c r="O4971" t="n">
        <v>0</v>
      </c>
      <c r="P4971" t="n">
        <v>0</v>
      </c>
      <c r="Q4971" t="n">
        <v>0</v>
      </c>
      <c r="R4971" s="2" t="inlineStr"/>
    </row>
    <row r="4972" ht="15" customHeight="1">
      <c r="A4972" t="inlineStr">
        <is>
          <t>A 21274-2022</t>
        </is>
      </c>
      <c r="B4972" s="1" t="n">
        <v>44705.44402777778</v>
      </c>
      <c r="C4972" s="1" t="n">
        <v>46103</v>
      </c>
      <c r="D4972" t="inlineStr">
        <is>
          <t>KRONOBERGS LÄN</t>
        </is>
      </c>
      <c r="E4972" t="inlineStr">
        <is>
          <t>VÄXJÖ</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2913-2024</t>
        </is>
      </c>
      <c r="B4973" s="1" t="n">
        <v>45315.56436342592</v>
      </c>
      <c r="C4973" s="1" t="n">
        <v>46103</v>
      </c>
      <c r="D4973" t="inlineStr">
        <is>
          <t>KRONOBERGS LÄN</t>
        </is>
      </c>
      <c r="E4973" t="inlineStr">
        <is>
          <t>VÄXJÖ</t>
        </is>
      </c>
      <c r="G4973" t="n">
        <v>3.3</v>
      </c>
      <c r="H4973" t="n">
        <v>0</v>
      </c>
      <c r="I4973" t="n">
        <v>0</v>
      </c>
      <c r="J4973" t="n">
        <v>0</v>
      </c>
      <c r="K4973" t="n">
        <v>0</v>
      </c>
      <c r="L4973" t="n">
        <v>0</v>
      </c>
      <c r="M4973" t="n">
        <v>0</v>
      </c>
      <c r="N4973" t="n">
        <v>0</v>
      </c>
      <c r="O4973" t="n">
        <v>0</v>
      </c>
      <c r="P4973" t="n">
        <v>0</v>
      </c>
      <c r="Q4973" t="n">
        <v>0</v>
      </c>
      <c r="R4973" s="2" t="inlineStr"/>
    </row>
    <row r="4974" ht="15" customHeight="1">
      <c r="A4974" t="inlineStr">
        <is>
          <t>A 2960-2024</t>
        </is>
      </c>
      <c r="B4974" s="1" t="n">
        <v>45315.65311342593</v>
      </c>
      <c r="C4974" s="1" t="n">
        <v>46103</v>
      </c>
      <c r="D4974" t="inlineStr">
        <is>
          <t>KRONOBERGS LÄN</t>
        </is>
      </c>
      <c r="E4974" t="inlineStr">
        <is>
          <t>LJUNGBY</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6367-2024</t>
        </is>
      </c>
      <c r="B4975" s="1" t="n">
        <v>45338.49901620371</v>
      </c>
      <c r="C4975" s="1" t="n">
        <v>46103</v>
      </c>
      <c r="D4975" t="inlineStr">
        <is>
          <t>KRONOBERGS LÄN</t>
        </is>
      </c>
      <c r="E4975" t="inlineStr">
        <is>
          <t>ALVESTA</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37002-2025</t>
        </is>
      </c>
      <c r="B4976" s="1" t="n">
        <v>45874.68646990741</v>
      </c>
      <c r="C4976" s="1" t="n">
        <v>46103</v>
      </c>
      <c r="D4976" t="inlineStr">
        <is>
          <t>KRONOBERGS LÄN</t>
        </is>
      </c>
      <c r="E4976" t="inlineStr">
        <is>
          <t>TINGSRYD</t>
        </is>
      </c>
      <c r="G4976" t="n">
        <v>0</v>
      </c>
      <c r="H4976" t="n">
        <v>0</v>
      </c>
      <c r="I4976" t="n">
        <v>0</v>
      </c>
      <c r="J4976" t="n">
        <v>0</v>
      </c>
      <c r="K4976" t="n">
        <v>0</v>
      </c>
      <c r="L4976" t="n">
        <v>0</v>
      </c>
      <c r="M4976" t="n">
        <v>0</v>
      </c>
      <c r="N4976" t="n">
        <v>0</v>
      </c>
      <c r="O4976" t="n">
        <v>0</v>
      </c>
      <c r="P4976" t="n">
        <v>0</v>
      </c>
      <c r="Q4976" t="n">
        <v>0</v>
      </c>
      <c r="R4976" s="2" t="inlineStr"/>
    </row>
    <row r="4977" ht="15" customHeight="1">
      <c r="A4977" t="inlineStr">
        <is>
          <t>A 52430-2024</t>
        </is>
      </c>
      <c r="B4977" s="1" t="n">
        <v>45609.47512731481</v>
      </c>
      <c r="C4977" s="1" t="n">
        <v>46103</v>
      </c>
      <c r="D4977" t="inlineStr">
        <is>
          <t>KRONOBERGS LÄN</t>
        </is>
      </c>
      <c r="E4977" t="inlineStr">
        <is>
          <t>TINGSRYD</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36909-2025</t>
        </is>
      </c>
      <c r="B4978" s="1" t="n">
        <v>45874</v>
      </c>
      <c r="C4978" s="1" t="n">
        <v>46103</v>
      </c>
      <c r="D4978" t="inlineStr">
        <is>
          <t>KRONOBERGS LÄN</t>
        </is>
      </c>
      <c r="E4978" t="inlineStr">
        <is>
          <t>ALVESTA</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48159-2024</t>
        </is>
      </c>
      <c r="B4979" s="1" t="n">
        <v>45589.69603009259</v>
      </c>
      <c r="C4979" s="1" t="n">
        <v>46103</v>
      </c>
      <c r="D4979" t="inlineStr">
        <is>
          <t>KRONOBERGS LÄN</t>
        </is>
      </c>
      <c r="E4979" t="inlineStr">
        <is>
          <t>ÄLMHULT</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37101-2025</t>
        </is>
      </c>
      <c r="B4980" s="1" t="n">
        <v>45875</v>
      </c>
      <c r="C4980" s="1" t="n">
        <v>46103</v>
      </c>
      <c r="D4980" t="inlineStr">
        <is>
          <t>KRONOBERGS LÄN</t>
        </is>
      </c>
      <c r="E4980" t="inlineStr">
        <is>
          <t>UPPVIDINGE</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5392-2023</t>
        </is>
      </c>
      <c r="B4981" s="1" t="n">
        <v>44959.68709490741</v>
      </c>
      <c r="C4981" s="1" t="n">
        <v>46103</v>
      </c>
      <c r="D4981" t="inlineStr">
        <is>
          <t>KRONOBERGS LÄN</t>
        </is>
      </c>
      <c r="E4981" t="inlineStr">
        <is>
          <t>LJUNGBY</t>
        </is>
      </c>
      <c r="G4981" t="n">
        <v>0.4</v>
      </c>
      <c r="H4981" t="n">
        <v>0</v>
      </c>
      <c r="I4981" t="n">
        <v>0</v>
      </c>
      <c r="J4981" t="n">
        <v>0</v>
      </c>
      <c r="K4981" t="n">
        <v>0</v>
      </c>
      <c r="L4981" t="n">
        <v>0</v>
      </c>
      <c r="M4981" t="n">
        <v>0</v>
      </c>
      <c r="N4981" t="n">
        <v>0</v>
      </c>
      <c r="O4981" t="n">
        <v>0</v>
      </c>
      <c r="P4981" t="n">
        <v>0</v>
      </c>
      <c r="Q4981" t="n">
        <v>0</v>
      </c>
      <c r="R4981" s="2" t="inlineStr"/>
    </row>
    <row r="4982" ht="15" customHeight="1">
      <c r="A4982" t="inlineStr">
        <is>
          <t>A 5403-2023</t>
        </is>
      </c>
      <c r="B4982" s="1" t="n">
        <v>44959</v>
      </c>
      <c r="C4982" s="1" t="n">
        <v>46103</v>
      </c>
      <c r="D4982" t="inlineStr">
        <is>
          <t>KRONOBERGS LÄN</t>
        </is>
      </c>
      <c r="E4982" t="inlineStr">
        <is>
          <t>LJUNGBY</t>
        </is>
      </c>
      <c r="G4982" t="n">
        <v>0.3</v>
      </c>
      <c r="H4982" t="n">
        <v>0</v>
      </c>
      <c r="I4982" t="n">
        <v>0</v>
      </c>
      <c r="J4982" t="n">
        <v>0</v>
      </c>
      <c r="K4982" t="n">
        <v>0</v>
      </c>
      <c r="L4982" t="n">
        <v>0</v>
      </c>
      <c r="M4982" t="n">
        <v>0</v>
      </c>
      <c r="N4982" t="n">
        <v>0</v>
      </c>
      <c r="O4982" t="n">
        <v>0</v>
      </c>
      <c r="P4982" t="n">
        <v>0</v>
      </c>
      <c r="Q4982" t="n">
        <v>0</v>
      </c>
      <c r="R4982" s="2" t="inlineStr"/>
    </row>
    <row r="4983" ht="15" customHeight="1">
      <c r="A4983" t="inlineStr">
        <is>
          <t>A 21768-2023</t>
        </is>
      </c>
      <c r="B4983" s="1" t="n">
        <v>45065</v>
      </c>
      <c r="C4983" s="1" t="n">
        <v>46103</v>
      </c>
      <c r="D4983" t="inlineStr">
        <is>
          <t>KRONOBERGS LÄN</t>
        </is>
      </c>
      <c r="E4983" t="inlineStr">
        <is>
          <t>VÄXJÖ</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37220-2025</t>
        </is>
      </c>
      <c r="B4984" s="1" t="n">
        <v>45875</v>
      </c>
      <c r="C4984" s="1" t="n">
        <v>46103</v>
      </c>
      <c r="D4984" t="inlineStr">
        <is>
          <t>KRONOBERGS LÄN</t>
        </is>
      </c>
      <c r="E4984" t="inlineStr">
        <is>
          <t>ALVESTA</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36895-2025</t>
        </is>
      </c>
      <c r="B4985" s="1" t="n">
        <v>45874</v>
      </c>
      <c r="C4985" s="1" t="n">
        <v>46103</v>
      </c>
      <c r="D4985" t="inlineStr">
        <is>
          <t>KRONOBERGS LÄN</t>
        </is>
      </c>
      <c r="E4985" t="inlineStr">
        <is>
          <t>LESSEBO</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37091-2025</t>
        </is>
      </c>
      <c r="B4986" s="1" t="n">
        <v>45875.46413194444</v>
      </c>
      <c r="C4986" s="1" t="n">
        <v>46103</v>
      </c>
      <c r="D4986" t="inlineStr">
        <is>
          <t>KRONOBERGS LÄN</t>
        </is>
      </c>
      <c r="E4986" t="inlineStr">
        <is>
          <t>ALVESTA</t>
        </is>
      </c>
      <c r="G4986" t="n">
        <v>4.7</v>
      </c>
      <c r="H4986" t="n">
        <v>0</v>
      </c>
      <c r="I4986" t="n">
        <v>0</v>
      </c>
      <c r="J4986" t="n">
        <v>0</v>
      </c>
      <c r="K4986" t="n">
        <v>0</v>
      </c>
      <c r="L4986" t="n">
        <v>0</v>
      </c>
      <c r="M4986" t="n">
        <v>0</v>
      </c>
      <c r="N4986" t="n">
        <v>0</v>
      </c>
      <c r="O4986" t="n">
        <v>0</v>
      </c>
      <c r="P4986" t="n">
        <v>0</v>
      </c>
      <c r="Q4986" t="n">
        <v>0</v>
      </c>
      <c r="R4986" s="2" t="inlineStr"/>
    </row>
    <row r="4987" ht="15" customHeight="1">
      <c r="A4987" t="inlineStr">
        <is>
          <t>A 37188-2025</t>
        </is>
      </c>
      <c r="B4987" s="1" t="n">
        <v>45875.64696759259</v>
      </c>
      <c r="C4987" s="1" t="n">
        <v>46103</v>
      </c>
      <c r="D4987" t="inlineStr">
        <is>
          <t>KRONOBERGS LÄN</t>
        </is>
      </c>
      <c r="E4987" t="inlineStr">
        <is>
          <t>LJUNGBY</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27675-2022</t>
        </is>
      </c>
      <c r="B4988" s="1" t="n">
        <v>44743</v>
      </c>
      <c r="C4988" s="1" t="n">
        <v>46103</v>
      </c>
      <c r="D4988" t="inlineStr">
        <is>
          <t>KRONOBERGS LÄN</t>
        </is>
      </c>
      <c r="E4988" t="inlineStr">
        <is>
          <t>VÄXJÖ</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6338-2025</t>
        </is>
      </c>
      <c r="B4989" s="1" t="n">
        <v>45699.28684027777</v>
      </c>
      <c r="C4989" s="1" t="n">
        <v>46103</v>
      </c>
      <c r="D4989" t="inlineStr">
        <is>
          <t>KRONOBERGS LÄN</t>
        </is>
      </c>
      <c r="E4989" t="inlineStr">
        <is>
          <t>LESSEBO</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6340-2025</t>
        </is>
      </c>
      <c r="B4990" s="1" t="n">
        <v>45699</v>
      </c>
      <c r="C4990" s="1" t="n">
        <v>46103</v>
      </c>
      <c r="D4990" t="inlineStr">
        <is>
          <t>KRONOBERGS LÄN</t>
        </is>
      </c>
      <c r="E4990" t="inlineStr">
        <is>
          <t>ALVESTA</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36911-2025</t>
        </is>
      </c>
      <c r="B4991" s="1" t="n">
        <v>45874</v>
      </c>
      <c r="C4991" s="1" t="n">
        <v>46103</v>
      </c>
      <c r="D4991" t="inlineStr">
        <is>
          <t>KRONOBERGS LÄN</t>
        </is>
      </c>
      <c r="E4991" t="inlineStr">
        <is>
          <t>ALVESTA</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32498-2023</t>
        </is>
      </c>
      <c r="B4992" s="1" t="n">
        <v>45121</v>
      </c>
      <c r="C4992" s="1" t="n">
        <v>46103</v>
      </c>
      <c r="D4992" t="inlineStr">
        <is>
          <t>KRONOBERGS LÄN</t>
        </is>
      </c>
      <c r="E4992" t="inlineStr">
        <is>
          <t>VÄXJÖ</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22765-2021</t>
        </is>
      </c>
      <c r="B4993" s="1" t="n">
        <v>44327</v>
      </c>
      <c r="C4993" s="1" t="n">
        <v>46103</v>
      </c>
      <c r="D4993" t="inlineStr">
        <is>
          <t>KRONOBERGS LÄN</t>
        </is>
      </c>
      <c r="E4993" t="inlineStr">
        <is>
          <t>UPPVIDINGE</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37187-2025</t>
        </is>
      </c>
      <c r="B4994" s="1" t="n">
        <v>45875.6449537037</v>
      </c>
      <c r="C4994" s="1" t="n">
        <v>46103</v>
      </c>
      <c r="D4994" t="inlineStr">
        <is>
          <t>KRONOBERGS LÄN</t>
        </is>
      </c>
      <c r="E4994" t="inlineStr">
        <is>
          <t>LJUNGBY</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42362-2022</t>
        </is>
      </c>
      <c r="B4995" s="1" t="n">
        <v>44831.38086805555</v>
      </c>
      <c r="C4995" s="1" t="n">
        <v>46103</v>
      </c>
      <c r="D4995" t="inlineStr">
        <is>
          <t>KRONOBERGS LÄN</t>
        </is>
      </c>
      <c r="E4995" t="inlineStr">
        <is>
          <t>VÄXJÖ</t>
        </is>
      </c>
      <c r="G4995" t="n">
        <v>0</v>
      </c>
      <c r="H4995" t="n">
        <v>0</v>
      </c>
      <c r="I4995" t="n">
        <v>0</v>
      </c>
      <c r="J4995" t="n">
        <v>0</v>
      </c>
      <c r="K4995" t="n">
        <v>0</v>
      </c>
      <c r="L4995" t="n">
        <v>0</v>
      </c>
      <c r="M4995" t="n">
        <v>0</v>
      </c>
      <c r="N4995" t="n">
        <v>0</v>
      </c>
      <c r="O4995" t="n">
        <v>0</v>
      </c>
      <c r="P4995" t="n">
        <v>0</v>
      </c>
      <c r="Q4995" t="n">
        <v>0</v>
      </c>
      <c r="R4995" s="2" t="inlineStr"/>
    </row>
    <row r="4996" ht="15" customHeight="1">
      <c r="A4996" t="inlineStr">
        <is>
          <t>A 15571-2025</t>
        </is>
      </c>
      <c r="B4996" s="1" t="n">
        <v>45747.78081018518</v>
      </c>
      <c r="C4996" s="1" t="n">
        <v>46103</v>
      </c>
      <c r="D4996" t="inlineStr">
        <is>
          <t>KRONOBERGS LÄN</t>
        </is>
      </c>
      <c r="E4996" t="inlineStr">
        <is>
          <t>LJUNGBY</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50689-2023</t>
        </is>
      </c>
      <c r="B4997" s="1" t="n">
        <v>45210</v>
      </c>
      <c r="C4997" s="1" t="n">
        <v>46103</v>
      </c>
      <c r="D4997" t="inlineStr">
        <is>
          <t>KRONOBERGS LÄN</t>
        </is>
      </c>
      <c r="E4997" t="inlineStr">
        <is>
          <t>ALVESTA</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50697-2023</t>
        </is>
      </c>
      <c r="B4998" s="1" t="n">
        <v>45217.54987268519</v>
      </c>
      <c r="C4998" s="1" t="n">
        <v>46103</v>
      </c>
      <c r="D4998" t="inlineStr">
        <is>
          <t>KRONOBERGS LÄN</t>
        </is>
      </c>
      <c r="E4998" t="inlineStr">
        <is>
          <t>ALVESTA</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37157-2025</t>
        </is>
      </c>
      <c r="B4999" s="1" t="n">
        <v>45875.59371527778</v>
      </c>
      <c r="C4999" s="1" t="n">
        <v>46103</v>
      </c>
      <c r="D4999" t="inlineStr">
        <is>
          <t>KRONOBERGS LÄN</t>
        </is>
      </c>
      <c r="E4999" t="inlineStr">
        <is>
          <t>TINGSRYD</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36982-2025</t>
        </is>
      </c>
      <c r="B5000" s="1" t="n">
        <v>45874.64729166667</v>
      </c>
      <c r="C5000" s="1" t="n">
        <v>46103</v>
      </c>
      <c r="D5000" t="inlineStr">
        <is>
          <t>KRONOBERGS LÄN</t>
        </is>
      </c>
      <c r="E5000" t="inlineStr">
        <is>
          <t>ÄLMHULT</t>
        </is>
      </c>
      <c r="G5000" t="n">
        <v>3.8</v>
      </c>
      <c r="H5000" t="n">
        <v>0</v>
      </c>
      <c r="I5000" t="n">
        <v>0</v>
      </c>
      <c r="J5000" t="n">
        <v>0</v>
      </c>
      <c r="K5000" t="n">
        <v>0</v>
      </c>
      <c r="L5000" t="n">
        <v>0</v>
      </c>
      <c r="M5000" t="n">
        <v>0</v>
      </c>
      <c r="N5000" t="n">
        <v>0</v>
      </c>
      <c r="O5000" t="n">
        <v>0</v>
      </c>
      <c r="P5000" t="n">
        <v>0</v>
      </c>
      <c r="Q5000" t="n">
        <v>0</v>
      </c>
      <c r="R5000" s="2" t="inlineStr"/>
    </row>
    <row r="5001" ht="15" customHeight="1">
      <c r="A5001" t="inlineStr">
        <is>
          <t>A 19400-2024</t>
        </is>
      </c>
      <c r="B5001" s="1" t="n">
        <v>45428</v>
      </c>
      <c r="C5001" s="1" t="n">
        <v>46103</v>
      </c>
      <c r="D5001" t="inlineStr">
        <is>
          <t>KRONOBERGS LÄN</t>
        </is>
      </c>
      <c r="E5001" t="inlineStr">
        <is>
          <t>VÄXJÖ</t>
        </is>
      </c>
      <c r="F5001" t="inlineStr">
        <is>
          <t>Kyrkan</t>
        </is>
      </c>
      <c r="G5001" t="n">
        <v>4.3</v>
      </c>
      <c r="H5001" t="n">
        <v>0</v>
      </c>
      <c r="I5001" t="n">
        <v>0</v>
      </c>
      <c r="J5001" t="n">
        <v>0</v>
      </c>
      <c r="K5001" t="n">
        <v>0</v>
      </c>
      <c r="L5001" t="n">
        <v>0</v>
      </c>
      <c r="M5001" t="n">
        <v>0</v>
      </c>
      <c r="N5001" t="n">
        <v>0</v>
      </c>
      <c r="O5001" t="n">
        <v>0</v>
      </c>
      <c r="P5001" t="n">
        <v>0</v>
      </c>
      <c r="Q5001" t="n">
        <v>0</v>
      </c>
      <c r="R5001" s="2" t="inlineStr"/>
    </row>
    <row r="5002" ht="15" customHeight="1">
      <c r="A5002" t="inlineStr">
        <is>
          <t>A 28477-2024</t>
        </is>
      </c>
      <c r="B5002" s="1" t="n">
        <v>45477.73711805556</v>
      </c>
      <c r="C5002" s="1" t="n">
        <v>46103</v>
      </c>
      <c r="D5002" t="inlineStr">
        <is>
          <t>KRONOBERGS LÄN</t>
        </is>
      </c>
      <c r="E5002" t="inlineStr">
        <is>
          <t>LESSEBO</t>
        </is>
      </c>
      <c r="F5002" t="inlineStr">
        <is>
          <t>Sveaskog</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10577-2024</t>
        </is>
      </c>
      <c r="B5003" s="1" t="n">
        <v>45366.65571759259</v>
      </c>
      <c r="C5003" s="1" t="n">
        <v>46103</v>
      </c>
      <c r="D5003" t="inlineStr">
        <is>
          <t>KRONOBERGS LÄN</t>
        </is>
      </c>
      <c r="E5003" t="inlineStr">
        <is>
          <t>ALVESTA</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4334-2024</t>
        </is>
      </c>
      <c r="B5004" s="1" t="n">
        <v>45324.69274305556</v>
      </c>
      <c r="C5004" s="1" t="n">
        <v>46103</v>
      </c>
      <c r="D5004" t="inlineStr">
        <is>
          <t>KRONOBERGS LÄN</t>
        </is>
      </c>
      <c r="E5004" t="inlineStr">
        <is>
          <t>ALVESTA</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37522-2025</t>
        </is>
      </c>
      <c r="B5005" s="1" t="n">
        <v>45877</v>
      </c>
      <c r="C5005" s="1" t="n">
        <v>46103</v>
      </c>
      <c r="D5005" t="inlineStr">
        <is>
          <t>KRONOBERGS LÄN</t>
        </is>
      </c>
      <c r="E5005" t="inlineStr">
        <is>
          <t>TINGSRYD</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1234-2024</t>
        </is>
      </c>
      <c r="B5006" s="1" t="n">
        <v>45302.71091435185</v>
      </c>
      <c r="C5006" s="1" t="n">
        <v>46103</v>
      </c>
      <c r="D5006" t="inlineStr">
        <is>
          <t>KRONOBERGS LÄN</t>
        </is>
      </c>
      <c r="E5006" t="inlineStr">
        <is>
          <t>VÄXJÖ</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44426-2024</t>
        </is>
      </c>
      <c r="B5007" s="1" t="n">
        <v>45573.91921296297</v>
      </c>
      <c r="C5007" s="1" t="n">
        <v>46103</v>
      </c>
      <c r="D5007" t="inlineStr">
        <is>
          <t>KRONOBERGS LÄN</t>
        </is>
      </c>
      <c r="E5007" t="inlineStr">
        <is>
          <t>VÄXJÖ</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37415-2025</t>
        </is>
      </c>
      <c r="B5008" s="1" t="n">
        <v>45877.47127314815</v>
      </c>
      <c r="C5008" s="1" t="n">
        <v>46103</v>
      </c>
      <c r="D5008" t="inlineStr">
        <is>
          <t>KRONOBERGS LÄN</t>
        </is>
      </c>
      <c r="E5008" t="inlineStr">
        <is>
          <t>VÄXJÖ</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16945-2022</t>
        </is>
      </c>
      <c r="B5009" s="1" t="n">
        <v>44676.47767361111</v>
      </c>
      <c r="C5009" s="1" t="n">
        <v>46103</v>
      </c>
      <c r="D5009" t="inlineStr">
        <is>
          <t>KRONOBERGS LÄN</t>
        </is>
      </c>
      <c r="E5009" t="inlineStr">
        <is>
          <t>VÄXJÖ</t>
        </is>
      </c>
      <c r="F5009" t="inlineStr">
        <is>
          <t>Sveaskog</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31506-2025</t>
        </is>
      </c>
      <c r="B5010" s="1" t="n">
        <v>45833.59498842592</v>
      </c>
      <c r="C5010" s="1" t="n">
        <v>46103</v>
      </c>
      <c r="D5010" t="inlineStr">
        <is>
          <t>KRONOBERGS LÄN</t>
        </is>
      </c>
      <c r="E5010" t="inlineStr">
        <is>
          <t>ÄLMHULT</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35469-2025</t>
        </is>
      </c>
      <c r="B5011" s="1" t="n">
        <v>45855.66106481481</v>
      </c>
      <c r="C5011" s="1" t="n">
        <v>46103</v>
      </c>
      <c r="D5011" t="inlineStr">
        <is>
          <t>KRONOBERGS LÄN</t>
        </is>
      </c>
      <c r="E5011" t="inlineStr">
        <is>
          <t>VÄXJÖ</t>
        </is>
      </c>
      <c r="G5011" t="n">
        <v>4</v>
      </c>
      <c r="H5011" t="n">
        <v>0</v>
      </c>
      <c r="I5011" t="n">
        <v>0</v>
      </c>
      <c r="J5011" t="n">
        <v>0</v>
      </c>
      <c r="K5011" t="n">
        <v>0</v>
      </c>
      <c r="L5011" t="n">
        <v>0</v>
      </c>
      <c r="M5011" t="n">
        <v>0</v>
      </c>
      <c r="N5011" t="n">
        <v>0</v>
      </c>
      <c r="O5011" t="n">
        <v>0</v>
      </c>
      <c r="P5011" t="n">
        <v>0</v>
      </c>
      <c r="Q5011" t="n">
        <v>0</v>
      </c>
      <c r="R5011" s="2" t="inlineStr"/>
    </row>
    <row r="5012" ht="15" customHeight="1">
      <c r="A5012" t="inlineStr">
        <is>
          <t>A 22178-2023</t>
        </is>
      </c>
      <c r="B5012" s="1" t="n">
        <v>45069.69295138889</v>
      </c>
      <c r="C5012" s="1" t="n">
        <v>46103</v>
      </c>
      <c r="D5012" t="inlineStr">
        <is>
          <t>KRONOBERGS LÄN</t>
        </is>
      </c>
      <c r="E5012" t="inlineStr">
        <is>
          <t>UPPVIDINGE</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23148-2023</t>
        </is>
      </c>
      <c r="B5013" s="1" t="n">
        <v>45075.49745370371</v>
      </c>
      <c r="C5013" s="1" t="n">
        <v>46103</v>
      </c>
      <c r="D5013" t="inlineStr">
        <is>
          <t>KRONOBERGS LÄN</t>
        </is>
      </c>
      <c r="E5013" t="inlineStr">
        <is>
          <t>MARKARYD</t>
        </is>
      </c>
      <c r="F5013" t="inlineStr">
        <is>
          <t>Övriga Aktiebolag</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42522-2022</t>
        </is>
      </c>
      <c r="B5014" s="1" t="n">
        <v>44831.61528935185</v>
      </c>
      <c r="C5014" s="1" t="n">
        <v>46103</v>
      </c>
      <c r="D5014" t="inlineStr">
        <is>
          <t>KRONOBERGS LÄN</t>
        </is>
      </c>
      <c r="E5014" t="inlineStr">
        <is>
          <t>TINGSRYD</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42526-2022</t>
        </is>
      </c>
      <c r="B5015" s="1" t="n">
        <v>44831.61790509259</v>
      </c>
      <c r="C5015" s="1" t="n">
        <v>46103</v>
      </c>
      <c r="D5015" t="inlineStr">
        <is>
          <t>KRONOBERGS LÄN</t>
        </is>
      </c>
      <c r="E5015" t="inlineStr">
        <is>
          <t>TINGSRYD</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48687-2022</t>
        </is>
      </c>
      <c r="B5016" s="1" t="n">
        <v>44855</v>
      </c>
      <c r="C5016" s="1" t="n">
        <v>46103</v>
      </c>
      <c r="D5016" t="inlineStr">
        <is>
          <t>KRONOBERGS LÄN</t>
        </is>
      </c>
      <c r="E5016" t="inlineStr">
        <is>
          <t>ÄLMHULT</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37397-2025</t>
        </is>
      </c>
      <c r="B5017" s="1" t="n">
        <v>45877</v>
      </c>
      <c r="C5017" s="1" t="n">
        <v>46103</v>
      </c>
      <c r="D5017" t="inlineStr">
        <is>
          <t>KRONOBERGS LÄN</t>
        </is>
      </c>
      <c r="E5017" t="inlineStr">
        <is>
          <t>UPPVIDINGE</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2241-2023</t>
        </is>
      </c>
      <c r="B5018" s="1" t="n">
        <v>44942</v>
      </c>
      <c r="C5018" s="1" t="n">
        <v>46103</v>
      </c>
      <c r="D5018" t="inlineStr">
        <is>
          <t>KRONOBERGS LÄN</t>
        </is>
      </c>
      <c r="E5018" t="inlineStr">
        <is>
          <t>ÄLMHULT</t>
        </is>
      </c>
      <c r="G5018" t="n">
        <v>0</v>
      </c>
      <c r="H5018" t="n">
        <v>0</v>
      </c>
      <c r="I5018" t="n">
        <v>0</v>
      </c>
      <c r="J5018" t="n">
        <v>0</v>
      </c>
      <c r="K5018" t="n">
        <v>0</v>
      </c>
      <c r="L5018" t="n">
        <v>0</v>
      </c>
      <c r="M5018" t="n">
        <v>0</v>
      </c>
      <c r="N5018" t="n">
        <v>0</v>
      </c>
      <c r="O5018" t="n">
        <v>0</v>
      </c>
      <c r="P5018" t="n">
        <v>0</v>
      </c>
      <c r="Q5018" t="n">
        <v>0</v>
      </c>
      <c r="R5018" s="2" t="inlineStr"/>
    </row>
    <row r="5019" ht="15" customHeight="1">
      <c r="A5019" t="inlineStr">
        <is>
          <t>A 3577-2025</t>
        </is>
      </c>
      <c r="B5019" s="1" t="n">
        <v>45680.72692129629</v>
      </c>
      <c r="C5019" s="1" t="n">
        <v>46103</v>
      </c>
      <c r="D5019" t="inlineStr">
        <is>
          <t>KRONOBERGS LÄN</t>
        </is>
      </c>
      <c r="E5019" t="inlineStr">
        <is>
          <t>ÄLMHULT</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3583-2025</t>
        </is>
      </c>
      <c r="B5020" s="1" t="n">
        <v>45680.74355324074</v>
      </c>
      <c r="C5020" s="1" t="n">
        <v>46103</v>
      </c>
      <c r="D5020" t="inlineStr">
        <is>
          <t>KRONOBERGS LÄN</t>
        </is>
      </c>
      <c r="E5020" t="inlineStr">
        <is>
          <t>MARKARYD</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21275-2024</t>
        </is>
      </c>
      <c r="B5021" s="1" t="n">
        <v>45440.6484375</v>
      </c>
      <c r="C5021" s="1" t="n">
        <v>46103</v>
      </c>
      <c r="D5021" t="inlineStr">
        <is>
          <t>KRONOBERGS LÄN</t>
        </is>
      </c>
      <c r="E5021" t="inlineStr">
        <is>
          <t>UPPVIDINGE</t>
        </is>
      </c>
      <c r="G5021" t="n">
        <v>4.2</v>
      </c>
      <c r="H5021" t="n">
        <v>0</v>
      </c>
      <c r="I5021" t="n">
        <v>0</v>
      </c>
      <c r="J5021" t="n">
        <v>0</v>
      </c>
      <c r="K5021" t="n">
        <v>0</v>
      </c>
      <c r="L5021" t="n">
        <v>0</v>
      </c>
      <c r="M5021" t="n">
        <v>0</v>
      </c>
      <c r="N5021" t="n">
        <v>0</v>
      </c>
      <c r="O5021" t="n">
        <v>0</v>
      </c>
      <c r="P5021" t="n">
        <v>0</v>
      </c>
      <c r="Q5021" t="n">
        <v>0</v>
      </c>
      <c r="R5021" s="2" t="inlineStr"/>
    </row>
    <row r="5022" ht="15" customHeight="1">
      <c r="A5022" t="inlineStr">
        <is>
          <t>A 37396-2025</t>
        </is>
      </c>
      <c r="B5022" s="1" t="n">
        <v>45877.42953703704</v>
      </c>
      <c r="C5022" s="1" t="n">
        <v>46103</v>
      </c>
      <c r="D5022" t="inlineStr">
        <is>
          <t>KRONOBERGS LÄN</t>
        </is>
      </c>
      <c r="E5022" t="inlineStr">
        <is>
          <t>LJUNGBY</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17597-2023</t>
        </is>
      </c>
      <c r="B5023" s="1" t="n">
        <v>45036.60653935185</v>
      </c>
      <c r="C5023" s="1" t="n">
        <v>46103</v>
      </c>
      <c r="D5023" t="inlineStr">
        <is>
          <t>KRONOBERGS LÄN</t>
        </is>
      </c>
      <c r="E5023" t="inlineStr">
        <is>
          <t>VÄXJÖ</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17635-2023</t>
        </is>
      </c>
      <c r="B5024" s="1" t="n">
        <v>45036.6734375</v>
      </c>
      <c r="C5024" s="1" t="n">
        <v>46103</v>
      </c>
      <c r="D5024" t="inlineStr">
        <is>
          <t>KRONOBERGS LÄN</t>
        </is>
      </c>
      <c r="E5024" t="inlineStr">
        <is>
          <t>LJUNGBY</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37453-2025</t>
        </is>
      </c>
      <c r="B5025" s="1" t="n">
        <v>45877</v>
      </c>
      <c r="C5025" s="1" t="n">
        <v>46103</v>
      </c>
      <c r="D5025" t="inlineStr">
        <is>
          <t>KRONOBERGS LÄN</t>
        </is>
      </c>
      <c r="E5025" t="inlineStr">
        <is>
          <t>VÄXJÖ</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37331-2025</t>
        </is>
      </c>
      <c r="B5026" s="1" t="n">
        <v>45876.65726851852</v>
      </c>
      <c r="C5026" s="1" t="n">
        <v>46103</v>
      </c>
      <c r="D5026" t="inlineStr">
        <is>
          <t>KRONOBERGS LÄN</t>
        </is>
      </c>
      <c r="E5026" t="inlineStr">
        <is>
          <t>TINGSRYD</t>
        </is>
      </c>
      <c r="G5026" t="n">
        <v>4.1</v>
      </c>
      <c r="H5026" t="n">
        <v>0</v>
      </c>
      <c r="I5026" t="n">
        <v>0</v>
      </c>
      <c r="J5026" t="n">
        <v>0</v>
      </c>
      <c r="K5026" t="n">
        <v>0</v>
      </c>
      <c r="L5026" t="n">
        <v>0</v>
      </c>
      <c r="M5026" t="n">
        <v>0</v>
      </c>
      <c r="N5026" t="n">
        <v>0</v>
      </c>
      <c r="O5026" t="n">
        <v>0</v>
      </c>
      <c r="P5026" t="n">
        <v>0</v>
      </c>
      <c r="Q5026" t="n">
        <v>0</v>
      </c>
      <c r="R5026" s="2" t="inlineStr"/>
    </row>
    <row r="5027" ht="15" customHeight="1">
      <c r="A5027" t="inlineStr">
        <is>
          <t>A 1239-2024</t>
        </is>
      </c>
      <c r="B5027" s="1" t="n">
        <v>45302.71799768518</v>
      </c>
      <c r="C5027" s="1" t="n">
        <v>46103</v>
      </c>
      <c r="D5027" t="inlineStr">
        <is>
          <t>KRONOBERGS LÄN</t>
        </is>
      </c>
      <c r="E5027" t="inlineStr">
        <is>
          <t>VÄXJÖ</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37243-2025</t>
        </is>
      </c>
      <c r="B5028" s="1" t="n">
        <v>45876.38861111111</v>
      </c>
      <c r="C5028" s="1" t="n">
        <v>46103</v>
      </c>
      <c r="D5028" t="inlineStr">
        <is>
          <t>KRONOBERGS LÄN</t>
        </is>
      </c>
      <c r="E5028" t="inlineStr">
        <is>
          <t>MARKARYD</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5474-2023</t>
        </is>
      </c>
      <c r="B5029" s="1" t="n">
        <v>44960.35675925926</v>
      </c>
      <c r="C5029" s="1" t="n">
        <v>46103</v>
      </c>
      <c r="D5029" t="inlineStr">
        <is>
          <t>KRONOBERGS LÄN</t>
        </is>
      </c>
      <c r="E5029" t="inlineStr">
        <is>
          <t>TINGSRYD</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8777-2024</t>
        </is>
      </c>
      <c r="B5030" s="1" t="n">
        <v>45356.56041666667</v>
      </c>
      <c r="C5030" s="1" t="n">
        <v>46103</v>
      </c>
      <c r="D5030" t="inlineStr">
        <is>
          <t>KRONOBERGS LÄN</t>
        </is>
      </c>
      <c r="E5030" t="inlineStr">
        <is>
          <t>TINGSRYD</t>
        </is>
      </c>
      <c r="F5030" t="inlineStr">
        <is>
          <t>Övriga Aktiebolag</t>
        </is>
      </c>
      <c r="G5030" t="n">
        <v>7.3</v>
      </c>
      <c r="H5030" t="n">
        <v>0</v>
      </c>
      <c r="I5030" t="n">
        <v>0</v>
      </c>
      <c r="J5030" t="n">
        <v>0</v>
      </c>
      <c r="K5030" t="n">
        <v>0</v>
      </c>
      <c r="L5030" t="n">
        <v>0</v>
      </c>
      <c r="M5030" t="n">
        <v>0</v>
      </c>
      <c r="N5030" t="n">
        <v>0</v>
      </c>
      <c r="O5030" t="n">
        <v>0</v>
      </c>
      <c r="P5030" t="n">
        <v>0</v>
      </c>
      <c r="Q5030" t="n">
        <v>0</v>
      </c>
      <c r="R5030" s="2" t="inlineStr"/>
    </row>
    <row r="5031" ht="15" customHeight="1">
      <c r="A5031" t="inlineStr">
        <is>
          <t>A 48675-2024</t>
        </is>
      </c>
      <c r="B5031" s="1" t="n">
        <v>45593</v>
      </c>
      <c r="C5031" s="1" t="n">
        <v>46103</v>
      </c>
      <c r="D5031" t="inlineStr">
        <is>
          <t>KRONOBERGS LÄN</t>
        </is>
      </c>
      <c r="E5031" t="inlineStr">
        <is>
          <t>LJUNGBY</t>
        </is>
      </c>
      <c r="F5031" t="inlineStr">
        <is>
          <t>Sveaskog</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37603-2025</t>
        </is>
      </c>
      <c r="B5032" s="1" t="n">
        <v>45880.42453703703</v>
      </c>
      <c r="C5032" s="1" t="n">
        <v>46103</v>
      </c>
      <c r="D5032" t="inlineStr">
        <is>
          <t>KRONOBERGS LÄN</t>
        </is>
      </c>
      <c r="E5032" t="inlineStr">
        <is>
          <t>MARKARYD</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19904-2025</t>
        </is>
      </c>
      <c r="B5033" s="1" t="n">
        <v>45771.59387731482</v>
      </c>
      <c r="C5033" s="1" t="n">
        <v>46103</v>
      </c>
      <c r="D5033" t="inlineStr">
        <is>
          <t>KRONOBERGS LÄN</t>
        </is>
      </c>
      <c r="E5033" t="inlineStr">
        <is>
          <t>VÄXJÖ</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53854-2024</t>
        </is>
      </c>
      <c r="B5034" s="1" t="n">
        <v>45615.6362037037</v>
      </c>
      <c r="C5034" s="1" t="n">
        <v>46103</v>
      </c>
      <c r="D5034" t="inlineStr">
        <is>
          <t>KRONOBERGS LÄN</t>
        </is>
      </c>
      <c r="E5034" t="inlineStr">
        <is>
          <t>LJUNGBY</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37771-2025</t>
        </is>
      </c>
      <c r="B5035" s="1" t="n">
        <v>45880</v>
      </c>
      <c r="C5035" s="1" t="n">
        <v>46103</v>
      </c>
      <c r="D5035" t="inlineStr">
        <is>
          <t>KRONOBERGS LÄN</t>
        </is>
      </c>
      <c r="E5035" t="inlineStr">
        <is>
          <t>ÄLMHULT</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37794-2025</t>
        </is>
      </c>
      <c r="B5036" s="1" t="n">
        <v>45881.32390046296</v>
      </c>
      <c r="C5036" s="1" t="n">
        <v>46103</v>
      </c>
      <c r="D5036" t="inlineStr">
        <is>
          <t>KRONOBERGS LÄN</t>
        </is>
      </c>
      <c r="E5036" t="inlineStr">
        <is>
          <t>ALVESTA</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37967-2025</t>
        </is>
      </c>
      <c r="B5037" s="1" t="n">
        <v>45881.66684027778</v>
      </c>
      <c r="C5037" s="1" t="n">
        <v>46103</v>
      </c>
      <c r="D5037" t="inlineStr">
        <is>
          <t>KRONOBERGS LÄN</t>
        </is>
      </c>
      <c r="E5037" t="inlineStr">
        <is>
          <t>LJUNGBY</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60841-2024</t>
        </is>
      </c>
      <c r="B5038" s="1" t="n">
        <v>45644</v>
      </c>
      <c r="C5038" s="1" t="n">
        <v>46103</v>
      </c>
      <c r="D5038" t="inlineStr">
        <is>
          <t>KRONOBERGS LÄN</t>
        </is>
      </c>
      <c r="E5038" t="inlineStr">
        <is>
          <t>ÄLMHULT</t>
        </is>
      </c>
      <c r="G5038" t="n">
        <v>5</v>
      </c>
      <c r="H5038" t="n">
        <v>0</v>
      </c>
      <c r="I5038" t="n">
        <v>0</v>
      </c>
      <c r="J5038" t="n">
        <v>0</v>
      </c>
      <c r="K5038" t="n">
        <v>0</v>
      </c>
      <c r="L5038" t="n">
        <v>0</v>
      </c>
      <c r="M5038" t="n">
        <v>0</v>
      </c>
      <c r="N5038" t="n">
        <v>0</v>
      </c>
      <c r="O5038" t="n">
        <v>0</v>
      </c>
      <c r="P5038" t="n">
        <v>0</v>
      </c>
      <c r="Q5038" t="n">
        <v>0</v>
      </c>
      <c r="R5038" s="2" t="inlineStr"/>
    </row>
    <row r="5039" ht="15" customHeight="1">
      <c r="A5039" t="inlineStr">
        <is>
          <t>A 28666-2025</t>
        </is>
      </c>
      <c r="B5039" s="1" t="n">
        <v>45819.6641087963</v>
      </c>
      <c r="C5039" s="1" t="n">
        <v>46103</v>
      </c>
      <c r="D5039" t="inlineStr">
        <is>
          <t>KRONOBERGS LÄN</t>
        </is>
      </c>
      <c r="E5039" t="inlineStr">
        <is>
          <t>ÄLMHULT</t>
        </is>
      </c>
      <c r="G5039" t="n">
        <v>5.6</v>
      </c>
      <c r="H5039" t="n">
        <v>0</v>
      </c>
      <c r="I5039" t="n">
        <v>0</v>
      </c>
      <c r="J5039" t="n">
        <v>0</v>
      </c>
      <c r="K5039" t="n">
        <v>0</v>
      </c>
      <c r="L5039" t="n">
        <v>0</v>
      </c>
      <c r="M5039" t="n">
        <v>0</v>
      </c>
      <c r="N5039" t="n">
        <v>0</v>
      </c>
      <c r="O5039" t="n">
        <v>0</v>
      </c>
      <c r="P5039" t="n">
        <v>0</v>
      </c>
      <c r="Q5039" t="n">
        <v>0</v>
      </c>
      <c r="R5039" s="2" t="inlineStr"/>
    </row>
    <row r="5040" ht="15" customHeight="1">
      <c r="A5040" t="inlineStr">
        <is>
          <t>A 29339-2024</t>
        </is>
      </c>
      <c r="B5040" s="1" t="n">
        <v>45483</v>
      </c>
      <c r="C5040" s="1" t="n">
        <v>46103</v>
      </c>
      <c r="D5040" t="inlineStr">
        <is>
          <t>KRONOBERGS LÄN</t>
        </is>
      </c>
      <c r="E5040" t="inlineStr">
        <is>
          <t>LJUNGBY</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29342-2024</t>
        </is>
      </c>
      <c r="B5041" s="1" t="n">
        <v>45483</v>
      </c>
      <c r="C5041" s="1" t="n">
        <v>46103</v>
      </c>
      <c r="D5041" t="inlineStr">
        <is>
          <t>KRONOBERGS LÄN</t>
        </is>
      </c>
      <c r="E5041" t="inlineStr">
        <is>
          <t>LJUNGBY</t>
        </is>
      </c>
      <c r="G5041" t="n">
        <v>7.7</v>
      </c>
      <c r="H5041" t="n">
        <v>0</v>
      </c>
      <c r="I5041" t="n">
        <v>0</v>
      </c>
      <c r="J5041" t="n">
        <v>0</v>
      </c>
      <c r="K5041" t="n">
        <v>0</v>
      </c>
      <c r="L5041" t="n">
        <v>0</v>
      </c>
      <c r="M5041" t="n">
        <v>0</v>
      </c>
      <c r="N5041" t="n">
        <v>0</v>
      </c>
      <c r="O5041" t="n">
        <v>0</v>
      </c>
      <c r="P5041" t="n">
        <v>0</v>
      </c>
      <c r="Q5041" t="n">
        <v>0</v>
      </c>
      <c r="R5041" s="2" t="inlineStr"/>
    </row>
    <row r="5042" ht="15" customHeight="1">
      <c r="A5042" t="inlineStr">
        <is>
          <t>A 40923-2021</t>
        </is>
      </c>
      <c r="B5042" s="1" t="n">
        <v>44421.51063657407</v>
      </c>
      <c r="C5042" s="1" t="n">
        <v>46103</v>
      </c>
      <c r="D5042" t="inlineStr">
        <is>
          <t>KRONOBERGS LÄN</t>
        </is>
      </c>
      <c r="E5042" t="inlineStr">
        <is>
          <t>LJUNGBY</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4828-2025</t>
        </is>
      </c>
      <c r="B5043" s="1" t="n">
        <v>45688.64172453704</v>
      </c>
      <c r="C5043" s="1" t="n">
        <v>46103</v>
      </c>
      <c r="D5043" t="inlineStr">
        <is>
          <t>KRONOBERGS LÄN</t>
        </is>
      </c>
      <c r="E5043" t="inlineStr">
        <is>
          <t>VÄXJÖ</t>
        </is>
      </c>
      <c r="G5043" t="n">
        <v>3.8</v>
      </c>
      <c r="H5043" t="n">
        <v>0</v>
      </c>
      <c r="I5043" t="n">
        <v>0</v>
      </c>
      <c r="J5043" t="n">
        <v>0</v>
      </c>
      <c r="K5043" t="n">
        <v>0</v>
      </c>
      <c r="L5043" t="n">
        <v>0</v>
      </c>
      <c r="M5043" t="n">
        <v>0</v>
      </c>
      <c r="N5043" t="n">
        <v>0</v>
      </c>
      <c r="O5043" t="n">
        <v>0</v>
      </c>
      <c r="P5043" t="n">
        <v>0</v>
      </c>
      <c r="Q5043" t="n">
        <v>0</v>
      </c>
      <c r="R5043" s="2" t="inlineStr"/>
    </row>
    <row r="5044" ht="15" customHeight="1">
      <c r="A5044" t="inlineStr">
        <is>
          <t>A 5849-2025</t>
        </is>
      </c>
      <c r="B5044" s="1" t="n">
        <v>45695.32108796296</v>
      </c>
      <c r="C5044" s="1" t="n">
        <v>46103</v>
      </c>
      <c r="D5044" t="inlineStr">
        <is>
          <t>KRONOBERGS LÄN</t>
        </is>
      </c>
      <c r="E5044" t="inlineStr">
        <is>
          <t>ÄLMHULT</t>
        </is>
      </c>
      <c r="G5044" t="n">
        <v>7</v>
      </c>
      <c r="H5044" t="n">
        <v>0</v>
      </c>
      <c r="I5044" t="n">
        <v>0</v>
      </c>
      <c r="J5044" t="n">
        <v>0</v>
      </c>
      <c r="K5044" t="n">
        <v>0</v>
      </c>
      <c r="L5044" t="n">
        <v>0</v>
      </c>
      <c r="M5044" t="n">
        <v>0</v>
      </c>
      <c r="N5044" t="n">
        <v>0</v>
      </c>
      <c r="O5044" t="n">
        <v>0</v>
      </c>
      <c r="P5044" t="n">
        <v>0</v>
      </c>
      <c r="Q5044" t="n">
        <v>0</v>
      </c>
      <c r="R5044" s="2" t="inlineStr"/>
    </row>
    <row r="5045" ht="15" customHeight="1">
      <c r="A5045" t="inlineStr">
        <is>
          <t>A 28026-2024</t>
        </is>
      </c>
      <c r="B5045" s="1" t="n">
        <v>45476.48375</v>
      </c>
      <c r="C5045" s="1" t="n">
        <v>46103</v>
      </c>
      <c r="D5045" t="inlineStr">
        <is>
          <t>KRONOBERGS LÄN</t>
        </is>
      </c>
      <c r="E5045" t="inlineStr">
        <is>
          <t>ÄLMHULT</t>
        </is>
      </c>
      <c r="G5045" t="n">
        <v>11.8</v>
      </c>
      <c r="H5045" t="n">
        <v>0</v>
      </c>
      <c r="I5045" t="n">
        <v>0</v>
      </c>
      <c r="J5045" t="n">
        <v>0</v>
      </c>
      <c r="K5045" t="n">
        <v>0</v>
      </c>
      <c r="L5045" t="n">
        <v>0</v>
      </c>
      <c r="M5045" t="n">
        <v>0</v>
      </c>
      <c r="N5045" t="n">
        <v>0</v>
      </c>
      <c r="O5045" t="n">
        <v>0</v>
      </c>
      <c r="P5045" t="n">
        <v>0</v>
      </c>
      <c r="Q5045" t="n">
        <v>0</v>
      </c>
      <c r="R5045" s="2" t="inlineStr"/>
    </row>
    <row r="5046" ht="15" customHeight="1">
      <c r="A5046" t="inlineStr">
        <is>
          <t>A 25311-2024</t>
        </is>
      </c>
      <c r="B5046" s="1" t="n">
        <v>45462.69741898148</v>
      </c>
      <c r="C5046" s="1" t="n">
        <v>46103</v>
      </c>
      <c r="D5046" t="inlineStr">
        <is>
          <t>KRONOBERGS LÄN</t>
        </is>
      </c>
      <c r="E5046" t="inlineStr">
        <is>
          <t>ÄLMHULT</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37780-2025</t>
        </is>
      </c>
      <c r="B5047" s="1" t="n">
        <v>45880</v>
      </c>
      <c r="C5047" s="1" t="n">
        <v>46103</v>
      </c>
      <c r="D5047" t="inlineStr">
        <is>
          <t>KRONOBERGS LÄN</t>
        </is>
      </c>
      <c r="E5047" t="inlineStr">
        <is>
          <t>TINGSRYD</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37793-2025</t>
        </is>
      </c>
      <c r="B5048" s="1" t="n">
        <v>45881.31761574074</v>
      </c>
      <c r="C5048" s="1" t="n">
        <v>46103</v>
      </c>
      <c r="D5048" t="inlineStr">
        <is>
          <t>KRONOBERGS LÄN</t>
        </is>
      </c>
      <c r="E5048" t="inlineStr">
        <is>
          <t>LJUNGBY</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17161-2024</t>
        </is>
      </c>
      <c r="B5049" s="1" t="n">
        <v>45412.71516203704</v>
      </c>
      <c r="C5049" s="1" t="n">
        <v>46103</v>
      </c>
      <c r="D5049" t="inlineStr">
        <is>
          <t>KRONOBERGS LÄN</t>
        </is>
      </c>
      <c r="E5049" t="inlineStr">
        <is>
          <t>ÄLMHULT</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58165-2024</t>
        </is>
      </c>
      <c r="B5050" s="1" t="n">
        <v>45632.45528935185</v>
      </c>
      <c r="C5050" s="1" t="n">
        <v>46103</v>
      </c>
      <c r="D5050" t="inlineStr">
        <is>
          <t>KRONOBERGS LÄN</t>
        </is>
      </c>
      <c r="E5050" t="inlineStr">
        <is>
          <t>VÄXJÖ</t>
        </is>
      </c>
      <c r="G5050" t="n">
        <v>5.4</v>
      </c>
      <c r="H5050" t="n">
        <v>0</v>
      </c>
      <c r="I5050" t="n">
        <v>0</v>
      </c>
      <c r="J5050" t="n">
        <v>0</v>
      </c>
      <c r="K5050" t="n">
        <v>0</v>
      </c>
      <c r="L5050" t="n">
        <v>0</v>
      </c>
      <c r="M5050" t="n">
        <v>0</v>
      </c>
      <c r="N5050" t="n">
        <v>0</v>
      </c>
      <c r="O5050" t="n">
        <v>0</v>
      </c>
      <c r="P5050" t="n">
        <v>0</v>
      </c>
      <c r="Q5050" t="n">
        <v>0</v>
      </c>
      <c r="R5050" s="2" t="inlineStr"/>
    </row>
    <row r="5051" ht="15" customHeight="1">
      <c r="A5051" t="inlineStr">
        <is>
          <t>A 37867-2025</t>
        </is>
      </c>
      <c r="B5051" s="1" t="n">
        <v>45881.47059027778</v>
      </c>
      <c r="C5051" s="1" t="n">
        <v>46103</v>
      </c>
      <c r="D5051" t="inlineStr">
        <is>
          <t>KRONOBERGS LÄN</t>
        </is>
      </c>
      <c r="E5051" t="inlineStr">
        <is>
          <t>TINGSRYD</t>
        </is>
      </c>
      <c r="G5051" t="n">
        <v>5.7</v>
      </c>
      <c r="H5051" t="n">
        <v>0</v>
      </c>
      <c r="I5051" t="n">
        <v>0</v>
      </c>
      <c r="J5051" t="n">
        <v>0</v>
      </c>
      <c r="K5051" t="n">
        <v>0</v>
      </c>
      <c r="L5051" t="n">
        <v>0</v>
      </c>
      <c r="M5051" t="n">
        <v>0</v>
      </c>
      <c r="N5051" t="n">
        <v>0</v>
      </c>
      <c r="O5051" t="n">
        <v>0</v>
      </c>
      <c r="P5051" t="n">
        <v>0</v>
      </c>
      <c r="Q5051" t="n">
        <v>0</v>
      </c>
      <c r="R5051" s="2" t="inlineStr"/>
    </row>
    <row r="5052" ht="15" customHeight="1">
      <c r="A5052" t="inlineStr">
        <is>
          <t>A 37871-2025</t>
        </is>
      </c>
      <c r="B5052" s="1" t="n">
        <v>45881.47516203704</v>
      </c>
      <c r="C5052" s="1" t="n">
        <v>46103</v>
      </c>
      <c r="D5052" t="inlineStr">
        <is>
          <t>KRONOBERGS LÄN</t>
        </is>
      </c>
      <c r="E5052" t="inlineStr">
        <is>
          <t>TINGSRYD</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37902-2025</t>
        </is>
      </c>
      <c r="B5053" s="1" t="n">
        <v>45881.56177083333</v>
      </c>
      <c r="C5053" s="1" t="n">
        <v>46103</v>
      </c>
      <c r="D5053" t="inlineStr">
        <is>
          <t>KRONOBERGS LÄN</t>
        </is>
      </c>
      <c r="E5053" t="inlineStr">
        <is>
          <t>VÄXJÖ</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37610-2025</t>
        </is>
      </c>
      <c r="B5054" s="1" t="n">
        <v>45880.43133101852</v>
      </c>
      <c r="C5054" s="1" t="n">
        <v>46103</v>
      </c>
      <c r="D5054" t="inlineStr">
        <is>
          <t>KRONOBERGS LÄN</t>
        </is>
      </c>
      <c r="E5054" t="inlineStr">
        <is>
          <t>MARKARYD</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37746-2025</t>
        </is>
      </c>
      <c r="B5055" s="1" t="n">
        <v>45880.66565972222</v>
      </c>
      <c r="C5055" s="1" t="n">
        <v>46103</v>
      </c>
      <c r="D5055" t="inlineStr">
        <is>
          <t>KRONOBERGS LÄN</t>
        </is>
      </c>
      <c r="E5055" t="inlineStr">
        <is>
          <t>ALVESTA</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37661-2025</t>
        </is>
      </c>
      <c r="B5056" s="1" t="n">
        <v>45880</v>
      </c>
      <c r="C5056" s="1" t="n">
        <v>46103</v>
      </c>
      <c r="D5056" t="inlineStr">
        <is>
          <t>KRONOBERGS LÄN</t>
        </is>
      </c>
      <c r="E5056" t="inlineStr">
        <is>
          <t>LJUNGBY</t>
        </is>
      </c>
      <c r="G5056" t="n">
        <v>5.6</v>
      </c>
      <c r="H5056" t="n">
        <v>0</v>
      </c>
      <c r="I5056" t="n">
        <v>0</v>
      </c>
      <c r="J5056" t="n">
        <v>0</v>
      </c>
      <c r="K5056" t="n">
        <v>0</v>
      </c>
      <c r="L5056" t="n">
        <v>0</v>
      </c>
      <c r="M5056" t="n">
        <v>0</v>
      </c>
      <c r="N5056" t="n">
        <v>0</v>
      </c>
      <c r="O5056" t="n">
        <v>0</v>
      </c>
      <c r="P5056" t="n">
        <v>0</v>
      </c>
      <c r="Q5056" t="n">
        <v>0</v>
      </c>
      <c r="R5056" s="2" t="inlineStr"/>
    </row>
    <row r="5057" ht="15" customHeight="1">
      <c r="A5057" t="inlineStr">
        <is>
          <t>A 37841-2025</t>
        </is>
      </c>
      <c r="B5057" s="1" t="n">
        <v>45881</v>
      </c>
      <c r="C5057" s="1" t="n">
        <v>46103</v>
      </c>
      <c r="D5057" t="inlineStr">
        <is>
          <t>KRONOBERGS LÄN</t>
        </is>
      </c>
      <c r="E5057" t="inlineStr">
        <is>
          <t>UPPVIDINGE</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56780-2024</t>
        </is>
      </c>
      <c r="B5058" s="1" t="n">
        <v>45628.44303240741</v>
      </c>
      <c r="C5058" s="1" t="n">
        <v>46103</v>
      </c>
      <c r="D5058" t="inlineStr">
        <is>
          <t>KRONOBERGS LÄN</t>
        </is>
      </c>
      <c r="E5058" t="inlineStr">
        <is>
          <t>LJUNGBY</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37688-2025</t>
        </is>
      </c>
      <c r="B5059" s="1" t="n">
        <v>45880.56395833333</v>
      </c>
      <c r="C5059" s="1" t="n">
        <v>46103</v>
      </c>
      <c r="D5059" t="inlineStr">
        <is>
          <t>KRONOBERGS LÄN</t>
        </is>
      </c>
      <c r="E5059" t="inlineStr">
        <is>
          <t>LJUNGBY</t>
        </is>
      </c>
      <c r="G5059" t="n">
        <v>8.800000000000001</v>
      </c>
      <c r="H5059" t="n">
        <v>0</v>
      </c>
      <c r="I5059" t="n">
        <v>0</v>
      </c>
      <c r="J5059" t="n">
        <v>0</v>
      </c>
      <c r="K5059" t="n">
        <v>0</v>
      </c>
      <c r="L5059" t="n">
        <v>0</v>
      </c>
      <c r="M5059" t="n">
        <v>0</v>
      </c>
      <c r="N5059" t="n">
        <v>0</v>
      </c>
      <c r="O5059" t="n">
        <v>0</v>
      </c>
      <c r="P5059" t="n">
        <v>0</v>
      </c>
      <c r="Q5059" t="n">
        <v>0</v>
      </c>
      <c r="R5059" s="2" t="inlineStr"/>
    </row>
    <row r="5060" ht="15" customHeight="1">
      <c r="A5060" t="inlineStr">
        <is>
          <t>A 44141-2023</t>
        </is>
      </c>
      <c r="B5060" s="1" t="n">
        <v>45188.47006944445</v>
      </c>
      <c r="C5060" s="1" t="n">
        <v>46103</v>
      </c>
      <c r="D5060" t="inlineStr">
        <is>
          <t>KRONOBERGS LÄN</t>
        </is>
      </c>
      <c r="E5060" t="inlineStr">
        <is>
          <t>VÄXJÖ</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63537-2023</t>
        </is>
      </c>
      <c r="B5061" s="1" t="n">
        <v>45275.29770833333</v>
      </c>
      <c r="C5061" s="1" t="n">
        <v>46103</v>
      </c>
      <c r="D5061" t="inlineStr">
        <is>
          <t>KRONOBERGS LÄN</t>
        </is>
      </c>
      <c r="E5061" t="inlineStr">
        <is>
          <t>MARKARYD</t>
        </is>
      </c>
      <c r="F5061" t="inlineStr">
        <is>
          <t>Sveaskog</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39689-2024</t>
        </is>
      </c>
      <c r="B5062" s="1" t="n">
        <v>45552.57313657407</v>
      </c>
      <c r="C5062" s="1" t="n">
        <v>46103</v>
      </c>
      <c r="D5062" t="inlineStr">
        <is>
          <t>KRONOBERGS LÄN</t>
        </is>
      </c>
      <c r="E5062" t="inlineStr">
        <is>
          <t>VÄXJÖ</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37779-2025</t>
        </is>
      </c>
      <c r="B5063" s="1" t="n">
        <v>45880.86574074074</v>
      </c>
      <c r="C5063" s="1" t="n">
        <v>46103</v>
      </c>
      <c r="D5063" t="inlineStr">
        <is>
          <t>KRONOBERGS LÄN</t>
        </is>
      </c>
      <c r="E5063" t="inlineStr">
        <is>
          <t>LJUNGBY</t>
        </is>
      </c>
      <c r="G5063" t="n">
        <v>9.5</v>
      </c>
      <c r="H5063" t="n">
        <v>0</v>
      </c>
      <c r="I5063" t="n">
        <v>0</v>
      </c>
      <c r="J5063" t="n">
        <v>0</v>
      </c>
      <c r="K5063" t="n">
        <v>0</v>
      </c>
      <c r="L5063" t="n">
        <v>0</v>
      </c>
      <c r="M5063" t="n">
        <v>0</v>
      </c>
      <c r="N5063" t="n">
        <v>0</v>
      </c>
      <c r="O5063" t="n">
        <v>0</v>
      </c>
      <c r="P5063" t="n">
        <v>0</v>
      </c>
      <c r="Q5063" t="n">
        <v>0</v>
      </c>
      <c r="R5063" s="2" t="inlineStr"/>
    </row>
    <row r="5064" ht="15" customHeight="1">
      <c r="A5064" t="inlineStr">
        <is>
          <t>A 19793-2025</t>
        </is>
      </c>
      <c r="B5064" s="1" t="n">
        <v>45771.44638888889</v>
      </c>
      <c r="C5064" s="1" t="n">
        <v>46103</v>
      </c>
      <c r="D5064" t="inlineStr">
        <is>
          <t>KRONOBERGS LÄN</t>
        </is>
      </c>
      <c r="E5064" t="inlineStr">
        <is>
          <t>ALVESTA</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37805-2025</t>
        </is>
      </c>
      <c r="B5065" s="1" t="n">
        <v>45881</v>
      </c>
      <c r="C5065" s="1" t="n">
        <v>46103</v>
      </c>
      <c r="D5065" t="inlineStr">
        <is>
          <t>KRONOBERGS LÄN</t>
        </is>
      </c>
      <c r="E5065" t="inlineStr">
        <is>
          <t>LJUNGBY</t>
        </is>
      </c>
      <c r="G5065" t="n">
        <v>3</v>
      </c>
      <c r="H5065" t="n">
        <v>0</v>
      </c>
      <c r="I5065" t="n">
        <v>0</v>
      </c>
      <c r="J5065" t="n">
        <v>0</v>
      </c>
      <c r="K5065" t="n">
        <v>0</v>
      </c>
      <c r="L5065" t="n">
        <v>0</v>
      </c>
      <c r="M5065" t="n">
        <v>0</v>
      </c>
      <c r="N5065" t="n">
        <v>0</v>
      </c>
      <c r="O5065" t="n">
        <v>0</v>
      </c>
      <c r="P5065" t="n">
        <v>0</v>
      </c>
      <c r="Q5065" t="n">
        <v>0</v>
      </c>
      <c r="R5065" s="2" t="inlineStr"/>
    </row>
    <row r="5066" ht="15" customHeight="1">
      <c r="A5066" t="inlineStr">
        <is>
          <t>A 42755-2023</t>
        </is>
      </c>
      <c r="B5066" s="1" t="n">
        <v>45181</v>
      </c>
      <c r="C5066" s="1" t="n">
        <v>46103</v>
      </c>
      <c r="D5066" t="inlineStr">
        <is>
          <t>KRONOBERGS LÄN</t>
        </is>
      </c>
      <c r="E5066" t="inlineStr">
        <is>
          <t>UPPVIDINGE</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19796-2025</t>
        </is>
      </c>
      <c r="B5067" s="1" t="n">
        <v>45771.44725694445</v>
      </c>
      <c r="C5067" s="1" t="n">
        <v>46103</v>
      </c>
      <c r="D5067" t="inlineStr">
        <is>
          <t>KRONOBERGS LÄN</t>
        </is>
      </c>
      <c r="E5067" t="inlineStr">
        <is>
          <t>ALVESTA</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42762-2023</t>
        </is>
      </c>
      <c r="B5068" s="1" t="n">
        <v>45181</v>
      </c>
      <c r="C5068" s="1" t="n">
        <v>46103</v>
      </c>
      <c r="D5068" t="inlineStr">
        <is>
          <t>KRONOBERGS LÄN</t>
        </is>
      </c>
      <c r="E5068" t="inlineStr">
        <is>
          <t>VÄXJÖ</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42784-2023</t>
        </is>
      </c>
      <c r="B5069" s="1" t="n">
        <v>45181</v>
      </c>
      <c r="C5069" s="1" t="n">
        <v>46103</v>
      </c>
      <c r="D5069" t="inlineStr">
        <is>
          <t>KRONOBERGS LÄN</t>
        </is>
      </c>
      <c r="E5069" t="inlineStr">
        <is>
          <t>LJUNGBY</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13583-2024</t>
        </is>
      </c>
      <c r="B5070" s="1" t="n">
        <v>45389.74396990741</v>
      </c>
      <c r="C5070" s="1" t="n">
        <v>46103</v>
      </c>
      <c r="D5070" t="inlineStr">
        <is>
          <t>KRONOBERGS LÄN</t>
        </is>
      </c>
      <c r="E5070" t="inlineStr">
        <is>
          <t>UPPVIDINGE</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13608-2024</t>
        </is>
      </c>
      <c r="B5071" s="1" t="n">
        <v>45390</v>
      </c>
      <c r="C5071" s="1" t="n">
        <v>46103</v>
      </c>
      <c r="D5071" t="inlineStr">
        <is>
          <t>KRONOBERGS LÄN</t>
        </is>
      </c>
      <c r="E5071" t="inlineStr">
        <is>
          <t>LJUNGBY</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73342-2021</t>
        </is>
      </c>
      <c r="B5072" s="1" t="n">
        <v>44551.38699074074</v>
      </c>
      <c r="C5072" s="1" t="n">
        <v>46103</v>
      </c>
      <c r="D5072" t="inlineStr">
        <is>
          <t>KRONOBERGS LÄN</t>
        </is>
      </c>
      <c r="E5072" t="inlineStr">
        <is>
          <t>LJUNGBY</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2952-2025</t>
        </is>
      </c>
      <c r="B5073" s="1" t="n">
        <v>45678.43621527778</v>
      </c>
      <c r="C5073" s="1" t="n">
        <v>46103</v>
      </c>
      <c r="D5073" t="inlineStr">
        <is>
          <t>KRONOBERGS LÄN</t>
        </is>
      </c>
      <c r="E5073" t="inlineStr">
        <is>
          <t>TINGSRYD</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38312-2025</t>
        </is>
      </c>
      <c r="B5074" s="1" t="n">
        <v>45883.47663194445</v>
      </c>
      <c r="C5074" s="1" t="n">
        <v>46103</v>
      </c>
      <c r="D5074" t="inlineStr">
        <is>
          <t>KRONOBERGS LÄN</t>
        </is>
      </c>
      <c r="E5074" t="inlineStr">
        <is>
          <t>ÄLMHULT</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38340-2025</t>
        </is>
      </c>
      <c r="B5075" s="1" t="n">
        <v>45883.49791666667</v>
      </c>
      <c r="C5075" s="1" t="n">
        <v>46103</v>
      </c>
      <c r="D5075" t="inlineStr">
        <is>
          <t>KRONOBERGS LÄN</t>
        </is>
      </c>
      <c r="E5075" t="inlineStr">
        <is>
          <t>VÄXJÖ</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62198-2023</t>
        </is>
      </c>
      <c r="B5076" s="1" t="n">
        <v>45267.46962962963</v>
      </c>
      <c r="C5076" s="1" t="n">
        <v>46103</v>
      </c>
      <c r="D5076" t="inlineStr">
        <is>
          <t>KRONOBERGS LÄN</t>
        </is>
      </c>
      <c r="E5076" t="inlineStr">
        <is>
          <t>LJUNGBY</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62230-2023</t>
        </is>
      </c>
      <c r="B5077" s="1" t="n">
        <v>45267.58740740741</v>
      </c>
      <c r="C5077" s="1" t="n">
        <v>46103</v>
      </c>
      <c r="D5077" t="inlineStr">
        <is>
          <t>KRONOBERGS LÄN</t>
        </is>
      </c>
      <c r="E5077" t="inlineStr">
        <is>
          <t>ALVESTA</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30930-2023</t>
        </is>
      </c>
      <c r="B5078" s="1" t="n">
        <v>45113.4478125</v>
      </c>
      <c r="C5078" s="1" t="n">
        <v>46103</v>
      </c>
      <c r="D5078" t="inlineStr">
        <is>
          <t>KRONOBERGS LÄN</t>
        </is>
      </c>
      <c r="E5078" t="inlineStr">
        <is>
          <t>ÄLMHULT</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46470-2023</t>
        </is>
      </c>
      <c r="B5079" s="1" t="n">
        <v>45197.63037037037</v>
      </c>
      <c r="C5079" s="1" t="n">
        <v>46103</v>
      </c>
      <c r="D5079" t="inlineStr">
        <is>
          <t>KRONOBERGS LÄN</t>
        </is>
      </c>
      <c r="E5079" t="inlineStr">
        <is>
          <t>TINGSRYD</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38433-2025</t>
        </is>
      </c>
      <c r="B5080" s="1" t="n">
        <v>45883.64103009259</v>
      </c>
      <c r="C5080" s="1" t="n">
        <v>46103</v>
      </c>
      <c r="D5080" t="inlineStr">
        <is>
          <t>KRONOBERGS LÄN</t>
        </is>
      </c>
      <c r="E5080" t="inlineStr">
        <is>
          <t>VÄXJÖ</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44797-2023</t>
        </is>
      </c>
      <c r="B5081" s="1" t="n">
        <v>45190.47119212963</v>
      </c>
      <c r="C5081" s="1" t="n">
        <v>46103</v>
      </c>
      <c r="D5081" t="inlineStr">
        <is>
          <t>KRONOBERGS LÄN</t>
        </is>
      </c>
      <c r="E5081" t="inlineStr">
        <is>
          <t>UPPVIDINGE</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38303-2025</t>
        </is>
      </c>
      <c r="B5082" s="1" t="n">
        <v>45883.46482638889</v>
      </c>
      <c r="C5082" s="1" t="n">
        <v>46103</v>
      </c>
      <c r="D5082" t="inlineStr">
        <is>
          <t>KRONOBERGS LÄN</t>
        </is>
      </c>
      <c r="E5082" t="inlineStr">
        <is>
          <t>LESSEBO</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38447-2025</t>
        </is>
      </c>
      <c r="B5083" s="1" t="n">
        <v>45883.65811342592</v>
      </c>
      <c r="C5083" s="1" t="n">
        <v>46103</v>
      </c>
      <c r="D5083" t="inlineStr">
        <is>
          <t>KRONOBERGS LÄN</t>
        </is>
      </c>
      <c r="E5083" t="inlineStr">
        <is>
          <t>ÄLMHULT</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38457-2025</t>
        </is>
      </c>
      <c r="B5084" s="1" t="n">
        <v>45883.70913194444</v>
      </c>
      <c r="C5084" s="1" t="n">
        <v>46103</v>
      </c>
      <c r="D5084" t="inlineStr">
        <is>
          <t>KRONOBERGS LÄN</t>
        </is>
      </c>
      <c r="E5084" t="inlineStr">
        <is>
          <t>ÄLMHULT</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52172-2022</t>
        </is>
      </c>
      <c r="B5085" s="1" t="n">
        <v>44873.49165509259</v>
      </c>
      <c r="C5085" s="1" t="n">
        <v>46103</v>
      </c>
      <c r="D5085" t="inlineStr">
        <is>
          <t>KRONOBERGS LÄN</t>
        </is>
      </c>
      <c r="E5085" t="inlineStr">
        <is>
          <t>ALVESTA</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52103-2024</t>
        </is>
      </c>
      <c r="B5086" s="1" t="n">
        <v>45608.42064814815</v>
      </c>
      <c r="C5086" s="1" t="n">
        <v>46103</v>
      </c>
      <c r="D5086" t="inlineStr">
        <is>
          <t>KRONOBERGS LÄN</t>
        </is>
      </c>
      <c r="E5086" t="inlineStr">
        <is>
          <t>ALVESTA</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18251-2024</t>
        </is>
      </c>
      <c r="B5087" s="1" t="n">
        <v>45421.47430555556</v>
      </c>
      <c r="C5087" s="1" t="n">
        <v>46103</v>
      </c>
      <c r="D5087" t="inlineStr">
        <is>
          <t>KRONOBERGS LÄN</t>
        </is>
      </c>
      <c r="E5087" t="inlineStr">
        <is>
          <t>ÄLMHULT</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49081-2024</t>
        </is>
      </c>
      <c r="B5088" s="1" t="n">
        <v>45594.62881944444</v>
      </c>
      <c r="C5088" s="1" t="n">
        <v>46103</v>
      </c>
      <c r="D5088" t="inlineStr">
        <is>
          <t>KRONOBERGS LÄN</t>
        </is>
      </c>
      <c r="E5088" t="inlineStr">
        <is>
          <t>LJUNGBY</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38296-2025</t>
        </is>
      </c>
      <c r="B5089" s="1" t="n">
        <v>45883.45405092592</v>
      </c>
      <c r="C5089" s="1" t="n">
        <v>46103</v>
      </c>
      <c r="D5089" t="inlineStr">
        <is>
          <t>KRONOBERGS LÄN</t>
        </is>
      </c>
      <c r="E5089" t="inlineStr">
        <is>
          <t>LESSEBO</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19044-2025</t>
        </is>
      </c>
      <c r="B5090" s="1" t="n">
        <v>45764</v>
      </c>
      <c r="C5090" s="1" t="n">
        <v>46103</v>
      </c>
      <c r="D5090" t="inlineStr">
        <is>
          <t>KRONOBERGS LÄN</t>
        </is>
      </c>
      <c r="E5090" t="inlineStr">
        <is>
          <t>UPPVIDINGE</t>
        </is>
      </c>
      <c r="F5090" t="inlineStr">
        <is>
          <t>Sveaskog</t>
        </is>
      </c>
      <c r="G5090" t="n">
        <v>3.7</v>
      </c>
      <c r="H5090" t="n">
        <v>0</v>
      </c>
      <c r="I5090" t="n">
        <v>0</v>
      </c>
      <c r="J5090" t="n">
        <v>0</v>
      </c>
      <c r="K5090" t="n">
        <v>0</v>
      </c>
      <c r="L5090" t="n">
        <v>0</v>
      </c>
      <c r="M5090" t="n">
        <v>0</v>
      </c>
      <c r="N5090" t="n">
        <v>0</v>
      </c>
      <c r="O5090" t="n">
        <v>0</v>
      </c>
      <c r="P5090" t="n">
        <v>0</v>
      </c>
      <c r="Q5090" t="n">
        <v>0</v>
      </c>
      <c r="R5090" s="2" t="inlineStr"/>
    </row>
    <row r="5091" ht="15" customHeight="1">
      <c r="A5091" t="inlineStr">
        <is>
          <t>A 22668-2023</t>
        </is>
      </c>
      <c r="B5091" s="1" t="n">
        <v>45071</v>
      </c>
      <c r="C5091" s="1" t="n">
        <v>46103</v>
      </c>
      <c r="D5091" t="inlineStr">
        <is>
          <t>KRONOBERGS LÄN</t>
        </is>
      </c>
      <c r="E5091" t="inlineStr">
        <is>
          <t>VÄXJÖ</t>
        </is>
      </c>
      <c r="F5091" t="inlineStr">
        <is>
          <t>Övriga Aktiebolag</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40586-2022</t>
        </is>
      </c>
      <c r="B5092" s="1" t="n">
        <v>44823.74258101852</v>
      </c>
      <c r="C5092" s="1" t="n">
        <v>46103</v>
      </c>
      <c r="D5092" t="inlineStr">
        <is>
          <t>KRONOBERGS LÄN</t>
        </is>
      </c>
      <c r="E5092" t="inlineStr">
        <is>
          <t>MARKARYD</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40909-2024</t>
        </is>
      </c>
      <c r="B5093" s="1" t="n">
        <v>45558.62405092592</v>
      </c>
      <c r="C5093" s="1" t="n">
        <v>46103</v>
      </c>
      <c r="D5093" t="inlineStr">
        <is>
          <t>KRONOBERGS LÄN</t>
        </is>
      </c>
      <c r="E5093" t="inlineStr">
        <is>
          <t>ÄLMHULT</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40972-2024</t>
        </is>
      </c>
      <c r="B5094" s="1" t="n">
        <v>45558.67806712963</v>
      </c>
      <c r="C5094" s="1" t="n">
        <v>46103</v>
      </c>
      <c r="D5094" t="inlineStr">
        <is>
          <t>KRONOBERGS LÄN</t>
        </is>
      </c>
      <c r="E5094" t="inlineStr">
        <is>
          <t>VÄXJÖ</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49008-2024</t>
        </is>
      </c>
      <c r="B5095" s="1" t="n">
        <v>45594.49958333333</v>
      </c>
      <c r="C5095" s="1" t="n">
        <v>46103</v>
      </c>
      <c r="D5095" t="inlineStr">
        <is>
          <t>KRONOBERGS LÄN</t>
        </is>
      </c>
      <c r="E5095" t="inlineStr">
        <is>
          <t>VÄXJÖ</t>
        </is>
      </c>
      <c r="F5095" t="inlineStr">
        <is>
          <t>Sveaskog</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49020-2024</t>
        </is>
      </c>
      <c r="B5096" s="1" t="n">
        <v>45594.51133101852</v>
      </c>
      <c r="C5096" s="1" t="n">
        <v>46103</v>
      </c>
      <c r="D5096" t="inlineStr">
        <is>
          <t>KRONOBERGS LÄN</t>
        </is>
      </c>
      <c r="E5096" t="inlineStr">
        <is>
          <t>VÄXJÖ</t>
        </is>
      </c>
      <c r="F5096" t="inlineStr">
        <is>
          <t>Sveaskog</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49024-2024</t>
        </is>
      </c>
      <c r="B5097" s="1" t="n">
        <v>45594.51443287037</v>
      </c>
      <c r="C5097" s="1" t="n">
        <v>46103</v>
      </c>
      <c r="D5097" t="inlineStr">
        <is>
          <t>KRONOBERGS LÄN</t>
        </is>
      </c>
      <c r="E5097" t="inlineStr">
        <is>
          <t>VÄXJÖ</t>
        </is>
      </c>
      <c r="F5097" t="inlineStr">
        <is>
          <t>Sveaskog</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38396-2025</t>
        </is>
      </c>
      <c r="B5098" s="1" t="n">
        <v>45883.58010416666</v>
      </c>
      <c r="C5098" s="1" t="n">
        <v>46103</v>
      </c>
      <c r="D5098" t="inlineStr">
        <is>
          <t>KRONOBERGS LÄN</t>
        </is>
      </c>
      <c r="E5098" t="inlineStr">
        <is>
          <t>VÄXJÖ</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9354-2024</t>
        </is>
      </c>
      <c r="B5099" s="1" t="n">
        <v>45359.30814814815</v>
      </c>
      <c r="C5099" s="1" t="n">
        <v>46103</v>
      </c>
      <c r="D5099" t="inlineStr">
        <is>
          <t>KRONOBERGS LÄN</t>
        </is>
      </c>
      <c r="E5099" t="inlineStr">
        <is>
          <t>ÄLMHULT</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47805-2023</t>
        </is>
      </c>
      <c r="B5100" s="1" t="n">
        <v>45204.32359953703</v>
      </c>
      <c r="C5100" s="1" t="n">
        <v>46103</v>
      </c>
      <c r="D5100" t="inlineStr">
        <is>
          <t>KRONOBERGS LÄN</t>
        </is>
      </c>
      <c r="E5100" t="inlineStr">
        <is>
          <t>LJUNGBY</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32389-2025</t>
        </is>
      </c>
      <c r="B5101" s="1" t="n">
        <v>45837.90292824074</v>
      </c>
      <c r="C5101" s="1" t="n">
        <v>46103</v>
      </c>
      <c r="D5101" t="inlineStr">
        <is>
          <t>KRONOBERGS LÄN</t>
        </is>
      </c>
      <c r="E5101" t="inlineStr">
        <is>
          <t>LJUNGBY</t>
        </is>
      </c>
      <c r="G5101" t="n">
        <v>4.1</v>
      </c>
      <c r="H5101" t="n">
        <v>0</v>
      </c>
      <c r="I5101" t="n">
        <v>0</v>
      </c>
      <c r="J5101" t="n">
        <v>0</v>
      </c>
      <c r="K5101" t="n">
        <v>0</v>
      </c>
      <c r="L5101" t="n">
        <v>0</v>
      </c>
      <c r="M5101" t="n">
        <v>0</v>
      </c>
      <c r="N5101" t="n">
        <v>0</v>
      </c>
      <c r="O5101" t="n">
        <v>0</v>
      </c>
      <c r="P5101" t="n">
        <v>0</v>
      </c>
      <c r="Q5101" t="n">
        <v>0</v>
      </c>
      <c r="R5101" s="2" t="inlineStr"/>
    </row>
    <row r="5102" ht="15" customHeight="1">
      <c r="A5102" t="inlineStr">
        <is>
          <t>A 38300-2025</t>
        </is>
      </c>
      <c r="B5102" s="1" t="n">
        <v>45883.46064814815</v>
      </c>
      <c r="C5102" s="1" t="n">
        <v>46103</v>
      </c>
      <c r="D5102" t="inlineStr">
        <is>
          <t>KRONOBERGS LÄN</t>
        </is>
      </c>
      <c r="E5102" t="inlineStr">
        <is>
          <t>ÄLMHULT</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25707-2023</t>
        </is>
      </c>
      <c r="B5103" s="1" t="n">
        <v>45090</v>
      </c>
      <c r="C5103" s="1" t="n">
        <v>46103</v>
      </c>
      <c r="D5103" t="inlineStr">
        <is>
          <t>KRONOBERGS LÄN</t>
        </is>
      </c>
      <c r="E5103" t="inlineStr">
        <is>
          <t>ÄLMHULT</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38064-2025</t>
        </is>
      </c>
      <c r="B5104" s="1" t="n">
        <v>45882.43188657407</v>
      </c>
      <c r="C5104" s="1" t="n">
        <v>46103</v>
      </c>
      <c r="D5104" t="inlineStr">
        <is>
          <t>KRONOBERGS LÄN</t>
        </is>
      </c>
      <c r="E5104" t="inlineStr">
        <is>
          <t>TINGSRYD</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38180-2025</t>
        </is>
      </c>
      <c r="B5105" s="1" t="n">
        <v>45882.64614583334</v>
      </c>
      <c r="C5105" s="1" t="n">
        <v>46103</v>
      </c>
      <c r="D5105" t="inlineStr">
        <is>
          <t>KRONOBERGS LÄN</t>
        </is>
      </c>
      <c r="E5105" t="inlineStr">
        <is>
          <t>ÄLMHULT</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38425-2025</t>
        </is>
      </c>
      <c r="B5106" s="1" t="n">
        <v>45883.6346412037</v>
      </c>
      <c r="C5106" s="1" t="n">
        <v>46103</v>
      </c>
      <c r="D5106" t="inlineStr">
        <is>
          <t>KRONOBERGS LÄN</t>
        </is>
      </c>
      <c r="E5106" t="inlineStr">
        <is>
          <t>VÄXJÖ</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45229-2024</t>
        </is>
      </c>
      <c r="B5107" s="1" t="n">
        <v>45575.84530092592</v>
      </c>
      <c r="C5107" s="1" t="n">
        <v>46103</v>
      </c>
      <c r="D5107" t="inlineStr">
        <is>
          <t>KRONOBERGS LÄN</t>
        </is>
      </c>
      <c r="E5107" t="inlineStr">
        <is>
          <t>UPPVIDINGE</t>
        </is>
      </c>
      <c r="G5107" t="n">
        <v>4.3</v>
      </c>
      <c r="H5107" t="n">
        <v>0</v>
      </c>
      <c r="I5107" t="n">
        <v>0</v>
      </c>
      <c r="J5107" t="n">
        <v>0</v>
      </c>
      <c r="K5107" t="n">
        <v>0</v>
      </c>
      <c r="L5107" t="n">
        <v>0</v>
      </c>
      <c r="M5107" t="n">
        <v>0</v>
      </c>
      <c r="N5107" t="n">
        <v>0</v>
      </c>
      <c r="O5107" t="n">
        <v>0</v>
      </c>
      <c r="P5107" t="n">
        <v>0</v>
      </c>
      <c r="Q5107" t="n">
        <v>0</v>
      </c>
      <c r="R5107" s="2" t="inlineStr"/>
    </row>
    <row r="5108" ht="15" customHeight="1">
      <c r="A5108" t="inlineStr">
        <is>
          <t>A 7491-2023</t>
        </is>
      </c>
      <c r="B5108" s="1" t="n">
        <v>44971.69971064815</v>
      </c>
      <c r="C5108" s="1" t="n">
        <v>46103</v>
      </c>
      <c r="D5108" t="inlineStr">
        <is>
          <t>KRONOBERGS LÄN</t>
        </is>
      </c>
      <c r="E5108" t="inlineStr">
        <is>
          <t>LJUNGBY</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37994-2025</t>
        </is>
      </c>
      <c r="B5109" s="1" t="n">
        <v>45881.75081018519</v>
      </c>
      <c r="C5109" s="1" t="n">
        <v>46103</v>
      </c>
      <c r="D5109" t="inlineStr">
        <is>
          <t>KRONOBERGS LÄN</t>
        </is>
      </c>
      <c r="E5109" t="inlineStr">
        <is>
          <t>VÄXJÖ</t>
        </is>
      </c>
      <c r="G5109" t="n">
        <v>3.6</v>
      </c>
      <c r="H5109" t="n">
        <v>0</v>
      </c>
      <c r="I5109" t="n">
        <v>0</v>
      </c>
      <c r="J5109" t="n">
        <v>0</v>
      </c>
      <c r="K5109" t="n">
        <v>0</v>
      </c>
      <c r="L5109" t="n">
        <v>0</v>
      </c>
      <c r="M5109" t="n">
        <v>0</v>
      </c>
      <c r="N5109" t="n">
        <v>0</v>
      </c>
      <c r="O5109" t="n">
        <v>0</v>
      </c>
      <c r="P5109" t="n">
        <v>0</v>
      </c>
      <c r="Q5109" t="n">
        <v>0</v>
      </c>
      <c r="R5109" s="2" t="inlineStr"/>
    </row>
    <row r="5110" ht="15" customHeight="1">
      <c r="A5110" t="inlineStr">
        <is>
          <t>A 43140-2024</t>
        </is>
      </c>
      <c r="B5110" s="1" t="n">
        <v>45567.62038194444</v>
      </c>
      <c r="C5110" s="1" t="n">
        <v>46103</v>
      </c>
      <c r="D5110" t="inlineStr">
        <is>
          <t>KRONOBERGS LÄN</t>
        </is>
      </c>
      <c r="E5110" t="inlineStr">
        <is>
          <t>ÄLMHULT</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13890-2023</t>
        </is>
      </c>
      <c r="B5111" s="1" t="n">
        <v>45007.97726851852</v>
      </c>
      <c r="C5111" s="1" t="n">
        <v>46103</v>
      </c>
      <c r="D5111" t="inlineStr">
        <is>
          <t>KRONOBERGS LÄN</t>
        </is>
      </c>
      <c r="E5111" t="inlineStr">
        <is>
          <t>TINGSRYD</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16478-2024</t>
        </is>
      </c>
      <c r="B5112" s="1" t="n">
        <v>45408.29181712963</v>
      </c>
      <c r="C5112" s="1" t="n">
        <v>46103</v>
      </c>
      <c r="D5112" t="inlineStr">
        <is>
          <t>KRONOBERGS LÄN</t>
        </is>
      </c>
      <c r="E5112" t="inlineStr">
        <is>
          <t>TINGSRYD</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38346-2025</t>
        </is>
      </c>
      <c r="B5113" s="1" t="n">
        <v>45883.51181712963</v>
      </c>
      <c r="C5113" s="1" t="n">
        <v>46103</v>
      </c>
      <c r="D5113" t="inlineStr">
        <is>
          <t>KRONOBERGS LÄN</t>
        </is>
      </c>
      <c r="E5113" t="inlineStr">
        <is>
          <t>VÄXJÖ</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29224-2022</t>
        </is>
      </c>
      <c r="B5114" s="1" t="n">
        <v>44750</v>
      </c>
      <c r="C5114" s="1" t="n">
        <v>46103</v>
      </c>
      <c r="D5114" t="inlineStr">
        <is>
          <t>KRONOBERGS LÄN</t>
        </is>
      </c>
      <c r="E5114" t="inlineStr">
        <is>
          <t>LJUNGBY</t>
        </is>
      </c>
      <c r="G5114" t="n">
        <v>4.1</v>
      </c>
      <c r="H5114" t="n">
        <v>0</v>
      </c>
      <c r="I5114" t="n">
        <v>0</v>
      </c>
      <c r="J5114" t="n">
        <v>0</v>
      </c>
      <c r="K5114" t="n">
        <v>0</v>
      </c>
      <c r="L5114" t="n">
        <v>0</v>
      </c>
      <c r="M5114" t="n">
        <v>0</v>
      </c>
      <c r="N5114" t="n">
        <v>0</v>
      </c>
      <c r="O5114" t="n">
        <v>0</v>
      </c>
      <c r="P5114" t="n">
        <v>0</v>
      </c>
      <c r="Q5114" t="n">
        <v>0</v>
      </c>
      <c r="R5114" s="2" t="inlineStr"/>
    </row>
    <row r="5115" ht="15" customHeight="1">
      <c r="A5115" t="inlineStr">
        <is>
          <t>A 27574-2023</t>
        </is>
      </c>
      <c r="B5115" s="1" t="n">
        <v>45097</v>
      </c>
      <c r="C5115" s="1" t="n">
        <v>46103</v>
      </c>
      <c r="D5115" t="inlineStr">
        <is>
          <t>KRONOBERGS LÄN</t>
        </is>
      </c>
      <c r="E5115" t="inlineStr">
        <is>
          <t>LESSEBO</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10763-2022</t>
        </is>
      </c>
      <c r="B5116" s="1" t="n">
        <v>44627.42074074074</v>
      </c>
      <c r="C5116" s="1" t="n">
        <v>46103</v>
      </c>
      <c r="D5116" t="inlineStr">
        <is>
          <t>KRONOBERGS LÄN</t>
        </is>
      </c>
      <c r="E5116" t="inlineStr">
        <is>
          <t>TINGSRYD</t>
        </is>
      </c>
      <c r="G5116" t="n">
        <v>3.6</v>
      </c>
      <c r="H5116" t="n">
        <v>0</v>
      </c>
      <c r="I5116" t="n">
        <v>0</v>
      </c>
      <c r="J5116" t="n">
        <v>0</v>
      </c>
      <c r="K5116" t="n">
        <v>0</v>
      </c>
      <c r="L5116" t="n">
        <v>0</v>
      </c>
      <c r="M5116" t="n">
        <v>0</v>
      </c>
      <c r="N5116" t="n">
        <v>0</v>
      </c>
      <c r="O5116" t="n">
        <v>0</v>
      </c>
      <c r="P5116" t="n">
        <v>0</v>
      </c>
      <c r="Q5116" t="n">
        <v>0</v>
      </c>
      <c r="R5116" s="2" t="inlineStr"/>
    </row>
    <row r="5117" ht="15" customHeight="1">
      <c r="A5117" t="inlineStr">
        <is>
          <t>A 4839-2023</t>
        </is>
      </c>
      <c r="B5117" s="1" t="n">
        <v>44955</v>
      </c>
      <c r="C5117" s="1" t="n">
        <v>46103</v>
      </c>
      <c r="D5117" t="inlineStr">
        <is>
          <t>KRONOBERGS LÄN</t>
        </is>
      </c>
      <c r="E5117" t="inlineStr">
        <is>
          <t>LESSEBO</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50927-2023</t>
        </is>
      </c>
      <c r="B5118" s="1" t="n">
        <v>45218.44605324074</v>
      </c>
      <c r="C5118" s="1" t="n">
        <v>46103</v>
      </c>
      <c r="D5118" t="inlineStr">
        <is>
          <t>KRONOBERGS LÄN</t>
        </is>
      </c>
      <c r="E5118" t="inlineStr">
        <is>
          <t>MARKARYD</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38374-2025</t>
        </is>
      </c>
      <c r="B5119" s="1" t="n">
        <v>45883.56824074074</v>
      </c>
      <c r="C5119" s="1" t="n">
        <v>46103</v>
      </c>
      <c r="D5119" t="inlineStr">
        <is>
          <t>KRONOBERGS LÄN</t>
        </is>
      </c>
      <c r="E5119" t="inlineStr">
        <is>
          <t>VÄXJÖ</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38393-2025</t>
        </is>
      </c>
      <c r="B5120" s="1" t="n">
        <v>45883.57520833334</v>
      </c>
      <c r="C5120" s="1" t="n">
        <v>46103</v>
      </c>
      <c r="D5120" t="inlineStr">
        <is>
          <t>KRONOBERGS LÄN</t>
        </is>
      </c>
      <c r="E5120" t="inlineStr">
        <is>
          <t>VÄXJÖ</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37192-2023</t>
        </is>
      </c>
      <c r="B5121" s="1" t="n">
        <v>45155</v>
      </c>
      <c r="C5121" s="1" t="n">
        <v>46103</v>
      </c>
      <c r="D5121" t="inlineStr">
        <is>
          <t>KRONOBERGS LÄN</t>
        </is>
      </c>
      <c r="E5121" t="inlineStr">
        <is>
          <t>MARKARYD</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50635-2024</t>
        </is>
      </c>
      <c r="B5122" s="1" t="n">
        <v>45601.67561342593</v>
      </c>
      <c r="C5122" s="1" t="n">
        <v>46103</v>
      </c>
      <c r="D5122" t="inlineStr">
        <is>
          <t>KRONOBERGS LÄN</t>
        </is>
      </c>
      <c r="E5122" t="inlineStr">
        <is>
          <t>TINGSRYD</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15838-2025</t>
        </is>
      </c>
      <c r="B5123" s="1" t="n">
        <v>45748.86240740741</v>
      </c>
      <c r="C5123" s="1" t="n">
        <v>46103</v>
      </c>
      <c r="D5123" t="inlineStr">
        <is>
          <t>KRONOBERGS LÄN</t>
        </is>
      </c>
      <c r="E5123" t="inlineStr">
        <is>
          <t>LJUNGBY</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15175-2025</t>
        </is>
      </c>
      <c r="B5124" s="1" t="n">
        <v>45744.51283564815</v>
      </c>
      <c r="C5124" s="1" t="n">
        <v>46103</v>
      </c>
      <c r="D5124" t="inlineStr">
        <is>
          <t>KRONOBERGS LÄN</t>
        </is>
      </c>
      <c r="E5124" t="inlineStr">
        <is>
          <t>ALVESTA</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47088-2023</t>
        </is>
      </c>
      <c r="B5125" s="1" t="n">
        <v>45201</v>
      </c>
      <c r="C5125" s="1" t="n">
        <v>46103</v>
      </c>
      <c r="D5125" t="inlineStr">
        <is>
          <t>KRONOBERGS LÄN</t>
        </is>
      </c>
      <c r="E5125" t="inlineStr">
        <is>
          <t>VÄXJÖ</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12422-2023</t>
        </is>
      </c>
      <c r="B5126" s="1" t="n">
        <v>44999</v>
      </c>
      <c r="C5126" s="1" t="n">
        <v>46103</v>
      </c>
      <c r="D5126" t="inlineStr">
        <is>
          <t>KRONOBERGS LÄN</t>
        </is>
      </c>
      <c r="E5126" t="inlineStr">
        <is>
          <t>MARKARYD</t>
        </is>
      </c>
      <c r="G5126" t="n">
        <v>4.9</v>
      </c>
      <c r="H5126" t="n">
        <v>0</v>
      </c>
      <c r="I5126" t="n">
        <v>0</v>
      </c>
      <c r="J5126" t="n">
        <v>0</v>
      </c>
      <c r="K5126" t="n">
        <v>0</v>
      </c>
      <c r="L5126" t="n">
        <v>0</v>
      </c>
      <c r="M5126" t="n">
        <v>0</v>
      </c>
      <c r="N5126" t="n">
        <v>0</v>
      </c>
      <c r="O5126" t="n">
        <v>0</v>
      </c>
      <c r="P5126" t="n">
        <v>0</v>
      </c>
      <c r="Q5126" t="n">
        <v>0</v>
      </c>
      <c r="R5126" s="2" t="inlineStr"/>
    </row>
    <row r="5127" ht="15" customHeight="1">
      <c r="A5127" t="inlineStr">
        <is>
          <t>A 24687-2023</t>
        </is>
      </c>
      <c r="B5127" s="1" t="n">
        <v>45084.51329861111</v>
      </c>
      <c r="C5127" s="1" t="n">
        <v>46103</v>
      </c>
      <c r="D5127" t="inlineStr">
        <is>
          <t>KRONOBERGS LÄN</t>
        </is>
      </c>
      <c r="E5127" t="inlineStr">
        <is>
          <t>LJUNGBY</t>
        </is>
      </c>
      <c r="G5127" t="n">
        <v>4.9</v>
      </c>
      <c r="H5127" t="n">
        <v>0</v>
      </c>
      <c r="I5127" t="n">
        <v>0</v>
      </c>
      <c r="J5127" t="n">
        <v>0</v>
      </c>
      <c r="K5127" t="n">
        <v>0</v>
      </c>
      <c r="L5127" t="n">
        <v>0</v>
      </c>
      <c r="M5127" t="n">
        <v>0</v>
      </c>
      <c r="N5127" t="n">
        <v>0</v>
      </c>
      <c r="O5127" t="n">
        <v>0</v>
      </c>
      <c r="P5127" t="n">
        <v>0</v>
      </c>
      <c r="Q5127" t="n">
        <v>0</v>
      </c>
      <c r="R5127" s="2" t="inlineStr"/>
    </row>
    <row r="5128" ht="15" customHeight="1">
      <c r="A5128" t="inlineStr">
        <is>
          <t>A 5486-2025</t>
        </is>
      </c>
      <c r="B5128" s="1" t="n">
        <v>45693.34945601852</v>
      </c>
      <c r="C5128" s="1" t="n">
        <v>46103</v>
      </c>
      <c r="D5128" t="inlineStr">
        <is>
          <t>KRONOBERGS LÄN</t>
        </is>
      </c>
      <c r="E5128" t="inlineStr">
        <is>
          <t>VÄXJÖ</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62429-2023</t>
        </is>
      </c>
      <c r="B5129" s="1" t="n">
        <v>45268.42212962963</v>
      </c>
      <c r="C5129" s="1" t="n">
        <v>46103</v>
      </c>
      <c r="D5129" t="inlineStr">
        <is>
          <t>KRONOBERGS LÄN</t>
        </is>
      </c>
      <c r="E5129" t="inlineStr">
        <is>
          <t>ÄLMHULT</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14549-2025</t>
        </is>
      </c>
      <c r="B5130" s="1" t="n">
        <v>45741.70359953704</v>
      </c>
      <c r="C5130" s="1" t="n">
        <v>46103</v>
      </c>
      <c r="D5130" t="inlineStr">
        <is>
          <t>KRONOBERGS LÄN</t>
        </is>
      </c>
      <c r="E5130" t="inlineStr">
        <is>
          <t>LESSEBO</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38528-2024</t>
        </is>
      </c>
      <c r="B5131" s="1" t="n">
        <v>45546.58138888889</v>
      </c>
      <c r="C5131" s="1" t="n">
        <v>46103</v>
      </c>
      <c r="D5131" t="inlineStr">
        <is>
          <t>KRONOBERGS LÄN</t>
        </is>
      </c>
      <c r="E5131" t="inlineStr">
        <is>
          <t>TINGSRYD</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53434-2021</t>
        </is>
      </c>
      <c r="B5132" s="1" t="n">
        <v>44468.65578703704</v>
      </c>
      <c r="C5132" s="1" t="n">
        <v>46103</v>
      </c>
      <c r="D5132" t="inlineStr">
        <is>
          <t>KRONOBERGS LÄN</t>
        </is>
      </c>
      <c r="E5132" t="inlineStr">
        <is>
          <t>UPPVIDINGE</t>
        </is>
      </c>
      <c r="G5132" t="n">
        <v>5.1</v>
      </c>
      <c r="H5132" t="n">
        <v>0</v>
      </c>
      <c r="I5132" t="n">
        <v>0</v>
      </c>
      <c r="J5132" t="n">
        <v>0</v>
      </c>
      <c r="K5132" t="n">
        <v>0</v>
      </c>
      <c r="L5132" t="n">
        <v>0</v>
      </c>
      <c r="M5132" t="n">
        <v>0</v>
      </c>
      <c r="N5132" t="n">
        <v>0</v>
      </c>
      <c r="O5132" t="n">
        <v>0</v>
      </c>
      <c r="P5132" t="n">
        <v>0</v>
      </c>
      <c r="Q5132" t="n">
        <v>0</v>
      </c>
      <c r="R5132" s="2" t="inlineStr"/>
    </row>
    <row r="5133" ht="15" customHeight="1">
      <c r="A5133" t="inlineStr">
        <is>
          <t>A 53445-2021</t>
        </is>
      </c>
      <c r="B5133" s="1" t="n">
        <v>44468.68219907407</v>
      </c>
      <c r="C5133" s="1" t="n">
        <v>46103</v>
      </c>
      <c r="D5133" t="inlineStr">
        <is>
          <t>KRONOBERGS LÄN</t>
        </is>
      </c>
      <c r="E5133" t="inlineStr">
        <is>
          <t>UPPVIDINGE</t>
        </is>
      </c>
      <c r="G5133" t="n">
        <v>5.9</v>
      </c>
      <c r="H5133" t="n">
        <v>0</v>
      </c>
      <c r="I5133" t="n">
        <v>0</v>
      </c>
      <c r="J5133" t="n">
        <v>0</v>
      </c>
      <c r="K5133" t="n">
        <v>0</v>
      </c>
      <c r="L5133" t="n">
        <v>0</v>
      </c>
      <c r="M5133" t="n">
        <v>0</v>
      </c>
      <c r="N5133" t="n">
        <v>0</v>
      </c>
      <c r="O5133" t="n">
        <v>0</v>
      </c>
      <c r="P5133" t="n">
        <v>0</v>
      </c>
      <c r="Q5133" t="n">
        <v>0</v>
      </c>
      <c r="R5133" s="2" t="inlineStr"/>
    </row>
    <row r="5134" ht="15" customHeight="1">
      <c r="A5134" t="inlineStr">
        <is>
          <t>A 54355-2021</t>
        </is>
      </c>
      <c r="B5134" s="1" t="n">
        <v>44470</v>
      </c>
      <c r="C5134" s="1" t="n">
        <v>46103</v>
      </c>
      <c r="D5134" t="inlineStr">
        <is>
          <t>KRONOBERGS LÄN</t>
        </is>
      </c>
      <c r="E5134" t="inlineStr">
        <is>
          <t>UPPVIDINGE</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18996-2025</t>
        </is>
      </c>
      <c r="B5135" s="1" t="n">
        <v>45764.57550925926</v>
      </c>
      <c r="C5135" s="1" t="n">
        <v>46103</v>
      </c>
      <c r="D5135" t="inlineStr">
        <is>
          <t>KRONOBERGS LÄN</t>
        </is>
      </c>
      <c r="E5135" t="inlineStr">
        <is>
          <t>VÄXJÖ</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19006-2025</t>
        </is>
      </c>
      <c r="B5136" s="1" t="n">
        <v>45764</v>
      </c>
      <c r="C5136" s="1" t="n">
        <v>46103</v>
      </c>
      <c r="D5136" t="inlineStr">
        <is>
          <t>KRONOBERGS LÄN</t>
        </is>
      </c>
      <c r="E5136" t="inlineStr">
        <is>
          <t>VÄXJÖ</t>
        </is>
      </c>
      <c r="G5136" t="n">
        <v>7.8</v>
      </c>
      <c r="H5136" t="n">
        <v>0</v>
      </c>
      <c r="I5136" t="n">
        <v>0</v>
      </c>
      <c r="J5136" t="n">
        <v>0</v>
      </c>
      <c r="K5136" t="n">
        <v>0</v>
      </c>
      <c r="L5136" t="n">
        <v>0</v>
      </c>
      <c r="M5136" t="n">
        <v>0</v>
      </c>
      <c r="N5136" t="n">
        <v>0</v>
      </c>
      <c r="O5136" t="n">
        <v>0</v>
      </c>
      <c r="P5136" t="n">
        <v>0</v>
      </c>
      <c r="Q5136" t="n">
        <v>0</v>
      </c>
      <c r="R5136" s="2" t="inlineStr"/>
    </row>
    <row r="5137" ht="15" customHeight="1">
      <c r="A5137" t="inlineStr">
        <is>
          <t>A 64072-2023</t>
        </is>
      </c>
      <c r="B5137" s="1" t="n">
        <v>45279.37215277777</v>
      </c>
      <c r="C5137" s="1" t="n">
        <v>46103</v>
      </c>
      <c r="D5137" t="inlineStr">
        <is>
          <t>KRONOBERGS LÄN</t>
        </is>
      </c>
      <c r="E5137" t="inlineStr">
        <is>
          <t>UPPVIDINGE</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7893-2024</t>
        </is>
      </c>
      <c r="B5138" s="1" t="n">
        <v>45349</v>
      </c>
      <c r="C5138" s="1" t="n">
        <v>46103</v>
      </c>
      <c r="D5138" t="inlineStr">
        <is>
          <t>KRONOBERGS LÄN</t>
        </is>
      </c>
      <c r="E5138" t="inlineStr">
        <is>
          <t>UPPVIDINGE</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1707-2024</t>
        </is>
      </c>
      <c r="B5139" s="1" t="n">
        <v>45307.39928240741</v>
      </c>
      <c r="C5139" s="1" t="n">
        <v>46103</v>
      </c>
      <c r="D5139" t="inlineStr">
        <is>
          <t>KRONOBERGS LÄN</t>
        </is>
      </c>
      <c r="E5139" t="inlineStr">
        <is>
          <t>TINGSRYD</t>
        </is>
      </c>
      <c r="F5139" t="inlineStr">
        <is>
          <t>Sveaskog</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16721-2021</t>
        </is>
      </c>
      <c r="B5140" s="1" t="n">
        <v>44294</v>
      </c>
      <c r="C5140" s="1" t="n">
        <v>46103</v>
      </c>
      <c r="D5140" t="inlineStr">
        <is>
          <t>KRONOBERGS LÄN</t>
        </is>
      </c>
      <c r="E5140" t="inlineStr">
        <is>
          <t>ÄLMHULT</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64999-2023</t>
        </is>
      </c>
      <c r="B5141" s="1" t="n">
        <v>45286.74935185185</v>
      </c>
      <c r="C5141" s="1" t="n">
        <v>46103</v>
      </c>
      <c r="D5141" t="inlineStr">
        <is>
          <t>KRONOBERGS LÄN</t>
        </is>
      </c>
      <c r="E5141" t="inlineStr">
        <is>
          <t>ÄLMHULT</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38877-2025</t>
        </is>
      </c>
      <c r="B5142" s="1" t="n">
        <v>45887.5765625</v>
      </c>
      <c r="C5142" s="1" t="n">
        <v>46103</v>
      </c>
      <c r="D5142" t="inlineStr">
        <is>
          <t>KRONOBERGS LÄN</t>
        </is>
      </c>
      <c r="E5142" t="inlineStr">
        <is>
          <t>UPPVIDINGE</t>
        </is>
      </c>
      <c r="G5142" t="n">
        <v>4.1</v>
      </c>
      <c r="H5142" t="n">
        <v>0</v>
      </c>
      <c r="I5142" t="n">
        <v>0</v>
      </c>
      <c r="J5142" t="n">
        <v>0</v>
      </c>
      <c r="K5142" t="n">
        <v>0</v>
      </c>
      <c r="L5142" t="n">
        <v>0</v>
      </c>
      <c r="M5142" t="n">
        <v>0</v>
      </c>
      <c r="N5142" t="n">
        <v>0</v>
      </c>
      <c r="O5142" t="n">
        <v>0</v>
      </c>
      <c r="P5142" t="n">
        <v>0</v>
      </c>
      <c r="Q5142" t="n">
        <v>0</v>
      </c>
      <c r="R5142" s="2" t="inlineStr"/>
    </row>
    <row r="5143" ht="15" customHeight="1">
      <c r="A5143" t="inlineStr">
        <is>
          <t>A 38882-2025</t>
        </is>
      </c>
      <c r="B5143" s="1" t="n">
        <v>45887.58039351852</v>
      </c>
      <c r="C5143" s="1" t="n">
        <v>46103</v>
      </c>
      <c r="D5143" t="inlineStr">
        <is>
          <t>KRONOBERGS LÄN</t>
        </is>
      </c>
      <c r="E5143" t="inlineStr">
        <is>
          <t>TINGSRYD</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36966-2024</t>
        </is>
      </c>
      <c r="B5144" s="1" t="n">
        <v>45538.80545138889</v>
      </c>
      <c r="C5144" s="1" t="n">
        <v>46103</v>
      </c>
      <c r="D5144" t="inlineStr">
        <is>
          <t>KRONOBERGS LÄN</t>
        </is>
      </c>
      <c r="E5144" t="inlineStr">
        <is>
          <t>UPPVIDINGE</t>
        </is>
      </c>
      <c r="G5144" t="n">
        <v>3.7</v>
      </c>
      <c r="H5144" t="n">
        <v>0</v>
      </c>
      <c r="I5144" t="n">
        <v>0</v>
      </c>
      <c r="J5144" t="n">
        <v>0</v>
      </c>
      <c r="K5144" t="n">
        <v>0</v>
      </c>
      <c r="L5144" t="n">
        <v>0</v>
      </c>
      <c r="M5144" t="n">
        <v>0</v>
      </c>
      <c r="N5144" t="n">
        <v>0</v>
      </c>
      <c r="O5144" t="n">
        <v>0</v>
      </c>
      <c r="P5144" t="n">
        <v>0</v>
      </c>
      <c r="Q5144" t="n">
        <v>0</v>
      </c>
      <c r="R5144" s="2" t="inlineStr"/>
    </row>
    <row r="5145" ht="15" customHeight="1">
      <c r="A5145" t="inlineStr">
        <is>
          <t>A 32685-2023</t>
        </is>
      </c>
      <c r="B5145" s="1" t="n">
        <v>45121.70020833334</v>
      </c>
      <c r="C5145" s="1" t="n">
        <v>46103</v>
      </c>
      <c r="D5145" t="inlineStr">
        <is>
          <t>KRONOBERGS LÄN</t>
        </is>
      </c>
      <c r="E5145" t="inlineStr">
        <is>
          <t>LJUNGBY</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44287-2023</t>
        </is>
      </c>
      <c r="B5146" s="1" t="n">
        <v>45188</v>
      </c>
      <c r="C5146" s="1" t="n">
        <v>46103</v>
      </c>
      <c r="D5146" t="inlineStr">
        <is>
          <t>KRONOBERGS LÄN</t>
        </is>
      </c>
      <c r="E5146" t="inlineStr">
        <is>
          <t>LJUNGBY</t>
        </is>
      </c>
      <c r="G5146" t="n">
        <v>3.3</v>
      </c>
      <c r="H5146" t="n">
        <v>0</v>
      </c>
      <c r="I5146" t="n">
        <v>0</v>
      </c>
      <c r="J5146" t="n">
        <v>0</v>
      </c>
      <c r="K5146" t="n">
        <v>0</v>
      </c>
      <c r="L5146" t="n">
        <v>0</v>
      </c>
      <c r="M5146" t="n">
        <v>0</v>
      </c>
      <c r="N5146" t="n">
        <v>0</v>
      </c>
      <c r="O5146" t="n">
        <v>0</v>
      </c>
      <c r="P5146" t="n">
        <v>0</v>
      </c>
      <c r="Q5146" t="n">
        <v>0</v>
      </c>
      <c r="R5146" s="2" t="inlineStr"/>
    </row>
    <row r="5147" ht="15" customHeight="1">
      <c r="A5147" t="inlineStr">
        <is>
          <t>A 2363-2022</t>
        </is>
      </c>
      <c r="B5147" s="1" t="n">
        <v>44579.31209490741</v>
      </c>
      <c r="C5147" s="1" t="n">
        <v>46103</v>
      </c>
      <c r="D5147" t="inlineStr">
        <is>
          <t>KRONOBERGS LÄN</t>
        </is>
      </c>
      <c r="E5147" t="inlineStr">
        <is>
          <t>MARKARYD</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8430-2025</t>
        </is>
      </c>
      <c r="B5148" s="1" t="n">
        <v>45709.42712962963</v>
      </c>
      <c r="C5148" s="1" t="n">
        <v>46103</v>
      </c>
      <c r="D5148" t="inlineStr">
        <is>
          <t>KRONOBERGS LÄN</t>
        </is>
      </c>
      <c r="E5148" t="inlineStr">
        <is>
          <t>UPPVIDINGE</t>
        </is>
      </c>
      <c r="F5148" t="inlineStr">
        <is>
          <t>Sveaskog</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60733-2024</t>
        </is>
      </c>
      <c r="B5149" s="1" t="n">
        <v>45644.54353009259</v>
      </c>
      <c r="C5149" s="1" t="n">
        <v>46103</v>
      </c>
      <c r="D5149" t="inlineStr">
        <is>
          <t>KRONOBERGS LÄN</t>
        </is>
      </c>
      <c r="E5149" t="inlineStr">
        <is>
          <t>VÄXJÖ</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20284-2023</t>
        </is>
      </c>
      <c r="B5150" s="1" t="n">
        <v>45056.31962962963</v>
      </c>
      <c r="C5150" s="1" t="n">
        <v>46103</v>
      </c>
      <c r="D5150" t="inlineStr">
        <is>
          <t>KRONOBERGS LÄN</t>
        </is>
      </c>
      <c r="E5150" t="inlineStr">
        <is>
          <t>LJUNGBY</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20335-2023</t>
        </is>
      </c>
      <c r="B5151" s="1" t="n">
        <v>45056.48001157407</v>
      </c>
      <c r="C5151" s="1" t="n">
        <v>46103</v>
      </c>
      <c r="D5151" t="inlineStr">
        <is>
          <t>KRONOBERGS LÄN</t>
        </is>
      </c>
      <c r="E5151" t="inlineStr">
        <is>
          <t>VÄXJÖ</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17775-2023</t>
        </is>
      </c>
      <c r="B5152" s="1" t="n">
        <v>45037</v>
      </c>
      <c r="C5152" s="1" t="n">
        <v>46103</v>
      </c>
      <c r="D5152" t="inlineStr">
        <is>
          <t>KRONOBERGS LÄN</t>
        </is>
      </c>
      <c r="E5152" t="inlineStr">
        <is>
          <t>VÄXJÖ</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17778-2023</t>
        </is>
      </c>
      <c r="B5153" s="1" t="n">
        <v>45037.5341087963</v>
      </c>
      <c r="C5153" s="1" t="n">
        <v>46103</v>
      </c>
      <c r="D5153" t="inlineStr">
        <is>
          <t>KRONOBERGS LÄN</t>
        </is>
      </c>
      <c r="E5153" t="inlineStr">
        <is>
          <t>VÄXJÖ</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15773-2024</t>
        </is>
      </c>
      <c r="B5154" s="1" t="n">
        <v>45404.59559027778</v>
      </c>
      <c r="C5154" s="1" t="n">
        <v>46103</v>
      </c>
      <c r="D5154" t="inlineStr">
        <is>
          <t>KRONOBERGS LÄN</t>
        </is>
      </c>
      <c r="E5154" t="inlineStr">
        <is>
          <t>MARKARYD</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34126-2023</t>
        </is>
      </c>
      <c r="B5155" s="1" t="n">
        <v>45135</v>
      </c>
      <c r="C5155" s="1" t="n">
        <v>46103</v>
      </c>
      <c r="D5155" t="inlineStr">
        <is>
          <t>KRONOBERGS LÄN</t>
        </is>
      </c>
      <c r="E5155" t="inlineStr">
        <is>
          <t>ALVESTA</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55282-2024</t>
        </is>
      </c>
      <c r="B5156" s="1" t="n">
        <v>45621</v>
      </c>
      <c r="C5156" s="1" t="n">
        <v>46103</v>
      </c>
      <c r="D5156" t="inlineStr">
        <is>
          <t>KRONOBERGS LÄN</t>
        </is>
      </c>
      <c r="E5156" t="inlineStr">
        <is>
          <t>LJUNGBY</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25945-2023</t>
        </is>
      </c>
      <c r="B5157" s="1" t="n">
        <v>45090.70565972223</v>
      </c>
      <c r="C5157" s="1" t="n">
        <v>46103</v>
      </c>
      <c r="D5157" t="inlineStr">
        <is>
          <t>KRONOBERGS LÄN</t>
        </is>
      </c>
      <c r="E5157" t="inlineStr">
        <is>
          <t>ALVESTA</t>
        </is>
      </c>
      <c r="G5157" t="n">
        <v>5.6</v>
      </c>
      <c r="H5157" t="n">
        <v>0</v>
      </c>
      <c r="I5157" t="n">
        <v>0</v>
      </c>
      <c r="J5157" t="n">
        <v>0</v>
      </c>
      <c r="K5157" t="n">
        <v>0</v>
      </c>
      <c r="L5157" t="n">
        <v>0</v>
      </c>
      <c r="M5157" t="n">
        <v>0</v>
      </c>
      <c r="N5157" t="n">
        <v>0</v>
      </c>
      <c r="O5157" t="n">
        <v>0</v>
      </c>
      <c r="P5157" t="n">
        <v>0</v>
      </c>
      <c r="Q5157" t="n">
        <v>0</v>
      </c>
      <c r="R5157" s="2" t="inlineStr"/>
    </row>
    <row r="5158" ht="15" customHeight="1">
      <c r="A5158" t="inlineStr">
        <is>
          <t>A 46214-2024</t>
        </is>
      </c>
      <c r="B5158" s="1" t="n">
        <v>45581.55803240741</v>
      </c>
      <c r="C5158" s="1" t="n">
        <v>46103</v>
      </c>
      <c r="D5158" t="inlineStr">
        <is>
          <t>KRONOBERGS LÄN</t>
        </is>
      </c>
      <c r="E5158" t="inlineStr">
        <is>
          <t>VÄXJÖ</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73660-2021</t>
        </is>
      </c>
      <c r="B5159" s="1" t="n">
        <v>44552.45428240741</v>
      </c>
      <c r="C5159" s="1" t="n">
        <v>46103</v>
      </c>
      <c r="D5159" t="inlineStr">
        <is>
          <t>KRONOBERGS LÄN</t>
        </is>
      </c>
      <c r="E5159" t="inlineStr">
        <is>
          <t>UPPVIDINGE</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24774-2022</t>
        </is>
      </c>
      <c r="B5160" s="1" t="n">
        <v>44728</v>
      </c>
      <c r="C5160" s="1" t="n">
        <v>46103</v>
      </c>
      <c r="D5160" t="inlineStr">
        <is>
          <t>KRONOBERGS LÄN</t>
        </is>
      </c>
      <c r="E5160" t="inlineStr">
        <is>
          <t>TINGSRYD</t>
        </is>
      </c>
      <c r="G5160" t="n">
        <v>4.3</v>
      </c>
      <c r="H5160" t="n">
        <v>0</v>
      </c>
      <c r="I5160" t="n">
        <v>0</v>
      </c>
      <c r="J5160" t="n">
        <v>0</v>
      </c>
      <c r="K5160" t="n">
        <v>0</v>
      </c>
      <c r="L5160" t="n">
        <v>0</v>
      </c>
      <c r="M5160" t="n">
        <v>0</v>
      </c>
      <c r="N5160" t="n">
        <v>0</v>
      </c>
      <c r="O5160" t="n">
        <v>0</v>
      </c>
      <c r="P5160" t="n">
        <v>0</v>
      </c>
      <c r="Q5160" t="n">
        <v>0</v>
      </c>
      <c r="R5160" s="2" t="inlineStr"/>
    </row>
    <row r="5161" ht="15" customHeight="1">
      <c r="A5161" t="inlineStr">
        <is>
          <t>A 27843-2023</t>
        </is>
      </c>
      <c r="B5161" s="1" t="n">
        <v>45098</v>
      </c>
      <c r="C5161" s="1" t="n">
        <v>46103</v>
      </c>
      <c r="D5161" t="inlineStr">
        <is>
          <t>KRONOBERGS LÄN</t>
        </is>
      </c>
      <c r="E5161" t="inlineStr">
        <is>
          <t>UPPVIDINGE</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30600-2024</t>
        </is>
      </c>
      <c r="B5162" s="1" t="n">
        <v>45493.63009259259</v>
      </c>
      <c r="C5162" s="1" t="n">
        <v>46103</v>
      </c>
      <c r="D5162" t="inlineStr">
        <is>
          <t>KRONOBERGS LÄN</t>
        </is>
      </c>
      <c r="E5162" t="inlineStr">
        <is>
          <t>LESSEBO</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527-2023</t>
        </is>
      </c>
      <c r="B5163" s="1" t="n">
        <v>44930.4346875</v>
      </c>
      <c r="C5163" s="1" t="n">
        <v>46103</v>
      </c>
      <c r="D5163" t="inlineStr">
        <is>
          <t>KRONOBERGS LÄN</t>
        </is>
      </c>
      <c r="E5163" t="inlineStr">
        <is>
          <t>ÄLMHULT</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1656-2024</t>
        </is>
      </c>
      <c r="B5164" s="1" t="n">
        <v>45306.81612268519</v>
      </c>
      <c r="C5164" s="1" t="n">
        <v>46103</v>
      </c>
      <c r="D5164" t="inlineStr">
        <is>
          <t>KRONOBERGS LÄN</t>
        </is>
      </c>
      <c r="E5164" t="inlineStr">
        <is>
          <t>MARKARYD</t>
        </is>
      </c>
      <c r="G5164" t="n">
        <v>3.9</v>
      </c>
      <c r="H5164" t="n">
        <v>0</v>
      </c>
      <c r="I5164" t="n">
        <v>0</v>
      </c>
      <c r="J5164" t="n">
        <v>0</v>
      </c>
      <c r="K5164" t="n">
        <v>0</v>
      </c>
      <c r="L5164" t="n">
        <v>0</v>
      </c>
      <c r="M5164" t="n">
        <v>0</v>
      </c>
      <c r="N5164" t="n">
        <v>0</v>
      </c>
      <c r="O5164" t="n">
        <v>0</v>
      </c>
      <c r="P5164" t="n">
        <v>0</v>
      </c>
      <c r="Q5164" t="n">
        <v>0</v>
      </c>
      <c r="R5164" s="2" t="inlineStr"/>
    </row>
    <row r="5165" ht="15" customHeight="1">
      <c r="A5165" t="inlineStr">
        <is>
          <t>A 13580-2024</t>
        </is>
      </c>
      <c r="B5165" s="1" t="n">
        <v>45389</v>
      </c>
      <c r="C5165" s="1" t="n">
        <v>46103</v>
      </c>
      <c r="D5165" t="inlineStr">
        <is>
          <t>KRONOBERGS LÄN</t>
        </is>
      </c>
      <c r="E5165" t="inlineStr">
        <is>
          <t>UPPVIDINGE</t>
        </is>
      </c>
      <c r="G5165" t="n">
        <v>6</v>
      </c>
      <c r="H5165" t="n">
        <v>0</v>
      </c>
      <c r="I5165" t="n">
        <v>0</v>
      </c>
      <c r="J5165" t="n">
        <v>0</v>
      </c>
      <c r="K5165" t="n">
        <v>0</v>
      </c>
      <c r="L5165" t="n">
        <v>0</v>
      </c>
      <c r="M5165" t="n">
        <v>0</v>
      </c>
      <c r="N5165" t="n">
        <v>0</v>
      </c>
      <c r="O5165" t="n">
        <v>0</v>
      </c>
      <c r="P5165" t="n">
        <v>0</v>
      </c>
      <c r="Q5165" t="n">
        <v>0</v>
      </c>
      <c r="R5165" s="2" t="inlineStr"/>
    </row>
    <row r="5166" ht="15" customHeight="1">
      <c r="A5166" t="inlineStr">
        <is>
          <t>A 42780-2023</t>
        </is>
      </c>
      <c r="B5166" s="1" t="n">
        <v>45181.80498842592</v>
      </c>
      <c r="C5166" s="1" t="n">
        <v>46103</v>
      </c>
      <c r="D5166" t="inlineStr">
        <is>
          <t>KRONOBERGS LÄN</t>
        </is>
      </c>
      <c r="E5166" t="inlineStr">
        <is>
          <t>ÄLMHULT</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30105-2022</t>
        </is>
      </c>
      <c r="B5167" s="1" t="n">
        <v>44757.40103009259</v>
      </c>
      <c r="C5167" s="1" t="n">
        <v>46103</v>
      </c>
      <c r="D5167" t="inlineStr">
        <is>
          <t>KRONOBERGS LÄN</t>
        </is>
      </c>
      <c r="E5167" t="inlineStr">
        <is>
          <t>UPPVIDINGE</t>
        </is>
      </c>
      <c r="F5167" t="inlineStr">
        <is>
          <t>Sveaskog</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44487-2021</t>
        </is>
      </c>
      <c r="B5168" s="1" t="n">
        <v>44435</v>
      </c>
      <c r="C5168" s="1" t="n">
        <v>46103</v>
      </c>
      <c r="D5168" t="inlineStr">
        <is>
          <t>KRONOBERGS LÄN</t>
        </is>
      </c>
      <c r="E5168" t="inlineStr">
        <is>
          <t>ALVESTA</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8038-2022</t>
        </is>
      </c>
      <c r="B5169" s="1" t="n">
        <v>44609</v>
      </c>
      <c r="C5169" s="1" t="n">
        <v>46103</v>
      </c>
      <c r="D5169" t="inlineStr">
        <is>
          <t>KRONOBERGS LÄN</t>
        </is>
      </c>
      <c r="E5169" t="inlineStr">
        <is>
          <t>VÄXJÖ</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47176-2021</t>
        </is>
      </c>
      <c r="B5170" s="1" t="n">
        <v>44446</v>
      </c>
      <c r="C5170" s="1" t="n">
        <v>46103</v>
      </c>
      <c r="D5170" t="inlineStr">
        <is>
          <t>KRONOBERGS LÄN</t>
        </is>
      </c>
      <c r="E5170" t="inlineStr">
        <is>
          <t>UPPVIDINGE</t>
        </is>
      </c>
      <c r="G5170" t="n">
        <v>5.4</v>
      </c>
      <c r="H5170" t="n">
        <v>0</v>
      </c>
      <c r="I5170" t="n">
        <v>0</v>
      </c>
      <c r="J5170" t="n">
        <v>0</v>
      </c>
      <c r="K5170" t="n">
        <v>0</v>
      </c>
      <c r="L5170" t="n">
        <v>0</v>
      </c>
      <c r="M5170" t="n">
        <v>0</v>
      </c>
      <c r="N5170" t="n">
        <v>0</v>
      </c>
      <c r="O5170" t="n">
        <v>0</v>
      </c>
      <c r="P5170" t="n">
        <v>0</v>
      </c>
      <c r="Q5170" t="n">
        <v>0</v>
      </c>
      <c r="R5170" s="2" t="inlineStr"/>
    </row>
    <row r="5171" ht="15" customHeight="1">
      <c r="A5171" t="inlineStr">
        <is>
          <t>A 37393-2024</t>
        </is>
      </c>
      <c r="B5171" s="1" t="n">
        <v>45540.59579861111</v>
      </c>
      <c r="C5171" s="1" t="n">
        <v>46103</v>
      </c>
      <c r="D5171" t="inlineStr">
        <is>
          <t>KRONOBERGS LÄN</t>
        </is>
      </c>
      <c r="E5171" t="inlineStr">
        <is>
          <t>TINGSRYD</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55629-2021</t>
        </is>
      </c>
      <c r="B5172" s="1" t="n">
        <v>44476.32795138889</v>
      </c>
      <c r="C5172" s="1" t="n">
        <v>46103</v>
      </c>
      <c r="D5172" t="inlineStr">
        <is>
          <t>KRONOBERGS LÄN</t>
        </is>
      </c>
      <c r="E5172" t="inlineStr">
        <is>
          <t>ÄLMHULT</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37424-2024</t>
        </is>
      </c>
      <c r="B5173" s="1" t="n">
        <v>45540.64592592593</v>
      </c>
      <c r="C5173" s="1" t="n">
        <v>46103</v>
      </c>
      <c r="D5173" t="inlineStr">
        <is>
          <t>KRONOBERGS LÄN</t>
        </is>
      </c>
      <c r="E5173" t="inlineStr">
        <is>
          <t>TINGSRYD</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63539-2023</t>
        </is>
      </c>
      <c r="B5174" s="1" t="n">
        <v>45275.30907407407</v>
      </c>
      <c r="C5174" s="1" t="n">
        <v>46103</v>
      </c>
      <c r="D5174" t="inlineStr">
        <is>
          <t>KRONOBERGS LÄN</t>
        </is>
      </c>
      <c r="E5174" t="inlineStr">
        <is>
          <t>LJUNGBY</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38912-2025</t>
        </is>
      </c>
      <c r="B5175" s="1" t="n">
        <v>45887.61657407408</v>
      </c>
      <c r="C5175" s="1" t="n">
        <v>46103</v>
      </c>
      <c r="D5175" t="inlineStr">
        <is>
          <t>KRONOBERGS LÄN</t>
        </is>
      </c>
      <c r="E5175" t="inlineStr">
        <is>
          <t>ÄLMHULT</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52077-2021</t>
        </is>
      </c>
      <c r="B5176" s="1" t="n">
        <v>44463</v>
      </c>
      <c r="C5176" s="1" t="n">
        <v>46103</v>
      </c>
      <c r="D5176" t="inlineStr">
        <is>
          <t>KRONOBERGS LÄN</t>
        </is>
      </c>
      <c r="E5176" t="inlineStr">
        <is>
          <t>TINGSRYD</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64603-2023</t>
        </is>
      </c>
      <c r="B5177" s="1" t="n">
        <v>45281</v>
      </c>
      <c r="C5177" s="1" t="n">
        <v>46103</v>
      </c>
      <c r="D5177" t="inlineStr">
        <is>
          <t>KRONOBERGS LÄN</t>
        </is>
      </c>
      <c r="E5177" t="inlineStr">
        <is>
          <t>VÄXJÖ</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50733-2023</t>
        </is>
      </c>
      <c r="B5178" s="1" t="n">
        <v>45217</v>
      </c>
      <c r="C5178" s="1" t="n">
        <v>46103</v>
      </c>
      <c r="D5178" t="inlineStr">
        <is>
          <t>KRONOBERGS LÄN</t>
        </is>
      </c>
      <c r="E5178" t="inlineStr">
        <is>
          <t>ALVESTA</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53241-2023</t>
        </is>
      </c>
      <c r="B5179" s="1" t="n">
        <v>45229.49331018519</v>
      </c>
      <c r="C5179" s="1" t="n">
        <v>46103</v>
      </c>
      <c r="D5179" t="inlineStr">
        <is>
          <t>KRONOBERGS LÄN</t>
        </is>
      </c>
      <c r="E5179" t="inlineStr">
        <is>
          <t>UPPVIDINGE</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4727-2025</t>
        </is>
      </c>
      <c r="B5180" s="1" t="n">
        <v>45688.43215277778</v>
      </c>
      <c r="C5180" s="1" t="n">
        <v>46103</v>
      </c>
      <c r="D5180" t="inlineStr">
        <is>
          <t>KRONOBERGS LÄN</t>
        </is>
      </c>
      <c r="E5180" t="inlineStr">
        <is>
          <t>UPPVIDINGE</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64512-2023</t>
        </is>
      </c>
      <c r="B5181" s="1" t="n">
        <v>45281.30739583333</v>
      </c>
      <c r="C5181" s="1" t="n">
        <v>46103</v>
      </c>
      <c r="D5181" t="inlineStr">
        <is>
          <t>KRONOBERGS LÄN</t>
        </is>
      </c>
      <c r="E5181" t="inlineStr">
        <is>
          <t>MARKARYD</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14380-2022</t>
        </is>
      </c>
      <c r="B5182" s="1" t="n">
        <v>44652</v>
      </c>
      <c r="C5182" s="1" t="n">
        <v>46103</v>
      </c>
      <c r="D5182" t="inlineStr">
        <is>
          <t>KRONOBERGS LÄN</t>
        </is>
      </c>
      <c r="E5182" t="inlineStr">
        <is>
          <t>VÄXJÖ</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4423-2023</t>
        </is>
      </c>
      <c r="B5183" s="1" t="n">
        <v>44956.39506944444</v>
      </c>
      <c r="C5183" s="1" t="n">
        <v>46103</v>
      </c>
      <c r="D5183" t="inlineStr">
        <is>
          <t>KRONOBERGS LÄN</t>
        </is>
      </c>
      <c r="E5183" t="inlineStr">
        <is>
          <t>VÄXJÖ</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54966-2023</t>
        </is>
      </c>
      <c r="B5184" s="1" t="n">
        <v>45236.90962962963</v>
      </c>
      <c r="C5184" s="1" t="n">
        <v>46103</v>
      </c>
      <c r="D5184" t="inlineStr">
        <is>
          <t>KRONOBERGS LÄN</t>
        </is>
      </c>
      <c r="E5184" t="inlineStr">
        <is>
          <t>ALVESTA</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12065-2025</t>
        </is>
      </c>
      <c r="B5185" s="1" t="n">
        <v>45728.70190972222</v>
      </c>
      <c r="C5185" s="1" t="n">
        <v>46103</v>
      </c>
      <c r="D5185" t="inlineStr">
        <is>
          <t>KRONOBERGS LÄN</t>
        </is>
      </c>
      <c r="E5185" t="inlineStr">
        <is>
          <t>ALVESTA</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9526-2025</t>
        </is>
      </c>
      <c r="B5186" s="1" t="n">
        <v>45715.56667824074</v>
      </c>
      <c r="C5186" s="1" t="n">
        <v>46103</v>
      </c>
      <c r="D5186" t="inlineStr">
        <is>
          <t>KRONOBERGS LÄN</t>
        </is>
      </c>
      <c r="E5186" t="inlineStr">
        <is>
          <t>LJUNGBY</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733-2024</t>
        </is>
      </c>
      <c r="B5187" s="1" t="n">
        <v>45300.4487962963</v>
      </c>
      <c r="C5187" s="1" t="n">
        <v>46103</v>
      </c>
      <c r="D5187" t="inlineStr">
        <is>
          <t>KRONOBERGS LÄN</t>
        </is>
      </c>
      <c r="E5187" t="inlineStr">
        <is>
          <t>TINGSRYD</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783-2024</t>
        </is>
      </c>
      <c r="B5188" s="1" t="n">
        <v>45300.55637731482</v>
      </c>
      <c r="C5188" s="1" t="n">
        <v>46103</v>
      </c>
      <c r="D5188" t="inlineStr">
        <is>
          <t>KRONOBERGS LÄN</t>
        </is>
      </c>
      <c r="E5188" t="inlineStr">
        <is>
          <t>VÄXJÖ</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38838-2025</t>
        </is>
      </c>
      <c r="B5189" s="1" t="n">
        <v>45887.53386574074</v>
      </c>
      <c r="C5189" s="1" t="n">
        <v>46103</v>
      </c>
      <c r="D5189" t="inlineStr">
        <is>
          <t>KRONOBERGS LÄN</t>
        </is>
      </c>
      <c r="E5189" t="inlineStr">
        <is>
          <t>ÄLMHULT</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38876-2025</t>
        </is>
      </c>
      <c r="B5190" s="1" t="n">
        <v>45887.57631944444</v>
      </c>
      <c r="C5190" s="1" t="n">
        <v>46103</v>
      </c>
      <c r="D5190" t="inlineStr">
        <is>
          <t>KRONOBERGS LÄN</t>
        </is>
      </c>
      <c r="E5190" t="inlineStr">
        <is>
          <t>TINGSRYD</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833-2024</t>
        </is>
      </c>
      <c r="B5191" s="1" t="n">
        <v>45300</v>
      </c>
      <c r="C5191" s="1" t="n">
        <v>46103</v>
      </c>
      <c r="D5191" t="inlineStr">
        <is>
          <t>KRONOBERGS LÄN</t>
        </is>
      </c>
      <c r="E5191" t="inlineStr">
        <is>
          <t>ALVESTA</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49619-2023</t>
        </is>
      </c>
      <c r="B5192" s="1" t="n">
        <v>45211.82909722222</v>
      </c>
      <c r="C5192" s="1" t="n">
        <v>46103</v>
      </c>
      <c r="D5192" t="inlineStr">
        <is>
          <t>KRONOBERGS LÄN</t>
        </is>
      </c>
      <c r="E5192" t="inlineStr">
        <is>
          <t>VÄXJÖ</t>
        </is>
      </c>
      <c r="G5192" t="n">
        <v>3.7</v>
      </c>
      <c r="H5192" t="n">
        <v>0</v>
      </c>
      <c r="I5192" t="n">
        <v>0</v>
      </c>
      <c r="J5192" t="n">
        <v>0</v>
      </c>
      <c r="K5192" t="n">
        <v>0</v>
      </c>
      <c r="L5192" t="n">
        <v>0</v>
      </c>
      <c r="M5192" t="n">
        <v>0</v>
      </c>
      <c r="N5192" t="n">
        <v>0</v>
      </c>
      <c r="O5192" t="n">
        <v>0</v>
      </c>
      <c r="P5192" t="n">
        <v>0</v>
      </c>
      <c r="Q5192" t="n">
        <v>0</v>
      </c>
      <c r="R5192" s="2" t="inlineStr"/>
    </row>
    <row r="5193" ht="15" customHeight="1">
      <c r="A5193" t="inlineStr">
        <is>
          <t>A 45760-2021</t>
        </is>
      </c>
      <c r="B5193" s="1" t="n">
        <v>44441</v>
      </c>
      <c r="C5193" s="1" t="n">
        <v>46103</v>
      </c>
      <c r="D5193" t="inlineStr">
        <is>
          <t>KRONOBERGS LÄN</t>
        </is>
      </c>
      <c r="E5193" t="inlineStr">
        <is>
          <t>LJUNGBY</t>
        </is>
      </c>
      <c r="G5193" t="n">
        <v>5</v>
      </c>
      <c r="H5193" t="n">
        <v>0</v>
      </c>
      <c r="I5193" t="n">
        <v>0</v>
      </c>
      <c r="J5193" t="n">
        <v>0</v>
      </c>
      <c r="K5193" t="n">
        <v>0</v>
      </c>
      <c r="L5193" t="n">
        <v>0</v>
      </c>
      <c r="M5193" t="n">
        <v>0</v>
      </c>
      <c r="N5193" t="n">
        <v>0</v>
      </c>
      <c r="O5193" t="n">
        <v>0</v>
      </c>
      <c r="P5193" t="n">
        <v>0</v>
      </c>
      <c r="Q5193" t="n">
        <v>0</v>
      </c>
      <c r="R5193" s="2" t="inlineStr"/>
    </row>
    <row r="5194" ht="15" customHeight="1">
      <c r="A5194" t="inlineStr">
        <is>
          <t>A 58781-2021</t>
        </is>
      </c>
      <c r="B5194" s="1" t="n">
        <v>44489</v>
      </c>
      <c r="C5194" s="1" t="n">
        <v>46103</v>
      </c>
      <c r="D5194" t="inlineStr">
        <is>
          <t>KRONOBERGS LÄN</t>
        </is>
      </c>
      <c r="E5194" t="inlineStr">
        <is>
          <t>TINGSRYD</t>
        </is>
      </c>
      <c r="G5194" t="n">
        <v>3.4</v>
      </c>
      <c r="H5194" t="n">
        <v>0</v>
      </c>
      <c r="I5194" t="n">
        <v>0</v>
      </c>
      <c r="J5194" t="n">
        <v>0</v>
      </c>
      <c r="K5194" t="n">
        <v>0</v>
      </c>
      <c r="L5194" t="n">
        <v>0</v>
      </c>
      <c r="M5194" t="n">
        <v>0</v>
      </c>
      <c r="N5194" t="n">
        <v>0</v>
      </c>
      <c r="O5194" t="n">
        <v>0</v>
      </c>
      <c r="P5194" t="n">
        <v>0</v>
      </c>
      <c r="Q5194" t="n">
        <v>0</v>
      </c>
      <c r="R5194" s="2" t="inlineStr"/>
    </row>
    <row r="5195" ht="15" customHeight="1">
      <c r="A5195" t="inlineStr">
        <is>
          <t>A 6771-2022</t>
        </is>
      </c>
      <c r="B5195" s="1" t="n">
        <v>44602.51873842593</v>
      </c>
      <c r="C5195" s="1" t="n">
        <v>46103</v>
      </c>
      <c r="D5195" t="inlineStr">
        <is>
          <t>KRONOBERGS LÄN</t>
        </is>
      </c>
      <c r="E5195" t="inlineStr">
        <is>
          <t>UPPVIDINGE</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38576-2025</t>
        </is>
      </c>
      <c r="B5196" s="1" t="n">
        <v>45884.4652662037</v>
      </c>
      <c r="C5196" s="1" t="n">
        <v>46103</v>
      </c>
      <c r="D5196" t="inlineStr">
        <is>
          <t>KRONOBERGS LÄN</t>
        </is>
      </c>
      <c r="E5196" t="inlineStr">
        <is>
          <t>TINGSRYD</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17927-2023</t>
        </is>
      </c>
      <c r="B5197" s="1" t="n">
        <v>45040.40766203704</v>
      </c>
      <c r="C5197" s="1" t="n">
        <v>46103</v>
      </c>
      <c r="D5197" t="inlineStr">
        <is>
          <t>KRONOBERGS LÄN</t>
        </is>
      </c>
      <c r="E5197" t="inlineStr">
        <is>
          <t>MARKARYD</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26885-2024</t>
        </is>
      </c>
      <c r="B5198" s="1" t="n">
        <v>45470.64299768519</v>
      </c>
      <c r="C5198" s="1" t="n">
        <v>46103</v>
      </c>
      <c r="D5198" t="inlineStr">
        <is>
          <t>KRONOBERGS LÄN</t>
        </is>
      </c>
      <c r="E5198" t="inlineStr">
        <is>
          <t>LJUNGBY</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26888-2024</t>
        </is>
      </c>
      <c r="B5199" s="1" t="n">
        <v>45470.64894675926</v>
      </c>
      <c r="C5199" s="1" t="n">
        <v>46103</v>
      </c>
      <c r="D5199" t="inlineStr">
        <is>
          <t>KRONOBERGS LÄN</t>
        </is>
      </c>
      <c r="E5199" t="inlineStr">
        <is>
          <t>LJUNGBY</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25777-2024</t>
        </is>
      </c>
      <c r="B5200" s="1" t="n">
        <v>45466.72841435186</v>
      </c>
      <c r="C5200" s="1" t="n">
        <v>46103</v>
      </c>
      <c r="D5200" t="inlineStr">
        <is>
          <t>KRONOBERGS LÄN</t>
        </is>
      </c>
      <c r="E5200" t="inlineStr">
        <is>
          <t>VÄXJÖ</t>
        </is>
      </c>
      <c r="G5200" t="n">
        <v>6.1</v>
      </c>
      <c r="H5200" t="n">
        <v>0</v>
      </c>
      <c r="I5200" t="n">
        <v>0</v>
      </c>
      <c r="J5200" t="n">
        <v>0</v>
      </c>
      <c r="K5200" t="n">
        <v>0</v>
      </c>
      <c r="L5200" t="n">
        <v>0</v>
      </c>
      <c r="M5200" t="n">
        <v>0</v>
      </c>
      <c r="N5200" t="n">
        <v>0</v>
      </c>
      <c r="O5200" t="n">
        <v>0</v>
      </c>
      <c r="P5200" t="n">
        <v>0</v>
      </c>
      <c r="Q5200" t="n">
        <v>0</v>
      </c>
      <c r="R5200" s="2" t="inlineStr"/>
    </row>
    <row r="5201" ht="15" customHeight="1">
      <c r="A5201" t="inlineStr">
        <is>
          <t>A 15369-2023</t>
        </is>
      </c>
      <c r="B5201" s="1" t="n">
        <v>45019.59747685185</v>
      </c>
      <c r="C5201" s="1" t="n">
        <v>46103</v>
      </c>
      <c r="D5201" t="inlineStr">
        <is>
          <t>KRONOBERGS LÄN</t>
        </is>
      </c>
      <c r="E5201" t="inlineStr">
        <is>
          <t>VÄXJÖ</t>
        </is>
      </c>
      <c r="G5201" t="n">
        <v>5.7</v>
      </c>
      <c r="H5201" t="n">
        <v>0</v>
      </c>
      <c r="I5201" t="n">
        <v>0</v>
      </c>
      <c r="J5201" t="n">
        <v>0</v>
      </c>
      <c r="K5201" t="n">
        <v>0</v>
      </c>
      <c r="L5201" t="n">
        <v>0</v>
      </c>
      <c r="M5201" t="n">
        <v>0</v>
      </c>
      <c r="N5201" t="n">
        <v>0</v>
      </c>
      <c r="O5201" t="n">
        <v>0</v>
      </c>
      <c r="P5201" t="n">
        <v>0</v>
      </c>
      <c r="Q5201" t="n">
        <v>0</v>
      </c>
      <c r="R5201" s="2" t="inlineStr"/>
    </row>
    <row r="5202" ht="15" customHeight="1">
      <c r="A5202" t="inlineStr">
        <is>
          <t>A 15406-2023</t>
        </is>
      </c>
      <c r="B5202" s="1" t="n">
        <v>45019</v>
      </c>
      <c r="C5202" s="1" t="n">
        <v>46103</v>
      </c>
      <c r="D5202" t="inlineStr">
        <is>
          <t>KRONOBERGS LÄN</t>
        </is>
      </c>
      <c r="E5202" t="inlineStr">
        <is>
          <t>UPPVIDINGE</t>
        </is>
      </c>
      <c r="G5202" t="n">
        <v>3.7</v>
      </c>
      <c r="H5202" t="n">
        <v>0</v>
      </c>
      <c r="I5202" t="n">
        <v>0</v>
      </c>
      <c r="J5202" t="n">
        <v>0</v>
      </c>
      <c r="K5202" t="n">
        <v>0</v>
      </c>
      <c r="L5202" t="n">
        <v>0</v>
      </c>
      <c r="M5202" t="n">
        <v>0</v>
      </c>
      <c r="N5202" t="n">
        <v>0</v>
      </c>
      <c r="O5202" t="n">
        <v>0</v>
      </c>
      <c r="P5202" t="n">
        <v>0</v>
      </c>
      <c r="Q5202" t="n">
        <v>0</v>
      </c>
      <c r="R5202" s="2" t="inlineStr"/>
    </row>
    <row r="5203" ht="15" customHeight="1">
      <c r="A5203" t="inlineStr">
        <is>
          <t>A 8174-2025</t>
        </is>
      </c>
      <c r="B5203" s="1" t="n">
        <v>45708</v>
      </c>
      <c r="C5203" s="1" t="n">
        <v>46103</v>
      </c>
      <c r="D5203" t="inlineStr">
        <is>
          <t>KRONOBERGS LÄN</t>
        </is>
      </c>
      <c r="E5203" t="inlineStr">
        <is>
          <t>LESSEBO</t>
        </is>
      </c>
      <c r="G5203" t="n">
        <v>4.2</v>
      </c>
      <c r="H5203" t="n">
        <v>0</v>
      </c>
      <c r="I5203" t="n">
        <v>0</v>
      </c>
      <c r="J5203" t="n">
        <v>0</v>
      </c>
      <c r="K5203" t="n">
        <v>0</v>
      </c>
      <c r="L5203" t="n">
        <v>0</v>
      </c>
      <c r="M5203" t="n">
        <v>0</v>
      </c>
      <c r="N5203" t="n">
        <v>0</v>
      </c>
      <c r="O5203" t="n">
        <v>0</v>
      </c>
      <c r="P5203" t="n">
        <v>0</v>
      </c>
      <c r="Q5203" t="n">
        <v>0</v>
      </c>
      <c r="R5203" s="2" t="inlineStr"/>
    </row>
    <row r="5204" ht="15" customHeight="1">
      <c r="A5204" t="inlineStr">
        <is>
          <t>A 62222-2023</t>
        </is>
      </c>
      <c r="B5204" s="1" t="n">
        <v>45267.54662037037</v>
      </c>
      <c r="C5204" s="1" t="n">
        <v>46103</v>
      </c>
      <c r="D5204" t="inlineStr">
        <is>
          <t>KRONOBERGS LÄN</t>
        </is>
      </c>
      <c r="E5204" t="inlineStr">
        <is>
          <t>TINGSRYD</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38730-2025</t>
        </is>
      </c>
      <c r="B5205" s="1" t="n">
        <v>45887.34725694444</v>
      </c>
      <c r="C5205" s="1" t="n">
        <v>46103</v>
      </c>
      <c r="D5205" t="inlineStr">
        <is>
          <t>KRONOBERGS LÄN</t>
        </is>
      </c>
      <c r="E5205" t="inlineStr">
        <is>
          <t>ÄLMHULT</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13081-2023</t>
        </is>
      </c>
      <c r="B5206" s="1" t="n">
        <v>45002.41061342593</v>
      </c>
      <c r="C5206" s="1" t="n">
        <v>46103</v>
      </c>
      <c r="D5206" t="inlineStr">
        <is>
          <t>KRONOBERGS LÄN</t>
        </is>
      </c>
      <c r="E5206" t="inlineStr">
        <is>
          <t>TINGSRYD</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24171-2024</t>
        </is>
      </c>
      <c r="B5207" s="1" t="n">
        <v>45456.73114583334</v>
      </c>
      <c r="C5207" s="1" t="n">
        <v>46103</v>
      </c>
      <c r="D5207" t="inlineStr">
        <is>
          <t>KRONOBERGS LÄN</t>
        </is>
      </c>
      <c r="E5207" t="inlineStr">
        <is>
          <t>LESSEBO</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12961-2024</t>
        </is>
      </c>
      <c r="B5208" s="1" t="n">
        <v>45385.49137731481</v>
      </c>
      <c r="C5208" s="1" t="n">
        <v>46103</v>
      </c>
      <c r="D5208" t="inlineStr">
        <is>
          <t>KRONOBERGS LÄN</t>
        </is>
      </c>
      <c r="E5208" t="inlineStr">
        <is>
          <t>UPPVIDINGE</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36750-2022</t>
        </is>
      </c>
      <c r="B5209" s="1" t="n">
        <v>44805.43658564815</v>
      </c>
      <c r="C5209" s="1" t="n">
        <v>46103</v>
      </c>
      <c r="D5209" t="inlineStr">
        <is>
          <t>KRONOBERGS LÄN</t>
        </is>
      </c>
      <c r="E5209" t="inlineStr">
        <is>
          <t>ALVESTA</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38172-2023</t>
        </is>
      </c>
      <c r="B5210" s="1" t="n">
        <v>45161</v>
      </c>
      <c r="C5210" s="1" t="n">
        <v>46103</v>
      </c>
      <c r="D5210" t="inlineStr">
        <is>
          <t>KRONOBERGS LÄN</t>
        </is>
      </c>
      <c r="E5210" t="inlineStr">
        <is>
          <t>VÄXJÖ</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20121-2025</t>
        </is>
      </c>
      <c r="B5211" s="1" t="n">
        <v>45772.49033564814</v>
      </c>
      <c r="C5211" s="1" t="n">
        <v>46103</v>
      </c>
      <c r="D5211" t="inlineStr">
        <is>
          <t>KRONOBERGS LÄN</t>
        </is>
      </c>
      <c r="E5211" t="inlineStr">
        <is>
          <t>ALVESTA</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4838-2024</t>
        </is>
      </c>
      <c r="B5212" s="1" t="n">
        <v>45329</v>
      </c>
      <c r="C5212" s="1" t="n">
        <v>46103</v>
      </c>
      <c r="D5212" t="inlineStr">
        <is>
          <t>KRONOBERGS LÄN</t>
        </is>
      </c>
      <c r="E5212" t="inlineStr">
        <is>
          <t>TINGSRYD</t>
        </is>
      </c>
      <c r="F5212" t="inlineStr">
        <is>
          <t>Kommuner</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30589-2023</t>
        </is>
      </c>
      <c r="B5213" s="1" t="n">
        <v>45112.3402199074</v>
      </c>
      <c r="C5213" s="1" t="n">
        <v>46103</v>
      </c>
      <c r="D5213" t="inlineStr">
        <is>
          <t>KRONOBERGS LÄN</t>
        </is>
      </c>
      <c r="E5213" t="inlineStr">
        <is>
          <t>UPPVIDINGE</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4230-2025</t>
        </is>
      </c>
      <c r="B5214" s="1" t="n">
        <v>45685.55012731482</v>
      </c>
      <c r="C5214" s="1" t="n">
        <v>46103</v>
      </c>
      <c r="D5214" t="inlineStr">
        <is>
          <t>KRONOBERGS LÄN</t>
        </is>
      </c>
      <c r="E5214" t="inlineStr">
        <is>
          <t>UPPVIDINGE</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38695-2025</t>
        </is>
      </c>
      <c r="B5215" s="1" t="n">
        <v>45884.73457175926</v>
      </c>
      <c r="C5215" s="1" t="n">
        <v>46103</v>
      </c>
      <c r="D5215" t="inlineStr">
        <is>
          <t>KRONOBERGS LÄN</t>
        </is>
      </c>
      <c r="E5215" t="inlineStr">
        <is>
          <t>LJUNGBY</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35135-2021</t>
        </is>
      </c>
      <c r="B5216" s="1" t="n">
        <v>44384.39820601852</v>
      </c>
      <c r="C5216" s="1" t="n">
        <v>46103</v>
      </c>
      <c r="D5216" t="inlineStr">
        <is>
          <t>KRONOBERGS LÄN</t>
        </is>
      </c>
      <c r="E5216" t="inlineStr">
        <is>
          <t>LJUNGBY</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52110-2024</t>
        </is>
      </c>
      <c r="B5217" s="1" t="n">
        <v>45608.43467592593</v>
      </c>
      <c r="C5217" s="1" t="n">
        <v>46103</v>
      </c>
      <c r="D5217" t="inlineStr">
        <is>
          <t>KRONOBERGS LÄN</t>
        </is>
      </c>
      <c r="E5217" t="inlineStr">
        <is>
          <t>ALVESTA</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1928-2023</t>
        </is>
      </c>
      <c r="B5218" s="1" t="n">
        <v>44939</v>
      </c>
      <c r="C5218" s="1" t="n">
        <v>46103</v>
      </c>
      <c r="D5218" t="inlineStr">
        <is>
          <t>KRONOBERGS LÄN</t>
        </is>
      </c>
      <c r="E5218" t="inlineStr">
        <is>
          <t>TINGSRYD</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8755-2025</t>
        </is>
      </c>
      <c r="B5219" s="1" t="n">
        <v>45712.57320601852</v>
      </c>
      <c r="C5219" s="1" t="n">
        <v>46103</v>
      </c>
      <c r="D5219" t="inlineStr">
        <is>
          <t>KRONOBERGS LÄN</t>
        </is>
      </c>
      <c r="E5219" t="inlineStr">
        <is>
          <t>LJUNGBY</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6206-2025</t>
        </is>
      </c>
      <c r="B5220" s="1" t="n">
        <v>45698.48871527778</v>
      </c>
      <c r="C5220" s="1" t="n">
        <v>46103</v>
      </c>
      <c r="D5220" t="inlineStr">
        <is>
          <t>KRONOBERGS LÄN</t>
        </is>
      </c>
      <c r="E5220" t="inlineStr">
        <is>
          <t>ÄLMHULT</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25241-2023</t>
        </is>
      </c>
      <c r="B5221" s="1" t="n">
        <v>45079</v>
      </c>
      <c r="C5221" s="1" t="n">
        <v>46103</v>
      </c>
      <c r="D5221" t="inlineStr">
        <is>
          <t>KRONOBERGS LÄN</t>
        </is>
      </c>
      <c r="E5221" t="inlineStr">
        <is>
          <t>LJUNGBY</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57111-2022</t>
        </is>
      </c>
      <c r="B5222" s="1" t="n">
        <v>44895.51835648148</v>
      </c>
      <c r="C5222" s="1" t="n">
        <v>46103</v>
      </c>
      <c r="D5222" t="inlineStr">
        <is>
          <t>KRONOBERGS LÄN</t>
        </is>
      </c>
      <c r="E5222" t="inlineStr">
        <is>
          <t>TINGSRYD</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51495-2024</t>
        </is>
      </c>
      <c r="B5223" s="1" t="n">
        <v>45604.54047453704</v>
      </c>
      <c r="C5223" s="1" t="n">
        <v>46103</v>
      </c>
      <c r="D5223" t="inlineStr">
        <is>
          <t>KRONOBERGS LÄN</t>
        </is>
      </c>
      <c r="E5223" t="inlineStr">
        <is>
          <t>LJUNGBY</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35903-2022</t>
        </is>
      </c>
      <c r="B5224" s="1" t="n">
        <v>44802</v>
      </c>
      <c r="C5224" s="1" t="n">
        <v>46103</v>
      </c>
      <c r="D5224" t="inlineStr">
        <is>
          <t>KRONOBERGS LÄN</t>
        </is>
      </c>
      <c r="E5224" t="inlineStr">
        <is>
          <t>LJUNGBY</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61461-2022</t>
        </is>
      </c>
      <c r="B5225" s="1" t="n">
        <v>44916.42804398148</v>
      </c>
      <c r="C5225" s="1" t="n">
        <v>46103</v>
      </c>
      <c r="D5225" t="inlineStr">
        <is>
          <t>KRONOBERGS LÄN</t>
        </is>
      </c>
      <c r="E5225" t="inlineStr">
        <is>
          <t>TINGSRYD</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42014-2023</t>
        </is>
      </c>
      <c r="B5226" s="1" t="n">
        <v>45177.47043981482</v>
      </c>
      <c r="C5226" s="1" t="n">
        <v>46103</v>
      </c>
      <c r="D5226" t="inlineStr">
        <is>
          <t>KRONOBERGS LÄN</t>
        </is>
      </c>
      <c r="E5226" t="inlineStr">
        <is>
          <t>ÄLMHULT</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64865-2023</t>
        </is>
      </c>
      <c r="B5227" s="1" t="n">
        <v>45282.50063657408</v>
      </c>
      <c r="C5227" s="1" t="n">
        <v>46103</v>
      </c>
      <c r="D5227" t="inlineStr">
        <is>
          <t>KRONOBERGS LÄN</t>
        </is>
      </c>
      <c r="E5227" t="inlineStr">
        <is>
          <t>LESSEBO</t>
        </is>
      </c>
      <c r="F5227" t="inlineStr">
        <is>
          <t>Sveaskog</t>
        </is>
      </c>
      <c r="G5227" t="n">
        <v>5.6</v>
      </c>
      <c r="H5227" t="n">
        <v>0</v>
      </c>
      <c r="I5227" t="n">
        <v>0</v>
      </c>
      <c r="J5227" t="n">
        <v>0</v>
      </c>
      <c r="K5227" t="n">
        <v>0</v>
      </c>
      <c r="L5227" t="n">
        <v>0</v>
      </c>
      <c r="M5227" t="n">
        <v>0</v>
      </c>
      <c r="N5227" t="n">
        <v>0</v>
      </c>
      <c r="O5227" t="n">
        <v>0</v>
      </c>
      <c r="P5227" t="n">
        <v>0</v>
      </c>
      <c r="Q5227" t="n">
        <v>0</v>
      </c>
      <c r="R5227" s="2" t="inlineStr"/>
    </row>
    <row r="5228" ht="15" customHeight="1">
      <c r="A5228" t="inlineStr">
        <is>
          <t>A 49263-2023</t>
        </is>
      </c>
      <c r="B5228" s="1" t="n">
        <v>45210.6784837963</v>
      </c>
      <c r="C5228" s="1" t="n">
        <v>46103</v>
      </c>
      <c r="D5228" t="inlineStr">
        <is>
          <t>KRONOBERGS LÄN</t>
        </is>
      </c>
      <c r="E5228" t="inlineStr">
        <is>
          <t>VÄXJÖ</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3516-2025</t>
        </is>
      </c>
      <c r="B5229" s="1" t="n">
        <v>45680.59795138889</v>
      </c>
      <c r="C5229" s="1" t="n">
        <v>46103</v>
      </c>
      <c r="D5229" t="inlineStr">
        <is>
          <t>KRONOBERGS LÄN</t>
        </is>
      </c>
      <c r="E5229" t="inlineStr">
        <is>
          <t>ÄLMHULT</t>
        </is>
      </c>
      <c r="F5229" t="inlineStr">
        <is>
          <t>Sveaskog</t>
        </is>
      </c>
      <c r="G5229" t="n">
        <v>7.2</v>
      </c>
      <c r="H5229" t="n">
        <v>0</v>
      </c>
      <c r="I5229" t="n">
        <v>0</v>
      </c>
      <c r="J5229" t="n">
        <v>0</v>
      </c>
      <c r="K5229" t="n">
        <v>0</v>
      </c>
      <c r="L5229" t="n">
        <v>0</v>
      </c>
      <c r="M5229" t="n">
        <v>0</v>
      </c>
      <c r="N5229" t="n">
        <v>0</v>
      </c>
      <c r="O5229" t="n">
        <v>0</v>
      </c>
      <c r="P5229" t="n">
        <v>0</v>
      </c>
      <c r="Q5229" t="n">
        <v>0</v>
      </c>
      <c r="R5229" s="2" t="inlineStr"/>
    </row>
    <row r="5230" ht="15" customHeight="1">
      <c r="A5230" t="inlineStr">
        <is>
          <t>A 17609-2025</t>
        </is>
      </c>
      <c r="B5230" s="1" t="n">
        <v>45757.77603009259</v>
      </c>
      <c r="C5230" s="1" t="n">
        <v>46103</v>
      </c>
      <c r="D5230" t="inlineStr">
        <is>
          <t>KRONOBERGS LÄN</t>
        </is>
      </c>
      <c r="E5230" t="inlineStr">
        <is>
          <t>LESSEBO</t>
        </is>
      </c>
      <c r="F5230" t="inlineStr">
        <is>
          <t>Sveaskog</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34631-2023</t>
        </is>
      </c>
      <c r="B5231" s="1" t="n">
        <v>45140</v>
      </c>
      <c r="C5231" s="1" t="n">
        <v>46103</v>
      </c>
      <c r="D5231" t="inlineStr">
        <is>
          <t>KRONOBERGS LÄN</t>
        </is>
      </c>
      <c r="E5231" t="inlineStr">
        <is>
          <t>UPPVIDINGE</t>
        </is>
      </c>
      <c r="G5231" t="n">
        <v>4.3</v>
      </c>
      <c r="H5231" t="n">
        <v>0</v>
      </c>
      <c r="I5231" t="n">
        <v>0</v>
      </c>
      <c r="J5231" t="n">
        <v>0</v>
      </c>
      <c r="K5231" t="n">
        <v>0</v>
      </c>
      <c r="L5231" t="n">
        <v>0</v>
      </c>
      <c r="M5231" t="n">
        <v>0</v>
      </c>
      <c r="N5231" t="n">
        <v>0</v>
      </c>
      <c r="O5231" t="n">
        <v>0</v>
      </c>
      <c r="P5231" t="n">
        <v>0</v>
      </c>
      <c r="Q5231" t="n">
        <v>0</v>
      </c>
      <c r="R5231" s="2" t="inlineStr"/>
    </row>
    <row r="5232" ht="15" customHeight="1">
      <c r="A5232" t="inlineStr">
        <is>
          <t>A 14559-2022</t>
        </is>
      </c>
      <c r="B5232" s="1" t="n">
        <v>44655.47528935185</v>
      </c>
      <c r="C5232" s="1" t="n">
        <v>46103</v>
      </c>
      <c r="D5232" t="inlineStr">
        <is>
          <t>KRONOBERGS LÄN</t>
        </is>
      </c>
      <c r="E5232" t="inlineStr">
        <is>
          <t>TINGSRYD</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32978-2023</t>
        </is>
      </c>
      <c r="B5233" s="1" t="n">
        <v>45113</v>
      </c>
      <c r="C5233" s="1" t="n">
        <v>46103</v>
      </c>
      <c r="D5233" t="inlineStr">
        <is>
          <t>KRONOBERGS LÄN</t>
        </is>
      </c>
      <c r="E5233" t="inlineStr">
        <is>
          <t>ALVESTA</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35896-2024</t>
        </is>
      </c>
      <c r="B5234" s="1" t="n">
        <v>45533.38872685185</v>
      </c>
      <c r="C5234" s="1" t="n">
        <v>46103</v>
      </c>
      <c r="D5234" t="inlineStr">
        <is>
          <t>KRONOBERGS LÄN</t>
        </is>
      </c>
      <c r="E5234" t="inlineStr">
        <is>
          <t>VÄXJÖ</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11014-2023</t>
        </is>
      </c>
      <c r="B5235" s="1" t="n">
        <v>44986</v>
      </c>
      <c r="C5235" s="1" t="n">
        <v>46103</v>
      </c>
      <c r="D5235" t="inlineStr">
        <is>
          <t>KRONOBERGS LÄN</t>
        </is>
      </c>
      <c r="E5235" t="inlineStr">
        <is>
          <t>ÄLMHULT</t>
        </is>
      </c>
      <c r="F5235" t="inlineStr">
        <is>
          <t>Kyrkan</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56205-2023</t>
        </is>
      </c>
      <c r="B5236" s="1" t="n">
        <v>45240.67206018518</v>
      </c>
      <c r="C5236" s="1" t="n">
        <v>46103</v>
      </c>
      <c r="D5236" t="inlineStr">
        <is>
          <t>KRONOBERGS LÄN</t>
        </is>
      </c>
      <c r="E5236" t="inlineStr">
        <is>
          <t>LJUNGBY</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11079-2023</t>
        </is>
      </c>
      <c r="B5237" s="1" t="n">
        <v>44986</v>
      </c>
      <c r="C5237" s="1" t="n">
        <v>46103</v>
      </c>
      <c r="D5237" t="inlineStr">
        <is>
          <t>KRONOBERGS LÄN</t>
        </is>
      </c>
      <c r="E5237" t="inlineStr">
        <is>
          <t>VÄXJÖ</t>
        </is>
      </c>
      <c r="G5237" t="n">
        <v>7.3</v>
      </c>
      <c r="H5237" t="n">
        <v>0</v>
      </c>
      <c r="I5237" t="n">
        <v>0</v>
      </c>
      <c r="J5237" t="n">
        <v>0</v>
      </c>
      <c r="K5237" t="n">
        <v>0</v>
      </c>
      <c r="L5237" t="n">
        <v>0</v>
      </c>
      <c r="M5237" t="n">
        <v>0</v>
      </c>
      <c r="N5237" t="n">
        <v>0</v>
      </c>
      <c r="O5237" t="n">
        <v>0</v>
      </c>
      <c r="P5237" t="n">
        <v>0</v>
      </c>
      <c r="Q5237" t="n">
        <v>0</v>
      </c>
      <c r="R5237" s="2" t="inlineStr"/>
    </row>
    <row r="5238" ht="15" customHeight="1">
      <c r="A5238" t="inlineStr">
        <is>
          <t>A 4684-2025</t>
        </is>
      </c>
      <c r="B5238" s="1" t="n">
        <v>45687.94340277778</v>
      </c>
      <c r="C5238" s="1" t="n">
        <v>46103</v>
      </c>
      <c r="D5238" t="inlineStr">
        <is>
          <t>KRONOBERGS LÄN</t>
        </is>
      </c>
      <c r="E5238" t="inlineStr">
        <is>
          <t>VÄXJÖ</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41900-2022</t>
        </is>
      </c>
      <c r="B5239" s="1" t="n">
        <v>44830.34797453704</v>
      </c>
      <c r="C5239" s="1" t="n">
        <v>46103</v>
      </c>
      <c r="D5239" t="inlineStr">
        <is>
          <t>KRONOBERGS LÄN</t>
        </is>
      </c>
      <c r="E5239" t="inlineStr">
        <is>
          <t>LESSEBO</t>
        </is>
      </c>
      <c r="F5239" t="inlineStr">
        <is>
          <t>Sveaskog</t>
        </is>
      </c>
      <c r="G5239" t="n">
        <v>5.2</v>
      </c>
      <c r="H5239" t="n">
        <v>0</v>
      </c>
      <c r="I5239" t="n">
        <v>0</v>
      </c>
      <c r="J5239" t="n">
        <v>0</v>
      </c>
      <c r="K5239" t="n">
        <v>0</v>
      </c>
      <c r="L5239" t="n">
        <v>0</v>
      </c>
      <c r="M5239" t="n">
        <v>0</v>
      </c>
      <c r="N5239" t="n">
        <v>0</v>
      </c>
      <c r="O5239" t="n">
        <v>0</v>
      </c>
      <c r="P5239" t="n">
        <v>0</v>
      </c>
      <c r="Q5239" t="n">
        <v>0</v>
      </c>
      <c r="R5239" s="2" t="inlineStr"/>
    </row>
    <row r="5240" ht="15" customHeight="1">
      <c r="A5240" t="inlineStr">
        <is>
          <t>A 27165-2022</t>
        </is>
      </c>
      <c r="B5240" s="1" t="n">
        <v>44741.5471412037</v>
      </c>
      <c r="C5240" s="1" t="n">
        <v>46103</v>
      </c>
      <c r="D5240" t="inlineStr">
        <is>
          <t>KRONOBERGS LÄN</t>
        </is>
      </c>
      <c r="E5240" t="inlineStr">
        <is>
          <t>VÄXJÖ</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6384-2024</t>
        </is>
      </c>
      <c r="B5241" s="1" t="n">
        <v>45338.5585300926</v>
      </c>
      <c r="C5241" s="1" t="n">
        <v>46103</v>
      </c>
      <c r="D5241" t="inlineStr">
        <is>
          <t>KRONOBERGS LÄN</t>
        </is>
      </c>
      <c r="E5241" t="inlineStr">
        <is>
          <t>VÄXJÖ</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19189-2025</t>
        </is>
      </c>
      <c r="B5242" s="1" t="n">
        <v>45769.41568287037</v>
      </c>
      <c r="C5242" s="1" t="n">
        <v>46103</v>
      </c>
      <c r="D5242" t="inlineStr">
        <is>
          <t>KRONOBERGS LÄN</t>
        </is>
      </c>
      <c r="E5242" t="inlineStr">
        <is>
          <t>UPPVIDINGE</t>
        </is>
      </c>
      <c r="G5242" t="n">
        <v>3.6</v>
      </c>
      <c r="H5242" t="n">
        <v>0</v>
      </c>
      <c r="I5242" t="n">
        <v>0</v>
      </c>
      <c r="J5242" t="n">
        <v>0</v>
      </c>
      <c r="K5242" t="n">
        <v>0</v>
      </c>
      <c r="L5242" t="n">
        <v>0</v>
      </c>
      <c r="M5242" t="n">
        <v>0</v>
      </c>
      <c r="N5242" t="n">
        <v>0</v>
      </c>
      <c r="O5242" t="n">
        <v>0</v>
      </c>
      <c r="P5242" t="n">
        <v>0</v>
      </c>
      <c r="Q5242" t="n">
        <v>0</v>
      </c>
      <c r="R5242" s="2" t="inlineStr"/>
    </row>
    <row r="5243" ht="15" customHeight="1">
      <c r="A5243" t="inlineStr">
        <is>
          <t>A 5629-2023</t>
        </is>
      </c>
      <c r="B5243" s="1" t="n">
        <v>44960.58287037037</v>
      </c>
      <c r="C5243" s="1" t="n">
        <v>46103</v>
      </c>
      <c r="D5243" t="inlineStr">
        <is>
          <t>KRONOBERGS LÄN</t>
        </is>
      </c>
      <c r="E5243" t="inlineStr">
        <is>
          <t>VÄXJÖ</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45100-2022</t>
        </is>
      </c>
      <c r="B5244" s="1" t="n">
        <v>44843.29655092592</v>
      </c>
      <c r="C5244" s="1" t="n">
        <v>46103</v>
      </c>
      <c r="D5244" t="inlineStr">
        <is>
          <t>KRONOBERGS LÄN</t>
        </is>
      </c>
      <c r="E5244" t="inlineStr">
        <is>
          <t>VÄXJÖ</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1356-2023</t>
        </is>
      </c>
      <c r="B5245" s="1" t="n">
        <v>44936.62181712963</v>
      </c>
      <c r="C5245" s="1" t="n">
        <v>46103</v>
      </c>
      <c r="D5245" t="inlineStr">
        <is>
          <t>KRONOBERGS LÄN</t>
        </is>
      </c>
      <c r="E5245" t="inlineStr">
        <is>
          <t>TINGSRYD</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1360-2023</t>
        </is>
      </c>
      <c r="B5246" s="1" t="n">
        <v>44936</v>
      </c>
      <c r="C5246" s="1" t="n">
        <v>46103</v>
      </c>
      <c r="D5246" t="inlineStr">
        <is>
          <t>KRONOBERGS LÄN</t>
        </is>
      </c>
      <c r="E5246" t="inlineStr">
        <is>
          <t>TINGSRYD</t>
        </is>
      </c>
      <c r="G5246" t="n">
        <v>0</v>
      </c>
      <c r="H5246" t="n">
        <v>0</v>
      </c>
      <c r="I5246" t="n">
        <v>0</v>
      </c>
      <c r="J5246" t="n">
        <v>0</v>
      </c>
      <c r="K5246" t="n">
        <v>0</v>
      </c>
      <c r="L5246" t="n">
        <v>0</v>
      </c>
      <c r="M5246" t="n">
        <v>0</v>
      </c>
      <c r="N5246" t="n">
        <v>0</v>
      </c>
      <c r="O5246" t="n">
        <v>0</v>
      </c>
      <c r="P5246" t="n">
        <v>0</v>
      </c>
      <c r="Q5246" t="n">
        <v>0</v>
      </c>
      <c r="R5246" s="2" t="inlineStr"/>
    </row>
    <row r="5247" ht="15" customHeight="1">
      <c r="A5247" t="inlineStr">
        <is>
          <t>A 38227-2023</t>
        </is>
      </c>
      <c r="B5247" s="1" t="n">
        <v>45161.55212962963</v>
      </c>
      <c r="C5247" s="1" t="n">
        <v>46103</v>
      </c>
      <c r="D5247" t="inlineStr">
        <is>
          <t>KRONOBERGS LÄN</t>
        </is>
      </c>
      <c r="E5247" t="inlineStr">
        <is>
          <t>LESSEBO</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38246-2023</t>
        </is>
      </c>
      <c r="B5248" s="1" t="n">
        <v>45160</v>
      </c>
      <c r="C5248" s="1" t="n">
        <v>46103</v>
      </c>
      <c r="D5248" t="inlineStr">
        <is>
          <t>KRONOBERGS LÄN</t>
        </is>
      </c>
      <c r="E5248" t="inlineStr">
        <is>
          <t>TINGSRYD</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18704-2024</t>
        </is>
      </c>
      <c r="B5249" s="1" t="n">
        <v>45426.43824074074</v>
      </c>
      <c r="C5249" s="1" t="n">
        <v>46103</v>
      </c>
      <c r="D5249" t="inlineStr">
        <is>
          <t>KRONOBERGS LÄN</t>
        </is>
      </c>
      <c r="E5249" t="inlineStr">
        <is>
          <t>TINGSRYD</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21421-2024</t>
        </is>
      </c>
      <c r="B5250" s="1" t="n">
        <v>45441</v>
      </c>
      <c r="C5250" s="1" t="n">
        <v>46103</v>
      </c>
      <c r="D5250" t="inlineStr">
        <is>
          <t>KRONOBERGS LÄN</t>
        </is>
      </c>
      <c r="E5250" t="inlineStr">
        <is>
          <t>LJUNGBY</t>
        </is>
      </c>
      <c r="G5250" t="n">
        <v>0.4</v>
      </c>
      <c r="H5250" t="n">
        <v>0</v>
      </c>
      <c r="I5250" t="n">
        <v>0</v>
      </c>
      <c r="J5250" t="n">
        <v>0</v>
      </c>
      <c r="K5250" t="n">
        <v>0</v>
      </c>
      <c r="L5250" t="n">
        <v>0</v>
      </c>
      <c r="M5250" t="n">
        <v>0</v>
      </c>
      <c r="N5250" t="n">
        <v>0</v>
      </c>
      <c r="O5250" t="n">
        <v>0</v>
      </c>
      <c r="P5250" t="n">
        <v>0</v>
      </c>
      <c r="Q5250" t="n">
        <v>0</v>
      </c>
      <c r="R5250" s="2" t="inlineStr"/>
    </row>
    <row r="5251" ht="15" customHeight="1">
      <c r="A5251" t="inlineStr">
        <is>
          <t>A 48731-2024</t>
        </is>
      </c>
      <c r="B5251" s="1" t="n">
        <v>45593</v>
      </c>
      <c r="C5251" s="1" t="n">
        <v>46103</v>
      </c>
      <c r="D5251" t="inlineStr">
        <is>
          <t>KRONOBERGS LÄN</t>
        </is>
      </c>
      <c r="E5251" t="inlineStr">
        <is>
          <t>LJUNGBY</t>
        </is>
      </c>
      <c r="F5251" t="inlineStr">
        <is>
          <t>Sveaskog</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40966-2022</t>
        </is>
      </c>
      <c r="B5252" s="1" t="n">
        <v>44825.46825231481</v>
      </c>
      <c r="C5252" s="1" t="n">
        <v>46103</v>
      </c>
      <c r="D5252" t="inlineStr">
        <is>
          <t>KRONOBERGS LÄN</t>
        </is>
      </c>
      <c r="E5252" t="inlineStr">
        <is>
          <t>LJUNGBY</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59621-2023</t>
        </is>
      </c>
      <c r="B5253" s="1" t="n">
        <v>45254.66193287037</v>
      </c>
      <c r="C5253" s="1" t="n">
        <v>46103</v>
      </c>
      <c r="D5253" t="inlineStr">
        <is>
          <t>KRONOBERGS LÄN</t>
        </is>
      </c>
      <c r="E5253" t="inlineStr">
        <is>
          <t>ALVESTA</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15412-2024</t>
        </is>
      </c>
      <c r="B5254" s="1" t="n">
        <v>45401.35483796296</v>
      </c>
      <c r="C5254" s="1" t="n">
        <v>46103</v>
      </c>
      <c r="D5254" t="inlineStr">
        <is>
          <t>KRONOBERGS LÄN</t>
        </is>
      </c>
      <c r="E5254" t="inlineStr">
        <is>
          <t>TINGSRYD</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890-2025</t>
        </is>
      </c>
      <c r="B5255" s="1" t="n">
        <v>45665.6562962963</v>
      </c>
      <c r="C5255" s="1" t="n">
        <v>46103</v>
      </c>
      <c r="D5255" t="inlineStr">
        <is>
          <t>KRONOBERGS LÄN</t>
        </is>
      </c>
      <c r="E5255" t="inlineStr">
        <is>
          <t>VÄXJÖ</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28507-2022</t>
        </is>
      </c>
      <c r="B5256" s="1" t="n">
        <v>44748.32592592593</v>
      </c>
      <c r="C5256" s="1" t="n">
        <v>46103</v>
      </c>
      <c r="D5256" t="inlineStr">
        <is>
          <t>KRONOBERGS LÄN</t>
        </is>
      </c>
      <c r="E5256" t="inlineStr">
        <is>
          <t>TINGSRYD</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33115-2021</t>
        </is>
      </c>
      <c r="B5257" s="1" t="n">
        <v>44376</v>
      </c>
      <c r="C5257" s="1" t="n">
        <v>46103</v>
      </c>
      <c r="D5257" t="inlineStr">
        <is>
          <t>KRONOBERGS LÄN</t>
        </is>
      </c>
      <c r="E5257" t="inlineStr">
        <is>
          <t>LJUNGBY</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31516-2021</t>
        </is>
      </c>
      <c r="B5258" s="1" t="n">
        <v>44369.46261574074</v>
      </c>
      <c r="C5258" s="1" t="n">
        <v>46103</v>
      </c>
      <c r="D5258" t="inlineStr">
        <is>
          <t>KRONOBERGS LÄN</t>
        </is>
      </c>
      <c r="E5258" t="inlineStr">
        <is>
          <t>UPPVIDINGE</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41485-2023</t>
        </is>
      </c>
      <c r="B5259" s="1" t="n">
        <v>45175</v>
      </c>
      <c r="C5259" s="1" t="n">
        <v>46103</v>
      </c>
      <c r="D5259" t="inlineStr">
        <is>
          <t>KRONOBERGS LÄN</t>
        </is>
      </c>
      <c r="E5259" t="inlineStr">
        <is>
          <t>ÄLMHULT</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7706-2024</t>
        </is>
      </c>
      <c r="B5260" s="1" t="n">
        <v>45349</v>
      </c>
      <c r="C5260" s="1" t="n">
        <v>46103</v>
      </c>
      <c r="D5260" t="inlineStr">
        <is>
          <t>KRONOBERGS LÄN</t>
        </is>
      </c>
      <c r="E5260" t="inlineStr">
        <is>
          <t>ALVESTA</t>
        </is>
      </c>
      <c r="G5260" t="n">
        <v>0.3</v>
      </c>
      <c r="H5260" t="n">
        <v>0</v>
      </c>
      <c r="I5260" t="n">
        <v>0</v>
      </c>
      <c r="J5260" t="n">
        <v>0</v>
      </c>
      <c r="K5260" t="n">
        <v>0</v>
      </c>
      <c r="L5260" t="n">
        <v>0</v>
      </c>
      <c r="M5260" t="n">
        <v>0</v>
      </c>
      <c r="N5260" t="n">
        <v>0</v>
      </c>
      <c r="O5260" t="n">
        <v>0</v>
      </c>
      <c r="P5260" t="n">
        <v>0</v>
      </c>
      <c r="Q5260" t="n">
        <v>0</v>
      </c>
      <c r="R5260" s="2" t="inlineStr"/>
    </row>
    <row r="5261" ht="15" customHeight="1">
      <c r="A5261" t="inlineStr">
        <is>
          <t>A 2836-2025</t>
        </is>
      </c>
      <c r="B5261" s="1" t="n">
        <v>45677.64241898148</v>
      </c>
      <c r="C5261" s="1" t="n">
        <v>46103</v>
      </c>
      <c r="D5261" t="inlineStr">
        <is>
          <t>KRONOBERGS LÄN</t>
        </is>
      </c>
      <c r="E5261" t="inlineStr">
        <is>
          <t>ÄLMHULT</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34465-2023</t>
        </is>
      </c>
      <c r="B5262" s="1" t="n">
        <v>45139</v>
      </c>
      <c r="C5262" s="1" t="n">
        <v>46103</v>
      </c>
      <c r="D5262" t="inlineStr">
        <is>
          <t>KRONOBERGS LÄN</t>
        </is>
      </c>
      <c r="E5262" t="inlineStr">
        <is>
          <t>TINGSRYD</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60370-2021</t>
        </is>
      </c>
      <c r="B5263" s="1" t="n">
        <v>44496</v>
      </c>
      <c r="C5263" s="1" t="n">
        <v>46103</v>
      </c>
      <c r="D5263" t="inlineStr">
        <is>
          <t>KRONOBERGS LÄN</t>
        </is>
      </c>
      <c r="E5263" t="inlineStr">
        <is>
          <t>UPPVIDINGE</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40183-2022</t>
        </is>
      </c>
      <c r="B5264" s="1" t="n">
        <v>44820</v>
      </c>
      <c r="C5264" s="1" t="n">
        <v>46103</v>
      </c>
      <c r="D5264" t="inlineStr">
        <is>
          <t>KRONOBERGS LÄN</t>
        </is>
      </c>
      <c r="E5264" t="inlineStr">
        <is>
          <t>TINGSRYD</t>
        </is>
      </c>
      <c r="G5264" t="n">
        <v>4.9</v>
      </c>
      <c r="H5264" t="n">
        <v>0</v>
      </c>
      <c r="I5264" t="n">
        <v>0</v>
      </c>
      <c r="J5264" t="n">
        <v>0</v>
      </c>
      <c r="K5264" t="n">
        <v>0</v>
      </c>
      <c r="L5264" t="n">
        <v>0</v>
      </c>
      <c r="M5264" t="n">
        <v>0</v>
      </c>
      <c r="N5264" t="n">
        <v>0</v>
      </c>
      <c r="O5264" t="n">
        <v>0</v>
      </c>
      <c r="P5264" t="n">
        <v>0</v>
      </c>
      <c r="Q5264" t="n">
        <v>0</v>
      </c>
      <c r="R5264" s="2" t="inlineStr"/>
    </row>
    <row r="5265" ht="15" customHeight="1">
      <c r="A5265" t="inlineStr">
        <is>
          <t>A 29140-2024</t>
        </is>
      </c>
      <c r="B5265" s="1" t="n">
        <v>45482.41107638889</v>
      </c>
      <c r="C5265" s="1" t="n">
        <v>46103</v>
      </c>
      <c r="D5265" t="inlineStr">
        <is>
          <t>KRONOBERGS LÄN</t>
        </is>
      </c>
      <c r="E5265" t="inlineStr">
        <is>
          <t>VÄXJÖ</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37028-2023</t>
        </is>
      </c>
      <c r="B5266" s="1" t="n">
        <v>45155</v>
      </c>
      <c r="C5266" s="1" t="n">
        <v>46103</v>
      </c>
      <c r="D5266" t="inlineStr">
        <is>
          <t>KRONOBERGS LÄN</t>
        </is>
      </c>
      <c r="E5266" t="inlineStr">
        <is>
          <t>UPPVIDINGE</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19143-2025</t>
        </is>
      </c>
      <c r="B5267" s="1" t="n">
        <v>45769.33756944445</v>
      </c>
      <c r="C5267" s="1" t="n">
        <v>46103</v>
      </c>
      <c r="D5267" t="inlineStr">
        <is>
          <t>KRONOBERGS LÄN</t>
        </is>
      </c>
      <c r="E5267" t="inlineStr">
        <is>
          <t>LJUNGBY</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32121-2023</t>
        </is>
      </c>
      <c r="B5268" s="1" t="n">
        <v>45119.63947916667</v>
      </c>
      <c r="C5268" s="1" t="n">
        <v>46103</v>
      </c>
      <c r="D5268" t="inlineStr">
        <is>
          <t>KRONOBERGS LÄN</t>
        </is>
      </c>
      <c r="E5268" t="inlineStr">
        <is>
          <t>LJUNGBY</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25319-2024</t>
        </is>
      </c>
      <c r="B5269" s="1" t="n">
        <v>45462.72221064815</v>
      </c>
      <c r="C5269" s="1" t="n">
        <v>46103</v>
      </c>
      <c r="D5269" t="inlineStr">
        <is>
          <t>KRONOBERGS LÄN</t>
        </is>
      </c>
      <c r="E5269" t="inlineStr">
        <is>
          <t>ÄLMHULT</t>
        </is>
      </c>
      <c r="G5269" t="n">
        <v>3.4</v>
      </c>
      <c r="H5269" t="n">
        <v>0</v>
      </c>
      <c r="I5269" t="n">
        <v>0</v>
      </c>
      <c r="J5269" t="n">
        <v>0</v>
      </c>
      <c r="K5269" t="n">
        <v>0</v>
      </c>
      <c r="L5269" t="n">
        <v>0</v>
      </c>
      <c r="M5269" t="n">
        <v>0</v>
      </c>
      <c r="N5269" t="n">
        <v>0</v>
      </c>
      <c r="O5269" t="n">
        <v>0</v>
      </c>
      <c r="P5269" t="n">
        <v>0</v>
      </c>
      <c r="Q5269" t="n">
        <v>0</v>
      </c>
      <c r="R5269" s="2" t="inlineStr"/>
    </row>
    <row r="5270" ht="15" customHeight="1">
      <c r="A5270" t="inlineStr">
        <is>
          <t>A 52519-2022</t>
        </is>
      </c>
      <c r="B5270" s="1" t="n">
        <v>44874</v>
      </c>
      <c r="C5270" s="1" t="n">
        <v>46103</v>
      </c>
      <c r="D5270" t="inlineStr">
        <is>
          <t>KRONOBERGS LÄN</t>
        </is>
      </c>
      <c r="E5270" t="inlineStr">
        <is>
          <t>VÄXJÖ</t>
        </is>
      </c>
      <c r="G5270" t="n">
        <v>4.1</v>
      </c>
      <c r="H5270" t="n">
        <v>0</v>
      </c>
      <c r="I5270" t="n">
        <v>0</v>
      </c>
      <c r="J5270" t="n">
        <v>0</v>
      </c>
      <c r="K5270" t="n">
        <v>0</v>
      </c>
      <c r="L5270" t="n">
        <v>0</v>
      </c>
      <c r="M5270" t="n">
        <v>0</v>
      </c>
      <c r="N5270" t="n">
        <v>0</v>
      </c>
      <c r="O5270" t="n">
        <v>0</v>
      </c>
      <c r="P5270" t="n">
        <v>0</v>
      </c>
      <c r="Q5270" t="n">
        <v>0</v>
      </c>
      <c r="R5270" s="2" t="inlineStr"/>
    </row>
    <row r="5271" ht="15" customHeight="1">
      <c r="A5271" t="inlineStr">
        <is>
          <t>A 52545-2022</t>
        </is>
      </c>
      <c r="B5271" s="1" t="n">
        <v>44874.58840277778</v>
      </c>
      <c r="C5271" s="1" t="n">
        <v>46103</v>
      </c>
      <c r="D5271" t="inlineStr">
        <is>
          <t>KRONOBERGS LÄN</t>
        </is>
      </c>
      <c r="E5271" t="inlineStr">
        <is>
          <t>VÄXJÖ</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24323-2023</t>
        </is>
      </c>
      <c r="B5272" s="1" t="n">
        <v>45080</v>
      </c>
      <c r="C5272" s="1" t="n">
        <v>46103</v>
      </c>
      <c r="D5272" t="inlineStr">
        <is>
          <t>KRONOBERGS LÄN</t>
        </is>
      </c>
      <c r="E5272" t="inlineStr">
        <is>
          <t>MARKARYD</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24333-2023</t>
        </is>
      </c>
      <c r="B5273" s="1" t="n">
        <v>45081</v>
      </c>
      <c r="C5273" s="1" t="n">
        <v>46103</v>
      </c>
      <c r="D5273" t="inlineStr">
        <is>
          <t>KRONOBERGS LÄN</t>
        </is>
      </c>
      <c r="E5273" t="inlineStr">
        <is>
          <t>ÄLMHULT</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63369-2023</t>
        </is>
      </c>
      <c r="B5274" s="1" t="n">
        <v>45273</v>
      </c>
      <c r="C5274" s="1" t="n">
        <v>46103</v>
      </c>
      <c r="D5274" t="inlineStr">
        <is>
          <t>KRONOBERGS LÄN</t>
        </is>
      </c>
      <c r="E5274" t="inlineStr">
        <is>
          <t>LJUNGBY</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63395-2023</t>
        </is>
      </c>
      <c r="B5275" s="1" t="n">
        <v>45274</v>
      </c>
      <c r="C5275" s="1" t="n">
        <v>46103</v>
      </c>
      <c r="D5275" t="inlineStr">
        <is>
          <t>KRONOBERGS LÄN</t>
        </is>
      </c>
      <c r="E5275" t="inlineStr">
        <is>
          <t>LJUNGBY</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24334-2023</t>
        </is>
      </c>
      <c r="B5276" s="1" t="n">
        <v>45081</v>
      </c>
      <c r="C5276" s="1" t="n">
        <v>46103</v>
      </c>
      <c r="D5276" t="inlineStr">
        <is>
          <t>KRONOBERGS LÄN</t>
        </is>
      </c>
      <c r="E5276" t="inlineStr">
        <is>
          <t>LJUNGBY</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4819-2025</t>
        </is>
      </c>
      <c r="B5277" s="1" t="n">
        <v>45688.62399305555</v>
      </c>
      <c r="C5277" s="1" t="n">
        <v>46103</v>
      </c>
      <c r="D5277" t="inlineStr">
        <is>
          <t>KRONOBERGS LÄN</t>
        </is>
      </c>
      <c r="E5277" t="inlineStr">
        <is>
          <t>VÄXJÖ</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15731-2023</t>
        </is>
      </c>
      <c r="B5278" s="1" t="n">
        <v>45021.58115740741</v>
      </c>
      <c r="C5278" s="1" t="n">
        <v>46103</v>
      </c>
      <c r="D5278" t="inlineStr">
        <is>
          <t>KRONOBERGS LÄN</t>
        </is>
      </c>
      <c r="E5278" t="inlineStr">
        <is>
          <t>MARKARYD</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53629-2024</t>
        </is>
      </c>
      <c r="B5279" s="1" t="n">
        <v>45614.80997685185</v>
      </c>
      <c r="C5279" s="1" t="n">
        <v>46103</v>
      </c>
      <c r="D5279" t="inlineStr">
        <is>
          <t>KRONOBERGS LÄN</t>
        </is>
      </c>
      <c r="E5279" t="inlineStr">
        <is>
          <t>MARKARYD</t>
        </is>
      </c>
      <c r="G5279" t="n">
        <v>10.5</v>
      </c>
      <c r="H5279" t="n">
        <v>0</v>
      </c>
      <c r="I5279" t="n">
        <v>0</v>
      </c>
      <c r="J5279" t="n">
        <v>0</v>
      </c>
      <c r="K5279" t="n">
        <v>0</v>
      </c>
      <c r="L5279" t="n">
        <v>0</v>
      </c>
      <c r="M5279" t="n">
        <v>0</v>
      </c>
      <c r="N5279" t="n">
        <v>0</v>
      </c>
      <c r="O5279" t="n">
        <v>0</v>
      </c>
      <c r="P5279" t="n">
        <v>0</v>
      </c>
      <c r="Q5279" t="n">
        <v>0</v>
      </c>
      <c r="R5279" s="2" t="inlineStr"/>
    </row>
    <row r="5280" ht="15" customHeight="1">
      <c r="A5280" t="inlineStr">
        <is>
          <t>A 24003-2023</t>
        </is>
      </c>
      <c r="B5280" s="1" t="n">
        <v>45078.66384259259</v>
      </c>
      <c r="C5280" s="1" t="n">
        <v>46103</v>
      </c>
      <c r="D5280" t="inlineStr">
        <is>
          <t>KRONOBERGS LÄN</t>
        </is>
      </c>
      <c r="E5280" t="inlineStr">
        <is>
          <t>TINGSRYD</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24015-2023</t>
        </is>
      </c>
      <c r="B5281" s="1" t="n">
        <v>45078</v>
      </c>
      <c r="C5281" s="1" t="n">
        <v>46103</v>
      </c>
      <c r="D5281" t="inlineStr">
        <is>
          <t>KRONOBERGS LÄN</t>
        </is>
      </c>
      <c r="E5281" t="inlineStr">
        <is>
          <t>TINGSRYD</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38611-2023</t>
        </is>
      </c>
      <c r="B5282" s="1" t="n">
        <v>45162.65574074074</v>
      </c>
      <c r="C5282" s="1" t="n">
        <v>46103</v>
      </c>
      <c r="D5282" t="inlineStr">
        <is>
          <t>KRONOBERGS LÄN</t>
        </is>
      </c>
      <c r="E5282" t="inlineStr">
        <is>
          <t>LJUNGBY</t>
        </is>
      </c>
      <c r="F5282" t="inlineStr">
        <is>
          <t>Sveaskog</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56589-2022</t>
        </is>
      </c>
      <c r="B5283" s="1" t="n">
        <v>44893.55828703703</v>
      </c>
      <c r="C5283" s="1" t="n">
        <v>46103</v>
      </c>
      <c r="D5283" t="inlineStr">
        <is>
          <t>KRONOBERGS LÄN</t>
        </is>
      </c>
      <c r="E5283" t="inlineStr">
        <is>
          <t>ALVESTA</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42685-2021</t>
        </is>
      </c>
      <c r="B5284" s="1" t="n">
        <v>44428</v>
      </c>
      <c r="C5284" s="1" t="n">
        <v>46103</v>
      </c>
      <c r="D5284" t="inlineStr">
        <is>
          <t>KRONOBERGS LÄN</t>
        </is>
      </c>
      <c r="E5284" t="inlineStr">
        <is>
          <t>VÄXJÖ</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5762-2023</t>
        </is>
      </c>
      <c r="B5285" s="1" t="n">
        <v>44963</v>
      </c>
      <c r="C5285" s="1" t="n">
        <v>46103</v>
      </c>
      <c r="D5285" t="inlineStr">
        <is>
          <t>KRONOBERGS LÄN</t>
        </is>
      </c>
      <c r="E5285" t="inlineStr">
        <is>
          <t>VÄXJÖ</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25427-2024</t>
        </is>
      </c>
      <c r="B5286" s="1" t="n">
        <v>45463</v>
      </c>
      <c r="C5286" s="1" t="n">
        <v>46103</v>
      </c>
      <c r="D5286" t="inlineStr">
        <is>
          <t>KRONOBERGS LÄN</t>
        </is>
      </c>
      <c r="E5286" t="inlineStr">
        <is>
          <t>LJUNGBY</t>
        </is>
      </c>
      <c r="F5286" t="inlineStr">
        <is>
          <t>Sveaskog</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29584-2023</t>
        </is>
      </c>
      <c r="B5287" s="1" t="n">
        <v>45106.82878472222</v>
      </c>
      <c r="C5287" s="1" t="n">
        <v>46103</v>
      </c>
      <c r="D5287" t="inlineStr">
        <is>
          <t>KRONOBERGS LÄN</t>
        </is>
      </c>
      <c r="E5287" t="inlineStr">
        <is>
          <t>TINGSRYD</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31641-2024</t>
        </is>
      </c>
      <c r="B5288" s="1" t="n">
        <v>45506.59847222222</v>
      </c>
      <c r="C5288" s="1" t="n">
        <v>46103</v>
      </c>
      <c r="D5288" t="inlineStr">
        <is>
          <t>KRONOBERGS LÄN</t>
        </is>
      </c>
      <c r="E5288" t="inlineStr">
        <is>
          <t>UPPVIDINGE</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49940-2023</t>
        </is>
      </c>
      <c r="B5289" s="1" t="n">
        <v>45215.35358796296</v>
      </c>
      <c r="C5289" s="1" t="n">
        <v>46103</v>
      </c>
      <c r="D5289" t="inlineStr">
        <is>
          <t>KRONOBERGS LÄN</t>
        </is>
      </c>
      <c r="E5289" t="inlineStr">
        <is>
          <t>TINGSRYD</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30012-2023</t>
        </is>
      </c>
      <c r="B5290" s="1" t="n">
        <v>45109.84163194444</v>
      </c>
      <c r="C5290" s="1" t="n">
        <v>46103</v>
      </c>
      <c r="D5290" t="inlineStr">
        <is>
          <t>KRONOBERGS LÄN</t>
        </is>
      </c>
      <c r="E5290" t="inlineStr">
        <is>
          <t>TINGSRYD</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16810-2022</t>
        </is>
      </c>
      <c r="B5291" s="1" t="n">
        <v>44673.64371527778</v>
      </c>
      <c r="C5291" s="1" t="n">
        <v>46103</v>
      </c>
      <c r="D5291" t="inlineStr">
        <is>
          <t>KRONOBERGS LÄN</t>
        </is>
      </c>
      <c r="E5291" t="inlineStr">
        <is>
          <t>TINGSRYD</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29387-2024</t>
        </is>
      </c>
      <c r="B5292" s="1" t="n">
        <v>45483.61537037037</v>
      </c>
      <c r="C5292" s="1" t="n">
        <v>46103</v>
      </c>
      <c r="D5292" t="inlineStr">
        <is>
          <t>KRONOBERGS LÄN</t>
        </is>
      </c>
      <c r="E5292" t="inlineStr">
        <is>
          <t>ALVESTA</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39380-2023</t>
        </is>
      </c>
      <c r="B5293" s="1" t="n">
        <v>45166.64127314815</v>
      </c>
      <c r="C5293" s="1" t="n">
        <v>46103</v>
      </c>
      <c r="D5293" t="inlineStr">
        <is>
          <t>KRONOBERGS LÄN</t>
        </is>
      </c>
      <c r="E5293" t="inlineStr">
        <is>
          <t>ÄLMHULT</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6183-2022</t>
        </is>
      </c>
      <c r="B5294" s="1" t="n">
        <v>44600</v>
      </c>
      <c r="C5294" s="1" t="n">
        <v>46103</v>
      </c>
      <c r="D5294" t="inlineStr">
        <is>
          <t>KRONOBERGS LÄN</t>
        </is>
      </c>
      <c r="E5294" t="inlineStr">
        <is>
          <t>VÄXJÖ</t>
        </is>
      </c>
      <c r="F5294" t="inlineStr">
        <is>
          <t>Kyrkan</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4795-2024</t>
        </is>
      </c>
      <c r="B5295" s="1" t="n">
        <v>45328</v>
      </c>
      <c r="C5295" s="1" t="n">
        <v>46103</v>
      </c>
      <c r="D5295" t="inlineStr">
        <is>
          <t>KRONOBERGS LÄN</t>
        </is>
      </c>
      <c r="E5295" t="inlineStr">
        <is>
          <t>TINGSRYD</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17055-2024</t>
        </is>
      </c>
      <c r="B5296" s="1" t="n">
        <v>45412.44925925926</v>
      </c>
      <c r="C5296" s="1" t="n">
        <v>46103</v>
      </c>
      <c r="D5296" t="inlineStr">
        <is>
          <t>KRONOBERGS LÄN</t>
        </is>
      </c>
      <c r="E5296" t="inlineStr">
        <is>
          <t>VÄXJÖ</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17060-2024</t>
        </is>
      </c>
      <c r="B5297" s="1" t="n">
        <v>45412.45357638889</v>
      </c>
      <c r="C5297" s="1" t="n">
        <v>46103</v>
      </c>
      <c r="D5297" t="inlineStr">
        <is>
          <t>KRONOBERGS LÄN</t>
        </is>
      </c>
      <c r="E5297" t="inlineStr">
        <is>
          <t>VÄXJÖ</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49442-2024</t>
        </is>
      </c>
      <c r="B5298" s="1" t="n">
        <v>45595.89636574074</v>
      </c>
      <c r="C5298" s="1" t="n">
        <v>46103</v>
      </c>
      <c r="D5298" t="inlineStr">
        <is>
          <t>KRONOBERGS LÄN</t>
        </is>
      </c>
      <c r="E5298" t="inlineStr">
        <is>
          <t>ÄLMHULT</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12818-2025</t>
        </is>
      </c>
      <c r="B5299" s="1" t="n">
        <v>45733.62466435185</v>
      </c>
      <c r="C5299" s="1" t="n">
        <v>46103</v>
      </c>
      <c r="D5299" t="inlineStr">
        <is>
          <t>KRONOBERGS LÄN</t>
        </is>
      </c>
      <c r="E5299" t="inlineStr">
        <is>
          <t>ALVESTA</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7897-2024</t>
        </is>
      </c>
      <c r="B5300" s="1" t="n">
        <v>45350</v>
      </c>
      <c r="C5300" s="1" t="n">
        <v>46103</v>
      </c>
      <c r="D5300" t="inlineStr">
        <is>
          <t>KRONOBERGS LÄN</t>
        </is>
      </c>
      <c r="E5300" t="inlineStr">
        <is>
          <t>UPPVIDINGE</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7979-2024</t>
        </is>
      </c>
      <c r="B5301" s="1" t="n">
        <v>45348</v>
      </c>
      <c r="C5301" s="1" t="n">
        <v>46103</v>
      </c>
      <c r="D5301" t="inlineStr">
        <is>
          <t>KRONOBERGS LÄN</t>
        </is>
      </c>
      <c r="E5301" t="inlineStr">
        <is>
          <t>UPPVIDINGE</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48152-2023</t>
        </is>
      </c>
      <c r="B5302" s="1" t="n">
        <v>45205</v>
      </c>
      <c r="C5302" s="1" t="n">
        <v>46103</v>
      </c>
      <c r="D5302" t="inlineStr">
        <is>
          <t>KRONOBERGS LÄN</t>
        </is>
      </c>
      <c r="E5302" t="inlineStr">
        <is>
          <t>LJUNGBY</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2253-2023</t>
        </is>
      </c>
      <c r="B5303" s="1" t="n">
        <v>44942</v>
      </c>
      <c r="C5303" s="1" t="n">
        <v>46103</v>
      </c>
      <c r="D5303" t="inlineStr">
        <is>
          <t>KRONOBERGS LÄN</t>
        </is>
      </c>
      <c r="E5303" t="inlineStr">
        <is>
          <t>ÄLMHULT</t>
        </is>
      </c>
      <c r="G5303" t="n">
        <v>0</v>
      </c>
      <c r="H5303" t="n">
        <v>0</v>
      </c>
      <c r="I5303" t="n">
        <v>0</v>
      </c>
      <c r="J5303" t="n">
        <v>0</v>
      </c>
      <c r="K5303" t="n">
        <v>0</v>
      </c>
      <c r="L5303" t="n">
        <v>0</v>
      </c>
      <c r="M5303" t="n">
        <v>0</v>
      </c>
      <c r="N5303" t="n">
        <v>0</v>
      </c>
      <c r="O5303" t="n">
        <v>0</v>
      </c>
      <c r="P5303" t="n">
        <v>0</v>
      </c>
      <c r="Q5303" t="n">
        <v>0</v>
      </c>
      <c r="R5303" s="2" t="inlineStr"/>
    </row>
    <row r="5304" ht="15" customHeight="1">
      <c r="A5304" t="inlineStr">
        <is>
          <t>A 13801-2024</t>
        </is>
      </c>
      <c r="B5304" s="1" t="n">
        <v>45391.3859837963</v>
      </c>
      <c r="C5304" s="1" t="n">
        <v>46103</v>
      </c>
      <c r="D5304" t="inlineStr">
        <is>
          <t>KRONOBERGS LÄN</t>
        </is>
      </c>
      <c r="E5304" t="inlineStr">
        <is>
          <t>ÄLMHULT</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17470-2025</t>
        </is>
      </c>
      <c r="B5305" s="1" t="n">
        <v>45757.4737037037</v>
      </c>
      <c r="C5305" s="1" t="n">
        <v>46103</v>
      </c>
      <c r="D5305" t="inlineStr">
        <is>
          <t>KRONOBERGS LÄN</t>
        </is>
      </c>
      <c r="E5305" t="inlineStr">
        <is>
          <t>VÄXJÖ</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3058-2024</t>
        </is>
      </c>
      <c r="B5306" s="1" t="n">
        <v>45316</v>
      </c>
      <c r="C5306" s="1" t="n">
        <v>46103</v>
      </c>
      <c r="D5306" t="inlineStr">
        <is>
          <t>KRONOBERGS LÄN</t>
        </is>
      </c>
      <c r="E5306" t="inlineStr">
        <is>
          <t>VÄXJÖ</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3067-2024</t>
        </is>
      </c>
      <c r="B5307" s="1" t="n">
        <v>45316.41688657407</v>
      </c>
      <c r="C5307" s="1" t="n">
        <v>46103</v>
      </c>
      <c r="D5307" t="inlineStr">
        <is>
          <t>KRONOBERGS LÄN</t>
        </is>
      </c>
      <c r="E5307" t="inlineStr">
        <is>
          <t>VÄXJÖ</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2864-2023</t>
        </is>
      </c>
      <c r="B5308" s="1" t="n">
        <v>44945.43136574074</v>
      </c>
      <c r="C5308" s="1" t="n">
        <v>46103</v>
      </c>
      <c r="D5308" t="inlineStr">
        <is>
          <t>KRONOBERGS LÄN</t>
        </is>
      </c>
      <c r="E5308" t="inlineStr">
        <is>
          <t>TINGSRYD</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35332-2022</t>
        </is>
      </c>
      <c r="B5309" s="1" t="n">
        <v>44798</v>
      </c>
      <c r="C5309" s="1" t="n">
        <v>46103</v>
      </c>
      <c r="D5309" t="inlineStr">
        <is>
          <t>KRONOBERGS LÄN</t>
        </is>
      </c>
      <c r="E5309" t="inlineStr">
        <is>
          <t>LESSEBO</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24786-2022</t>
        </is>
      </c>
      <c r="B5310" s="1" t="n">
        <v>44728</v>
      </c>
      <c r="C5310" s="1" t="n">
        <v>46103</v>
      </c>
      <c r="D5310" t="inlineStr">
        <is>
          <t>KRONOBERGS LÄN</t>
        </is>
      </c>
      <c r="E5310" t="inlineStr">
        <is>
          <t>TINGSRYD</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14125-2023</t>
        </is>
      </c>
      <c r="B5311" s="1" t="n">
        <v>45007</v>
      </c>
      <c r="C5311" s="1" t="n">
        <v>46103</v>
      </c>
      <c r="D5311" t="inlineStr">
        <is>
          <t>KRONOBERGS LÄN</t>
        </is>
      </c>
      <c r="E5311" t="inlineStr">
        <is>
          <t>TINGSRYD</t>
        </is>
      </c>
      <c r="G5311" t="n">
        <v>10.5</v>
      </c>
      <c r="H5311" t="n">
        <v>0</v>
      </c>
      <c r="I5311" t="n">
        <v>0</v>
      </c>
      <c r="J5311" t="n">
        <v>0</v>
      </c>
      <c r="K5311" t="n">
        <v>0</v>
      </c>
      <c r="L5311" t="n">
        <v>0</v>
      </c>
      <c r="M5311" t="n">
        <v>0</v>
      </c>
      <c r="N5311" t="n">
        <v>0</v>
      </c>
      <c r="O5311" t="n">
        <v>0</v>
      </c>
      <c r="P5311" t="n">
        <v>0</v>
      </c>
      <c r="Q5311" t="n">
        <v>0</v>
      </c>
      <c r="R5311" s="2" t="inlineStr"/>
    </row>
    <row r="5312" ht="15" customHeight="1">
      <c r="A5312" t="inlineStr">
        <is>
          <t>A 11585-2024</t>
        </is>
      </c>
      <c r="B5312" s="1" t="n">
        <v>45373.36293981481</v>
      </c>
      <c r="C5312" s="1" t="n">
        <v>46103</v>
      </c>
      <c r="D5312" t="inlineStr">
        <is>
          <t>KRONOBERGS LÄN</t>
        </is>
      </c>
      <c r="E5312" t="inlineStr">
        <is>
          <t>ÄLMHULT</t>
        </is>
      </c>
      <c r="F5312" t="inlineStr">
        <is>
          <t>Sveaskog</t>
        </is>
      </c>
      <c r="G5312" t="n">
        <v>3.6</v>
      </c>
      <c r="H5312" t="n">
        <v>0</v>
      </c>
      <c r="I5312" t="n">
        <v>0</v>
      </c>
      <c r="J5312" t="n">
        <v>0</v>
      </c>
      <c r="K5312" t="n">
        <v>0</v>
      </c>
      <c r="L5312" t="n">
        <v>0</v>
      </c>
      <c r="M5312" t="n">
        <v>0</v>
      </c>
      <c r="N5312" t="n">
        <v>0</v>
      </c>
      <c r="O5312" t="n">
        <v>0</v>
      </c>
      <c r="P5312" t="n">
        <v>0</v>
      </c>
      <c r="Q5312" t="n">
        <v>0</v>
      </c>
      <c r="R5312" s="2" t="inlineStr"/>
    </row>
    <row r="5313" ht="15" customHeight="1">
      <c r="A5313" t="inlineStr">
        <is>
          <t>A 11591-2024</t>
        </is>
      </c>
      <c r="B5313" s="1" t="n">
        <v>45373.37415509259</v>
      </c>
      <c r="C5313" s="1" t="n">
        <v>46103</v>
      </c>
      <c r="D5313" t="inlineStr">
        <is>
          <t>KRONOBERGS LÄN</t>
        </is>
      </c>
      <c r="E5313" t="inlineStr">
        <is>
          <t>ÄLMHULT</t>
        </is>
      </c>
      <c r="F5313" t="inlineStr">
        <is>
          <t>Sveaskog</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20081-2024</t>
        </is>
      </c>
      <c r="B5314" s="1" t="n">
        <v>45434.44790509259</v>
      </c>
      <c r="C5314" s="1" t="n">
        <v>46103</v>
      </c>
      <c r="D5314" t="inlineStr">
        <is>
          <t>KRONOBERGS LÄN</t>
        </is>
      </c>
      <c r="E5314" t="inlineStr">
        <is>
          <t>UPPVIDINGE</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3843-2023</t>
        </is>
      </c>
      <c r="B5315" s="1" t="n">
        <v>44951</v>
      </c>
      <c r="C5315" s="1" t="n">
        <v>46103</v>
      </c>
      <c r="D5315" t="inlineStr">
        <is>
          <t>KRONOBERGS LÄN</t>
        </is>
      </c>
      <c r="E5315" t="inlineStr">
        <is>
          <t>ALVESTA</t>
        </is>
      </c>
      <c r="G5315" t="n">
        <v>6.7</v>
      </c>
      <c r="H5315" t="n">
        <v>0</v>
      </c>
      <c r="I5315" t="n">
        <v>0</v>
      </c>
      <c r="J5315" t="n">
        <v>0</v>
      </c>
      <c r="K5315" t="n">
        <v>0</v>
      </c>
      <c r="L5315" t="n">
        <v>0</v>
      </c>
      <c r="M5315" t="n">
        <v>0</v>
      </c>
      <c r="N5315" t="n">
        <v>0</v>
      </c>
      <c r="O5315" t="n">
        <v>0</v>
      </c>
      <c r="P5315" t="n">
        <v>0</v>
      </c>
      <c r="Q5315" t="n">
        <v>0</v>
      </c>
      <c r="R5315" s="2" t="inlineStr"/>
    </row>
    <row r="5316" ht="15" customHeight="1">
      <c r="A5316" t="inlineStr">
        <is>
          <t>A 51060-2021</t>
        </is>
      </c>
      <c r="B5316" s="1" t="n">
        <v>44461.34650462963</v>
      </c>
      <c r="C5316" s="1" t="n">
        <v>46103</v>
      </c>
      <c r="D5316" t="inlineStr">
        <is>
          <t>KRONOBERGS LÄN</t>
        </is>
      </c>
      <c r="E5316" t="inlineStr">
        <is>
          <t>MARKARYD</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73667-2021</t>
        </is>
      </c>
      <c r="B5317" s="1" t="n">
        <v>44552.46184027778</v>
      </c>
      <c r="C5317" s="1" t="n">
        <v>46103</v>
      </c>
      <c r="D5317" t="inlineStr">
        <is>
          <t>KRONOBERGS LÄN</t>
        </is>
      </c>
      <c r="E5317" t="inlineStr">
        <is>
          <t>UPPVIDINGE</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57130-2024</t>
        </is>
      </c>
      <c r="B5318" s="1" t="n">
        <v>45629.38060185185</v>
      </c>
      <c r="C5318" s="1" t="n">
        <v>46103</v>
      </c>
      <c r="D5318" t="inlineStr">
        <is>
          <t>KRONOBERGS LÄN</t>
        </is>
      </c>
      <c r="E5318" t="inlineStr">
        <is>
          <t>UPPVIDINGE</t>
        </is>
      </c>
      <c r="F5318" t="inlineStr">
        <is>
          <t>Sveaskog</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7503-2023</t>
        </is>
      </c>
      <c r="B5319" s="1" t="n">
        <v>44971.76626157408</v>
      </c>
      <c r="C5319" s="1" t="n">
        <v>46103</v>
      </c>
      <c r="D5319" t="inlineStr">
        <is>
          <t>KRONOBERGS LÄN</t>
        </is>
      </c>
      <c r="E5319" t="inlineStr">
        <is>
          <t>UPPVIDINGE</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39478-2024</t>
        </is>
      </c>
      <c r="B5320" s="1" t="n">
        <v>45551</v>
      </c>
      <c r="C5320" s="1" t="n">
        <v>46103</v>
      </c>
      <c r="D5320" t="inlineStr">
        <is>
          <t>KRONOBERGS LÄN</t>
        </is>
      </c>
      <c r="E5320" t="inlineStr">
        <is>
          <t>VÄXJÖ</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20168-2023</t>
        </is>
      </c>
      <c r="B5321" s="1" t="n">
        <v>45055.49951388889</v>
      </c>
      <c r="C5321" s="1" t="n">
        <v>46103</v>
      </c>
      <c r="D5321" t="inlineStr">
        <is>
          <t>KRONOBERGS LÄN</t>
        </is>
      </c>
      <c r="E5321" t="inlineStr">
        <is>
          <t>LJUNGBY</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7719-2024</t>
        </is>
      </c>
      <c r="B5322" s="1" t="n">
        <v>45349.39254629629</v>
      </c>
      <c r="C5322" s="1" t="n">
        <v>46103</v>
      </c>
      <c r="D5322" t="inlineStr">
        <is>
          <t>KRONOBERGS LÄN</t>
        </is>
      </c>
      <c r="E5322" t="inlineStr">
        <is>
          <t>LJUNGBY</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1539-2023</t>
        </is>
      </c>
      <c r="B5323" s="1" t="n">
        <v>44935</v>
      </c>
      <c r="C5323" s="1" t="n">
        <v>46103</v>
      </c>
      <c r="D5323" t="inlineStr">
        <is>
          <t>KRONOBERGS LÄN</t>
        </is>
      </c>
      <c r="E5323" t="inlineStr">
        <is>
          <t>ALVESTA</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37015-2023</t>
        </is>
      </c>
      <c r="B5324" s="1" t="n">
        <v>45155.3446875</v>
      </c>
      <c r="C5324" s="1" t="n">
        <v>46103</v>
      </c>
      <c r="D5324" t="inlineStr">
        <is>
          <t>KRONOBERGS LÄN</t>
        </is>
      </c>
      <c r="E5324" t="inlineStr">
        <is>
          <t>ÄLMHULT</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57374-2022</t>
        </is>
      </c>
      <c r="B5325" s="1" t="n">
        <v>44896</v>
      </c>
      <c r="C5325" s="1" t="n">
        <v>46103</v>
      </c>
      <c r="D5325" t="inlineStr">
        <is>
          <t>KRONOBERGS LÄN</t>
        </is>
      </c>
      <c r="E5325" t="inlineStr">
        <is>
          <t>VÄXJÖ</t>
        </is>
      </c>
      <c r="G5325" t="n">
        <v>0.2</v>
      </c>
      <c r="H5325" t="n">
        <v>0</v>
      </c>
      <c r="I5325" t="n">
        <v>0</v>
      </c>
      <c r="J5325" t="n">
        <v>0</v>
      </c>
      <c r="K5325" t="n">
        <v>0</v>
      </c>
      <c r="L5325" t="n">
        <v>0</v>
      </c>
      <c r="M5325" t="n">
        <v>0</v>
      </c>
      <c r="N5325" t="n">
        <v>0</v>
      </c>
      <c r="O5325" t="n">
        <v>0</v>
      </c>
      <c r="P5325" t="n">
        <v>0</v>
      </c>
      <c r="Q5325" t="n">
        <v>0</v>
      </c>
      <c r="R5325" s="2" t="inlineStr"/>
    </row>
    <row r="5326" ht="15" customHeight="1">
      <c r="A5326" t="inlineStr">
        <is>
          <t>A 59604-2022</t>
        </is>
      </c>
      <c r="B5326" s="1" t="n">
        <v>44907.72450231481</v>
      </c>
      <c r="C5326" s="1" t="n">
        <v>46103</v>
      </c>
      <c r="D5326" t="inlineStr">
        <is>
          <t>KRONOBERGS LÄN</t>
        </is>
      </c>
      <c r="E5326" t="inlineStr">
        <is>
          <t>TINGSRYD</t>
        </is>
      </c>
      <c r="G5326" t="n">
        <v>6.5</v>
      </c>
      <c r="H5326" t="n">
        <v>0</v>
      </c>
      <c r="I5326" t="n">
        <v>0</v>
      </c>
      <c r="J5326" t="n">
        <v>0</v>
      </c>
      <c r="K5326" t="n">
        <v>0</v>
      </c>
      <c r="L5326" t="n">
        <v>0</v>
      </c>
      <c r="M5326" t="n">
        <v>0</v>
      </c>
      <c r="N5326" t="n">
        <v>0</v>
      </c>
      <c r="O5326" t="n">
        <v>0</v>
      </c>
      <c r="P5326" t="n">
        <v>0</v>
      </c>
      <c r="Q5326" t="n">
        <v>0</v>
      </c>
      <c r="R5326" s="2" t="inlineStr"/>
    </row>
    <row r="5327" ht="15" customHeight="1">
      <c r="A5327" t="inlineStr">
        <is>
          <t>A 3987-2025</t>
        </is>
      </c>
      <c r="B5327" s="1" t="n">
        <v>45684.55307870371</v>
      </c>
      <c r="C5327" s="1" t="n">
        <v>46103</v>
      </c>
      <c r="D5327" t="inlineStr">
        <is>
          <t>KRONOBERGS LÄN</t>
        </is>
      </c>
      <c r="E5327" t="inlineStr">
        <is>
          <t>TINGSRYD</t>
        </is>
      </c>
      <c r="G5327" t="n">
        <v>3.9</v>
      </c>
      <c r="H5327" t="n">
        <v>0</v>
      </c>
      <c r="I5327" t="n">
        <v>0</v>
      </c>
      <c r="J5327" t="n">
        <v>0</v>
      </c>
      <c r="K5327" t="n">
        <v>0</v>
      </c>
      <c r="L5327" t="n">
        <v>0</v>
      </c>
      <c r="M5327" t="n">
        <v>0</v>
      </c>
      <c r="N5327" t="n">
        <v>0</v>
      </c>
      <c r="O5327" t="n">
        <v>0</v>
      </c>
      <c r="P5327" t="n">
        <v>0</v>
      </c>
      <c r="Q5327" t="n">
        <v>0</v>
      </c>
      <c r="R5327" s="2" t="inlineStr"/>
    </row>
    <row r="5328" ht="15" customHeight="1">
      <c r="A5328" t="inlineStr">
        <is>
          <t>A 11065-2023</t>
        </is>
      </c>
      <c r="B5328" s="1" t="n">
        <v>44992</v>
      </c>
      <c r="C5328" s="1" t="n">
        <v>46103</v>
      </c>
      <c r="D5328" t="inlineStr">
        <is>
          <t>KRONOBERGS LÄN</t>
        </is>
      </c>
      <c r="E5328" t="inlineStr">
        <is>
          <t>MARKARYD</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50465-2024</t>
        </is>
      </c>
      <c r="B5329" s="1" t="n">
        <v>45601.46222222222</v>
      </c>
      <c r="C5329" s="1" t="n">
        <v>46103</v>
      </c>
      <c r="D5329" t="inlineStr">
        <is>
          <t>KRONOBERGS LÄN</t>
        </is>
      </c>
      <c r="E5329" t="inlineStr">
        <is>
          <t>VÄXJÖ</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13971-2025</t>
        </is>
      </c>
      <c r="B5330" s="1" t="n">
        <v>45738.63730324074</v>
      </c>
      <c r="C5330" s="1" t="n">
        <v>46103</v>
      </c>
      <c r="D5330" t="inlineStr">
        <is>
          <t>KRONOBERGS LÄN</t>
        </is>
      </c>
      <c r="E5330" t="inlineStr">
        <is>
          <t>ÄLMHULT</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4467-2025</t>
        </is>
      </c>
      <c r="B5331" s="1" t="n">
        <v>45686.60939814815</v>
      </c>
      <c r="C5331" s="1" t="n">
        <v>46103</v>
      </c>
      <c r="D5331" t="inlineStr">
        <is>
          <t>KRONOBERGS LÄN</t>
        </is>
      </c>
      <c r="E5331" t="inlineStr">
        <is>
          <t>LJUNGBY</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31425-2021</t>
        </is>
      </c>
      <c r="B5332" s="1" t="n">
        <v>44369.35200231482</v>
      </c>
      <c r="C5332" s="1" t="n">
        <v>46103</v>
      </c>
      <c r="D5332" t="inlineStr">
        <is>
          <t>KRONOBERGS LÄN</t>
        </is>
      </c>
      <c r="E5332" t="inlineStr">
        <is>
          <t>LESSEBO</t>
        </is>
      </c>
      <c r="G5332" t="n">
        <v>9</v>
      </c>
      <c r="H5332" t="n">
        <v>0</v>
      </c>
      <c r="I5332" t="n">
        <v>0</v>
      </c>
      <c r="J5332" t="n">
        <v>0</v>
      </c>
      <c r="K5332" t="n">
        <v>0</v>
      </c>
      <c r="L5332" t="n">
        <v>0</v>
      </c>
      <c r="M5332" t="n">
        <v>0</v>
      </c>
      <c r="N5332" t="n">
        <v>0</v>
      </c>
      <c r="O5332" t="n">
        <v>0</v>
      </c>
      <c r="P5332" t="n">
        <v>0</v>
      </c>
      <c r="Q5332" t="n">
        <v>0</v>
      </c>
      <c r="R5332" s="2" t="inlineStr"/>
    </row>
    <row r="5333" ht="15" customHeight="1">
      <c r="A5333" t="inlineStr">
        <is>
          <t>A 61193-2022</t>
        </is>
      </c>
      <c r="B5333" s="1" t="n">
        <v>44915</v>
      </c>
      <c r="C5333" s="1" t="n">
        <v>46103</v>
      </c>
      <c r="D5333" t="inlineStr">
        <is>
          <t>KRONOBERGS LÄN</t>
        </is>
      </c>
      <c r="E5333" t="inlineStr">
        <is>
          <t>LJUNGBY</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7222-2025</t>
        </is>
      </c>
      <c r="B5334" s="1" t="n">
        <v>45702.48780092593</v>
      </c>
      <c r="C5334" s="1" t="n">
        <v>46103</v>
      </c>
      <c r="D5334" t="inlineStr">
        <is>
          <t>KRONOBERGS LÄN</t>
        </is>
      </c>
      <c r="E5334" t="inlineStr">
        <is>
          <t>TINGSRYD</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20825-2023</t>
        </is>
      </c>
      <c r="B5335" s="1" t="n">
        <v>45058</v>
      </c>
      <c r="C5335" s="1" t="n">
        <v>46103</v>
      </c>
      <c r="D5335" t="inlineStr">
        <is>
          <t>KRONOBERGS LÄN</t>
        </is>
      </c>
      <c r="E5335" t="inlineStr">
        <is>
          <t>LESSEBO</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52858-2024</t>
        </is>
      </c>
      <c r="B5336" s="1" t="n">
        <v>45610.61537037037</v>
      </c>
      <c r="C5336" s="1" t="n">
        <v>46103</v>
      </c>
      <c r="D5336" t="inlineStr">
        <is>
          <t>KRONOBERGS LÄN</t>
        </is>
      </c>
      <c r="E5336" t="inlineStr">
        <is>
          <t>LJUNGBY</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30108-2022</t>
        </is>
      </c>
      <c r="B5337" s="1" t="n">
        <v>44757.40493055555</v>
      </c>
      <c r="C5337" s="1" t="n">
        <v>46103</v>
      </c>
      <c r="D5337" t="inlineStr">
        <is>
          <t>KRONOBERGS LÄN</t>
        </is>
      </c>
      <c r="E5337" t="inlineStr">
        <is>
          <t>UPPVIDINGE</t>
        </is>
      </c>
      <c r="F5337" t="inlineStr">
        <is>
          <t>Sveaskog</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43343-2023</t>
        </is>
      </c>
      <c r="B5338" s="1" t="n">
        <v>45183.65034722222</v>
      </c>
      <c r="C5338" s="1" t="n">
        <v>46103</v>
      </c>
      <c r="D5338" t="inlineStr">
        <is>
          <t>KRONOBERGS LÄN</t>
        </is>
      </c>
      <c r="E5338" t="inlineStr">
        <is>
          <t>LJUNGBY</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3357-2025</t>
        </is>
      </c>
      <c r="B5339" s="1" t="n">
        <v>45679.92653935185</v>
      </c>
      <c r="C5339" s="1" t="n">
        <v>46103</v>
      </c>
      <c r="D5339" t="inlineStr">
        <is>
          <t>KRONOBERGS LÄN</t>
        </is>
      </c>
      <c r="E5339" t="inlineStr">
        <is>
          <t>VÄXJÖ</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20618-2024</t>
        </is>
      </c>
      <c r="B5340" s="1" t="n">
        <v>45436.45836805556</v>
      </c>
      <c r="C5340" s="1" t="n">
        <v>46103</v>
      </c>
      <c r="D5340" t="inlineStr">
        <is>
          <t>KRONOBERGS LÄN</t>
        </is>
      </c>
      <c r="E5340" t="inlineStr">
        <is>
          <t>ALVESTA</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42905-2023</t>
        </is>
      </c>
      <c r="B5341" s="1" t="n">
        <v>45182</v>
      </c>
      <c r="C5341" s="1" t="n">
        <v>46103</v>
      </c>
      <c r="D5341" t="inlineStr">
        <is>
          <t>KRONOBERGS LÄN</t>
        </is>
      </c>
      <c r="E5341" t="inlineStr">
        <is>
          <t>ALVESTA</t>
        </is>
      </c>
      <c r="G5341" t="n">
        <v>2.9</v>
      </c>
      <c r="H5341" t="n">
        <v>0</v>
      </c>
      <c r="I5341" t="n">
        <v>0</v>
      </c>
      <c r="J5341" t="n">
        <v>0</v>
      </c>
      <c r="K5341" t="n">
        <v>0</v>
      </c>
      <c r="L5341" t="n">
        <v>0</v>
      </c>
      <c r="M5341" t="n">
        <v>0</v>
      </c>
      <c r="N5341" t="n">
        <v>0</v>
      </c>
      <c r="O5341" t="n">
        <v>0</v>
      </c>
      <c r="P5341" t="n">
        <v>0</v>
      </c>
      <c r="Q5341" t="n">
        <v>0</v>
      </c>
      <c r="R5341" s="2" t="inlineStr"/>
    </row>
    <row r="5342" ht="15" customHeight="1">
      <c r="A5342" t="inlineStr">
        <is>
          <t>A 3070-2024</t>
        </is>
      </c>
      <c r="B5342" s="1" t="n">
        <v>45316.42096064815</v>
      </c>
      <c r="C5342" s="1" t="n">
        <v>46103</v>
      </c>
      <c r="D5342" t="inlineStr">
        <is>
          <t>KRONOBERGS LÄN</t>
        </is>
      </c>
      <c r="E5342" t="inlineStr">
        <is>
          <t>VÄXJÖ</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28027-2024</t>
        </is>
      </c>
      <c r="B5343" s="1" t="n">
        <v>45476.48416666667</v>
      </c>
      <c r="C5343" s="1" t="n">
        <v>46103</v>
      </c>
      <c r="D5343" t="inlineStr">
        <is>
          <t>KRONOBERGS LÄN</t>
        </is>
      </c>
      <c r="E5343" t="inlineStr">
        <is>
          <t>ALVESTA</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28086-2024</t>
        </is>
      </c>
      <c r="B5344" s="1" t="n">
        <v>45476.59524305556</v>
      </c>
      <c r="C5344" s="1" t="n">
        <v>46103</v>
      </c>
      <c r="D5344" t="inlineStr">
        <is>
          <t>KRONOBERGS LÄN</t>
        </is>
      </c>
      <c r="E5344" t="inlineStr">
        <is>
          <t>MARKARYD</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33278-2023</t>
        </is>
      </c>
      <c r="B5345" s="1" t="n">
        <v>45127.60701388889</v>
      </c>
      <c r="C5345" s="1" t="n">
        <v>46103</v>
      </c>
      <c r="D5345" t="inlineStr">
        <is>
          <t>KRONOBERGS LÄN</t>
        </is>
      </c>
      <c r="E5345" t="inlineStr">
        <is>
          <t>MARKARYD</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31845-2024</t>
        </is>
      </c>
      <c r="B5346" s="1" t="n">
        <v>45509.66609953704</v>
      </c>
      <c r="C5346" s="1" t="n">
        <v>46103</v>
      </c>
      <c r="D5346" t="inlineStr">
        <is>
          <t>KRONOBERGS LÄN</t>
        </is>
      </c>
      <c r="E5346" t="inlineStr">
        <is>
          <t>LJUNGBY</t>
        </is>
      </c>
      <c r="F5346" t="inlineStr">
        <is>
          <t>Sveaskog</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11350-2025</t>
        </is>
      </c>
      <c r="B5347" s="1" t="n">
        <v>45726.51144675926</v>
      </c>
      <c r="C5347" s="1" t="n">
        <v>46103</v>
      </c>
      <c r="D5347" t="inlineStr">
        <is>
          <t>KRONOBERGS LÄN</t>
        </is>
      </c>
      <c r="E5347" t="inlineStr">
        <is>
          <t>LJUNGBY</t>
        </is>
      </c>
      <c r="G5347" t="n">
        <v>3.8</v>
      </c>
      <c r="H5347" t="n">
        <v>0</v>
      </c>
      <c r="I5347" t="n">
        <v>0</v>
      </c>
      <c r="J5347" t="n">
        <v>0</v>
      </c>
      <c r="K5347" t="n">
        <v>0</v>
      </c>
      <c r="L5347" t="n">
        <v>0</v>
      </c>
      <c r="M5347" t="n">
        <v>0</v>
      </c>
      <c r="N5347" t="n">
        <v>0</v>
      </c>
      <c r="O5347" t="n">
        <v>0</v>
      </c>
      <c r="P5347" t="n">
        <v>0</v>
      </c>
      <c r="Q5347" t="n">
        <v>0</v>
      </c>
      <c r="R5347" s="2" t="inlineStr"/>
    </row>
    <row r="5348" ht="15" customHeight="1">
      <c r="A5348" t="inlineStr">
        <is>
          <t>A 34549-2023</t>
        </is>
      </c>
      <c r="B5348" s="1" t="n">
        <v>45140.49438657407</v>
      </c>
      <c r="C5348" s="1" t="n">
        <v>46103</v>
      </c>
      <c r="D5348" t="inlineStr">
        <is>
          <t>KRONOBERGS LÄN</t>
        </is>
      </c>
      <c r="E5348" t="inlineStr">
        <is>
          <t>VÄXJÖ</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13751-2025</t>
        </is>
      </c>
      <c r="B5349" s="1" t="n">
        <v>45737.41412037037</v>
      </c>
      <c r="C5349" s="1" t="n">
        <v>46103</v>
      </c>
      <c r="D5349" t="inlineStr">
        <is>
          <t>KRONOBERGS LÄN</t>
        </is>
      </c>
      <c r="E5349" t="inlineStr">
        <is>
          <t>LESSEBO</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19584-2023</t>
        </is>
      </c>
      <c r="B5350" s="1" t="n">
        <v>45049</v>
      </c>
      <c r="C5350" s="1" t="n">
        <v>46103</v>
      </c>
      <c r="D5350" t="inlineStr">
        <is>
          <t>KRONOBERGS LÄN</t>
        </is>
      </c>
      <c r="E5350" t="inlineStr">
        <is>
          <t>UPPVIDINGE</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22436-2024</t>
        </is>
      </c>
      <c r="B5351" s="1" t="n">
        <v>45446</v>
      </c>
      <c r="C5351" s="1" t="n">
        <v>46103</v>
      </c>
      <c r="D5351" t="inlineStr">
        <is>
          <t>KRONOBERGS LÄN</t>
        </is>
      </c>
      <c r="E5351" t="inlineStr">
        <is>
          <t>VÄXJÖ</t>
        </is>
      </c>
      <c r="F5351" t="inlineStr">
        <is>
          <t>Övriga Aktiebolag</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13973-2024</t>
        </is>
      </c>
      <c r="B5352" s="1" t="n">
        <v>45392.38908564814</v>
      </c>
      <c r="C5352" s="1" t="n">
        <v>46103</v>
      </c>
      <c r="D5352" t="inlineStr">
        <is>
          <t>KRONOBERGS LÄN</t>
        </is>
      </c>
      <c r="E5352" t="inlineStr">
        <is>
          <t>VÄXJÖ</t>
        </is>
      </c>
      <c r="F5352" t="inlineStr">
        <is>
          <t>Sveaskog</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34543-2023</t>
        </is>
      </c>
      <c r="B5353" s="1" t="n">
        <v>45140</v>
      </c>
      <c r="C5353" s="1" t="n">
        <v>46103</v>
      </c>
      <c r="D5353" t="inlineStr">
        <is>
          <t>KRONOBERGS LÄN</t>
        </is>
      </c>
      <c r="E5353" t="inlineStr">
        <is>
          <t>UPPVIDINGE</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1918-2024</t>
        </is>
      </c>
      <c r="B5354" s="1" t="n">
        <v>45308</v>
      </c>
      <c r="C5354" s="1" t="n">
        <v>46103</v>
      </c>
      <c r="D5354" t="inlineStr">
        <is>
          <t>KRONOBERGS LÄN</t>
        </is>
      </c>
      <c r="E5354" t="inlineStr">
        <is>
          <t>UPPVIDINGE</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39833-2023</t>
        </is>
      </c>
      <c r="B5355" s="1" t="n">
        <v>45168.33028935185</v>
      </c>
      <c r="C5355" s="1" t="n">
        <v>46103</v>
      </c>
      <c r="D5355" t="inlineStr">
        <is>
          <t>KRONOBERGS LÄN</t>
        </is>
      </c>
      <c r="E5355" t="inlineStr">
        <is>
          <t>LJUNGBY</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39260-2023</t>
        </is>
      </c>
      <c r="B5356" s="1" t="n">
        <v>45166.48473379629</v>
      </c>
      <c r="C5356" s="1" t="n">
        <v>46103</v>
      </c>
      <c r="D5356" t="inlineStr">
        <is>
          <t>KRONOBERGS LÄN</t>
        </is>
      </c>
      <c r="E5356" t="inlineStr">
        <is>
          <t>VÄXJÖ</t>
        </is>
      </c>
      <c r="G5356" t="n">
        <v>2.5</v>
      </c>
      <c r="H5356" t="n">
        <v>0</v>
      </c>
      <c r="I5356" t="n">
        <v>0</v>
      </c>
      <c r="J5356" t="n">
        <v>0</v>
      </c>
      <c r="K5356" t="n">
        <v>0</v>
      </c>
      <c r="L5356" t="n">
        <v>0</v>
      </c>
      <c r="M5356" t="n">
        <v>0</v>
      </c>
      <c r="N5356" t="n">
        <v>0</v>
      </c>
      <c r="O5356" t="n">
        <v>0</v>
      </c>
      <c r="P5356" t="n">
        <v>0</v>
      </c>
      <c r="Q5356" t="n">
        <v>0</v>
      </c>
      <c r="R5356" s="2" t="inlineStr"/>
    </row>
    <row r="5357" ht="15" customHeight="1">
      <c r="A5357" t="inlineStr">
        <is>
          <t>A 39263-2023</t>
        </is>
      </c>
      <c r="B5357" s="1" t="n">
        <v>45166</v>
      </c>
      <c r="C5357" s="1" t="n">
        <v>46103</v>
      </c>
      <c r="D5357" t="inlineStr">
        <is>
          <t>KRONOBERGS LÄN</t>
        </is>
      </c>
      <c r="E5357" t="inlineStr">
        <is>
          <t>ALVESTA</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21508-2023</t>
        </is>
      </c>
      <c r="B5358" s="1" t="n">
        <v>45063.50965277778</v>
      </c>
      <c r="C5358" s="1" t="n">
        <v>46103</v>
      </c>
      <c r="D5358" t="inlineStr">
        <is>
          <t>KRONOBERGS LÄN</t>
        </is>
      </c>
      <c r="E5358" t="inlineStr">
        <is>
          <t>TINGSRYD</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21512-2023</t>
        </is>
      </c>
      <c r="B5359" s="1" t="n">
        <v>45063.51554398148</v>
      </c>
      <c r="C5359" s="1" t="n">
        <v>46103</v>
      </c>
      <c r="D5359" t="inlineStr">
        <is>
          <t>KRONOBERGS LÄN</t>
        </is>
      </c>
      <c r="E5359" t="inlineStr">
        <is>
          <t>TINGSRYD</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42381-2024</t>
        </is>
      </c>
      <c r="B5360" s="1" t="n">
        <v>45564</v>
      </c>
      <c r="C5360" s="1" t="n">
        <v>46103</v>
      </c>
      <c r="D5360" t="inlineStr">
        <is>
          <t>KRONOBERGS LÄN</t>
        </is>
      </c>
      <c r="E5360" t="inlineStr">
        <is>
          <t>MARKARYD</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42383-2024</t>
        </is>
      </c>
      <c r="B5361" s="1" t="n">
        <v>45564.98079861111</v>
      </c>
      <c r="C5361" s="1" t="n">
        <v>46103</v>
      </c>
      <c r="D5361" t="inlineStr">
        <is>
          <t>KRONOBERGS LÄN</t>
        </is>
      </c>
      <c r="E5361" t="inlineStr">
        <is>
          <t>ÄLMHULT</t>
        </is>
      </c>
      <c r="G5361" t="n">
        <v>4.7</v>
      </c>
      <c r="H5361" t="n">
        <v>0</v>
      </c>
      <c r="I5361" t="n">
        <v>0</v>
      </c>
      <c r="J5361" t="n">
        <v>0</v>
      </c>
      <c r="K5361" t="n">
        <v>0</v>
      </c>
      <c r="L5361" t="n">
        <v>0</v>
      </c>
      <c r="M5361" t="n">
        <v>0</v>
      </c>
      <c r="N5361" t="n">
        <v>0</v>
      </c>
      <c r="O5361" t="n">
        <v>0</v>
      </c>
      <c r="P5361" t="n">
        <v>0</v>
      </c>
      <c r="Q5361" t="n">
        <v>0</v>
      </c>
      <c r="R5361" s="2" t="inlineStr"/>
    </row>
    <row r="5362" ht="15" customHeight="1">
      <c r="A5362" t="inlineStr">
        <is>
          <t>A 5126-2025</t>
        </is>
      </c>
      <c r="B5362" s="1" t="n">
        <v>45691.56284722222</v>
      </c>
      <c r="C5362" s="1" t="n">
        <v>46103</v>
      </c>
      <c r="D5362" t="inlineStr">
        <is>
          <t>KRONOBERGS LÄN</t>
        </is>
      </c>
      <c r="E5362" t="inlineStr">
        <is>
          <t>UPPVIDINGE</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7304-2024</t>
        </is>
      </c>
      <c r="B5363" s="1" t="n">
        <v>45345.30666666666</v>
      </c>
      <c r="C5363" s="1" t="n">
        <v>46103</v>
      </c>
      <c r="D5363" t="inlineStr">
        <is>
          <t>KRONOBERGS LÄN</t>
        </is>
      </c>
      <c r="E5363" t="inlineStr">
        <is>
          <t>VÄXJÖ</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14283-2023</t>
        </is>
      </c>
      <c r="B5364" s="1" t="n">
        <v>45010.45270833333</v>
      </c>
      <c r="C5364" s="1" t="n">
        <v>46103</v>
      </c>
      <c r="D5364" t="inlineStr">
        <is>
          <t>KRONOBERGS LÄN</t>
        </is>
      </c>
      <c r="E5364" t="inlineStr">
        <is>
          <t>ÄLMHULT</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20147-2021</t>
        </is>
      </c>
      <c r="B5365" s="1" t="n">
        <v>44314</v>
      </c>
      <c r="C5365" s="1" t="n">
        <v>46103</v>
      </c>
      <c r="D5365" t="inlineStr">
        <is>
          <t>KRONOBERGS LÄN</t>
        </is>
      </c>
      <c r="E5365" t="inlineStr">
        <is>
          <t>VÄXJÖ</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61359-2022</t>
        </is>
      </c>
      <c r="B5366" s="1" t="n">
        <v>44915.74278935185</v>
      </c>
      <c r="C5366" s="1" t="n">
        <v>46103</v>
      </c>
      <c r="D5366" t="inlineStr">
        <is>
          <t>KRONOBERGS LÄN</t>
        </is>
      </c>
      <c r="E5366" t="inlineStr">
        <is>
          <t>VÄXJÖ</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7677-2023</t>
        </is>
      </c>
      <c r="B5367" s="1" t="n">
        <v>44972</v>
      </c>
      <c r="C5367" s="1" t="n">
        <v>46103</v>
      </c>
      <c r="D5367" t="inlineStr">
        <is>
          <t>KRONOBERGS LÄN</t>
        </is>
      </c>
      <c r="E5367" t="inlineStr">
        <is>
          <t>VÄXJÖ</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10199-2025</t>
        </is>
      </c>
      <c r="B5368" s="1" t="n">
        <v>45719</v>
      </c>
      <c r="C5368" s="1" t="n">
        <v>46103</v>
      </c>
      <c r="D5368" t="inlineStr">
        <is>
          <t>KRONOBERGS LÄN</t>
        </is>
      </c>
      <c r="E5368" t="inlineStr">
        <is>
          <t>ÄLMHULT</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53411-2024</t>
        </is>
      </c>
      <c r="B5369" s="1" t="n">
        <v>45614.50349537037</v>
      </c>
      <c r="C5369" s="1" t="n">
        <v>46103</v>
      </c>
      <c r="D5369" t="inlineStr">
        <is>
          <t>KRONOBERGS LÄN</t>
        </is>
      </c>
      <c r="E5369" t="inlineStr">
        <is>
          <t>LJUNGBY</t>
        </is>
      </c>
      <c r="F5369" t="inlineStr">
        <is>
          <t>Sveaskog</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53412-2024</t>
        </is>
      </c>
      <c r="B5370" s="1" t="n">
        <v>45614.505625</v>
      </c>
      <c r="C5370" s="1" t="n">
        <v>46103</v>
      </c>
      <c r="D5370" t="inlineStr">
        <is>
          <t>KRONOBERGS LÄN</t>
        </is>
      </c>
      <c r="E5370" t="inlineStr">
        <is>
          <t>LJUNGBY</t>
        </is>
      </c>
      <c r="F5370" t="inlineStr">
        <is>
          <t>Sveaskog</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60783-2024</t>
        </is>
      </c>
      <c r="B5371" s="1" t="n">
        <v>45644.59047453704</v>
      </c>
      <c r="C5371" s="1" t="n">
        <v>46103</v>
      </c>
      <c r="D5371" t="inlineStr">
        <is>
          <t>KRONOBERGS LÄN</t>
        </is>
      </c>
      <c r="E5371" t="inlineStr">
        <is>
          <t>TINGSRYD</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29154-2023</t>
        </is>
      </c>
      <c r="B5372" s="1" t="n">
        <v>45105.47802083333</v>
      </c>
      <c r="C5372" s="1" t="n">
        <v>46103</v>
      </c>
      <c r="D5372" t="inlineStr">
        <is>
          <t>KRONOBERGS LÄN</t>
        </is>
      </c>
      <c r="E5372" t="inlineStr">
        <is>
          <t>UPPVIDINGE</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36376-2021</t>
        </is>
      </c>
      <c r="B5373" s="1" t="n">
        <v>44390.6009837963</v>
      </c>
      <c r="C5373" s="1" t="n">
        <v>46103</v>
      </c>
      <c r="D5373" t="inlineStr">
        <is>
          <t>KRONOBERGS LÄN</t>
        </is>
      </c>
      <c r="E5373" t="inlineStr">
        <is>
          <t>TINGSRYD</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27373-2024</t>
        </is>
      </c>
      <c r="B5374" s="1" t="n">
        <v>45473.86574074074</v>
      </c>
      <c r="C5374" s="1" t="n">
        <v>46103</v>
      </c>
      <c r="D5374" t="inlineStr">
        <is>
          <t>KRONOBERGS LÄN</t>
        </is>
      </c>
      <c r="E5374" t="inlineStr">
        <is>
          <t>MARKARYD</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27405-2024</t>
        </is>
      </c>
      <c r="B5375" s="1" t="n">
        <v>45474.35745370371</v>
      </c>
      <c r="C5375" s="1" t="n">
        <v>46103</v>
      </c>
      <c r="D5375" t="inlineStr">
        <is>
          <t>KRONOBERGS LÄN</t>
        </is>
      </c>
      <c r="E5375" t="inlineStr">
        <is>
          <t>LESSEBO</t>
        </is>
      </c>
      <c r="G5375" t="n">
        <v>0.4</v>
      </c>
      <c r="H5375" t="n">
        <v>0</v>
      </c>
      <c r="I5375" t="n">
        <v>0</v>
      </c>
      <c r="J5375" t="n">
        <v>0</v>
      </c>
      <c r="K5375" t="n">
        <v>0</v>
      </c>
      <c r="L5375" t="n">
        <v>0</v>
      </c>
      <c r="M5375" t="n">
        <v>0</v>
      </c>
      <c r="N5375" t="n">
        <v>0</v>
      </c>
      <c r="O5375" t="n">
        <v>0</v>
      </c>
      <c r="P5375" t="n">
        <v>0</v>
      </c>
      <c r="Q5375" t="n">
        <v>0</v>
      </c>
      <c r="R5375" s="2" t="inlineStr"/>
    </row>
    <row r="5376" ht="15" customHeight="1">
      <c r="A5376" t="inlineStr">
        <is>
          <t>A 27415-2024</t>
        </is>
      </c>
      <c r="B5376" s="1" t="n">
        <v>45474.36921296296</v>
      </c>
      <c r="C5376" s="1" t="n">
        <v>46103</v>
      </c>
      <c r="D5376" t="inlineStr">
        <is>
          <t>KRONOBERGS LÄN</t>
        </is>
      </c>
      <c r="E5376" t="inlineStr">
        <is>
          <t>UPPVIDINGE</t>
        </is>
      </c>
      <c r="G5376" t="n">
        <v>8.4</v>
      </c>
      <c r="H5376" t="n">
        <v>0</v>
      </c>
      <c r="I5376" t="n">
        <v>0</v>
      </c>
      <c r="J5376" t="n">
        <v>0</v>
      </c>
      <c r="K5376" t="n">
        <v>0</v>
      </c>
      <c r="L5376" t="n">
        <v>0</v>
      </c>
      <c r="M5376" t="n">
        <v>0</v>
      </c>
      <c r="N5376" t="n">
        <v>0</v>
      </c>
      <c r="O5376" t="n">
        <v>0</v>
      </c>
      <c r="P5376" t="n">
        <v>0</v>
      </c>
      <c r="Q5376" t="n">
        <v>0</v>
      </c>
      <c r="R5376" s="2" t="inlineStr"/>
    </row>
    <row r="5377" ht="15" customHeight="1">
      <c r="A5377" t="inlineStr">
        <is>
          <t>A 27421-2024</t>
        </is>
      </c>
      <c r="B5377" s="1" t="n">
        <v>45474.37907407407</v>
      </c>
      <c r="C5377" s="1" t="n">
        <v>46103</v>
      </c>
      <c r="D5377" t="inlineStr">
        <is>
          <t>KRONOBERGS LÄN</t>
        </is>
      </c>
      <c r="E5377" t="inlineStr">
        <is>
          <t>TINGSRYD</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25664-2024</t>
        </is>
      </c>
      <c r="B5378" s="1" t="n">
        <v>45463</v>
      </c>
      <c r="C5378" s="1" t="n">
        <v>46103</v>
      </c>
      <c r="D5378" t="inlineStr">
        <is>
          <t>KRONOBERGS LÄN</t>
        </is>
      </c>
      <c r="E5378" t="inlineStr">
        <is>
          <t>VÄXJÖ</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37117-2023</t>
        </is>
      </c>
      <c r="B5379" s="1" t="n">
        <v>45155.55802083333</v>
      </c>
      <c r="C5379" s="1" t="n">
        <v>46103</v>
      </c>
      <c r="D5379" t="inlineStr">
        <is>
          <t>KRONOBERGS LÄN</t>
        </is>
      </c>
      <c r="E5379" t="inlineStr">
        <is>
          <t>ALVESTA</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12211-2023</t>
        </is>
      </c>
      <c r="B5380" s="1" t="n">
        <v>44998</v>
      </c>
      <c r="C5380" s="1" t="n">
        <v>46103</v>
      </c>
      <c r="D5380" t="inlineStr">
        <is>
          <t>KRONOBERGS LÄN</t>
        </is>
      </c>
      <c r="E5380" t="inlineStr">
        <is>
          <t>VÄXJÖ</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1209-2024</t>
        </is>
      </c>
      <c r="B5381" s="1" t="n">
        <v>45302.6375462963</v>
      </c>
      <c r="C5381" s="1" t="n">
        <v>46103</v>
      </c>
      <c r="D5381" t="inlineStr">
        <is>
          <t>KRONOBERGS LÄN</t>
        </is>
      </c>
      <c r="E5381" t="inlineStr">
        <is>
          <t>TINGSRYD</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14496-2023</t>
        </is>
      </c>
      <c r="B5382" s="1" t="n">
        <v>45012</v>
      </c>
      <c r="C5382" s="1" t="n">
        <v>46103</v>
      </c>
      <c r="D5382" t="inlineStr">
        <is>
          <t>KRONOBERGS LÄN</t>
        </is>
      </c>
      <c r="E5382" t="inlineStr">
        <is>
          <t>LJUNGBY</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40173-2022</t>
        </is>
      </c>
      <c r="B5383" s="1" t="n">
        <v>44820</v>
      </c>
      <c r="C5383" s="1" t="n">
        <v>46103</v>
      </c>
      <c r="D5383" t="inlineStr">
        <is>
          <t>KRONOBERGS LÄN</t>
        </is>
      </c>
      <c r="E5383" t="inlineStr">
        <is>
          <t>TINGSRYD</t>
        </is>
      </c>
      <c r="G5383" t="n">
        <v>5.2</v>
      </c>
      <c r="H5383" t="n">
        <v>0</v>
      </c>
      <c r="I5383" t="n">
        <v>0</v>
      </c>
      <c r="J5383" t="n">
        <v>0</v>
      </c>
      <c r="K5383" t="n">
        <v>0</v>
      </c>
      <c r="L5383" t="n">
        <v>0</v>
      </c>
      <c r="M5383" t="n">
        <v>0</v>
      </c>
      <c r="N5383" t="n">
        <v>0</v>
      </c>
      <c r="O5383" t="n">
        <v>0</v>
      </c>
      <c r="P5383" t="n">
        <v>0</v>
      </c>
      <c r="Q5383" t="n">
        <v>0</v>
      </c>
      <c r="R5383" s="2" t="inlineStr"/>
    </row>
    <row r="5384" ht="15" customHeight="1">
      <c r="A5384" t="inlineStr">
        <is>
          <t>A 34478-2021</t>
        </is>
      </c>
      <c r="B5384" s="1" t="n">
        <v>44381.93877314815</v>
      </c>
      <c r="C5384" s="1" t="n">
        <v>46103</v>
      </c>
      <c r="D5384" t="inlineStr">
        <is>
          <t>KRONOBERGS LÄN</t>
        </is>
      </c>
      <c r="E5384" t="inlineStr">
        <is>
          <t>ALVESTA</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26623-2023</t>
        </is>
      </c>
      <c r="B5385" s="1" t="n">
        <v>45092.71057870371</v>
      </c>
      <c r="C5385" s="1" t="n">
        <v>46103</v>
      </c>
      <c r="D5385" t="inlineStr">
        <is>
          <t>KRONOBERGS LÄN</t>
        </is>
      </c>
      <c r="E5385" t="inlineStr">
        <is>
          <t>LJUNGBY</t>
        </is>
      </c>
      <c r="G5385" t="n">
        <v>0.4</v>
      </c>
      <c r="H5385" t="n">
        <v>0</v>
      </c>
      <c r="I5385" t="n">
        <v>0</v>
      </c>
      <c r="J5385" t="n">
        <v>0</v>
      </c>
      <c r="K5385" t="n">
        <v>0</v>
      </c>
      <c r="L5385" t="n">
        <v>0</v>
      </c>
      <c r="M5385" t="n">
        <v>0</v>
      </c>
      <c r="N5385" t="n">
        <v>0</v>
      </c>
      <c r="O5385" t="n">
        <v>0</v>
      </c>
      <c r="P5385" t="n">
        <v>0</v>
      </c>
      <c r="Q5385" t="n">
        <v>0</v>
      </c>
      <c r="R5385" s="2" t="inlineStr"/>
    </row>
    <row r="5386" ht="15" customHeight="1">
      <c r="A5386" t="inlineStr">
        <is>
          <t>A 26683-2023</t>
        </is>
      </c>
      <c r="B5386" s="1" t="n">
        <v>45093.34891203704</v>
      </c>
      <c r="C5386" s="1" t="n">
        <v>46103</v>
      </c>
      <c r="D5386" t="inlineStr">
        <is>
          <t>KRONOBERGS LÄN</t>
        </is>
      </c>
      <c r="E5386" t="inlineStr">
        <is>
          <t>UPPVIDINGE</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49425-2024</t>
        </is>
      </c>
      <c r="B5387" s="1" t="n">
        <v>45595.77847222222</v>
      </c>
      <c r="C5387" s="1" t="n">
        <v>46103</v>
      </c>
      <c r="D5387" t="inlineStr">
        <is>
          <t>KRONOBERGS LÄN</t>
        </is>
      </c>
      <c r="E5387" t="inlineStr">
        <is>
          <t>UPPVIDINGE</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49979-2023</t>
        </is>
      </c>
      <c r="B5388" s="1" t="n">
        <v>45215.42108796296</v>
      </c>
      <c r="C5388" s="1" t="n">
        <v>46103</v>
      </c>
      <c r="D5388" t="inlineStr">
        <is>
          <t>KRONOBERGS LÄN</t>
        </is>
      </c>
      <c r="E5388" t="inlineStr">
        <is>
          <t>TINGSRYD</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1387-2022</t>
        </is>
      </c>
      <c r="B5389" s="1" t="n">
        <v>44573</v>
      </c>
      <c r="C5389" s="1" t="n">
        <v>46103</v>
      </c>
      <c r="D5389" t="inlineStr">
        <is>
          <t>KRONOBERGS LÄN</t>
        </is>
      </c>
      <c r="E5389" t="inlineStr">
        <is>
          <t>LJUNGBY</t>
        </is>
      </c>
      <c r="F5389" t="inlineStr">
        <is>
          <t>Kommuner</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57157-2023</t>
        </is>
      </c>
      <c r="B5390" s="1" t="n">
        <v>45245.43540509259</v>
      </c>
      <c r="C5390" s="1" t="n">
        <v>46103</v>
      </c>
      <c r="D5390" t="inlineStr">
        <is>
          <t>KRONOBERGS LÄN</t>
        </is>
      </c>
      <c r="E5390" t="inlineStr">
        <is>
          <t>TINGSRYD</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28179-2021</t>
        </is>
      </c>
      <c r="B5391" s="1" t="n">
        <v>44355.61238425926</v>
      </c>
      <c r="C5391" s="1" t="n">
        <v>46103</v>
      </c>
      <c r="D5391" t="inlineStr">
        <is>
          <t>KRONOBERGS LÄN</t>
        </is>
      </c>
      <c r="E5391" t="inlineStr">
        <is>
          <t>VÄXJÖ</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41973-2023</t>
        </is>
      </c>
      <c r="B5392" s="1" t="n">
        <v>45174</v>
      </c>
      <c r="C5392" s="1" t="n">
        <v>46103</v>
      </c>
      <c r="D5392" t="inlineStr">
        <is>
          <t>KRONOBERGS LÄN</t>
        </is>
      </c>
      <c r="E5392" t="inlineStr">
        <is>
          <t>UPPVIDINGE</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35488-2023</t>
        </is>
      </c>
      <c r="B5393" s="1" t="n">
        <v>45146.71684027778</v>
      </c>
      <c r="C5393" s="1" t="n">
        <v>46103</v>
      </c>
      <c r="D5393" t="inlineStr">
        <is>
          <t>KRONOBERGS LÄN</t>
        </is>
      </c>
      <c r="E5393" t="inlineStr">
        <is>
          <t>LJUNGBY</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57817-2024</t>
        </is>
      </c>
      <c r="B5394" s="1" t="n">
        <v>45631.38008101852</v>
      </c>
      <c r="C5394" s="1" t="n">
        <v>46103</v>
      </c>
      <c r="D5394" t="inlineStr">
        <is>
          <t>KRONOBERGS LÄN</t>
        </is>
      </c>
      <c r="E5394" t="inlineStr">
        <is>
          <t>VÄXJÖ</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59173-2023</t>
        </is>
      </c>
      <c r="B5395" s="1" t="n">
        <v>45253.43135416666</v>
      </c>
      <c r="C5395" s="1" t="n">
        <v>46103</v>
      </c>
      <c r="D5395" t="inlineStr">
        <is>
          <t>KRONOBERGS LÄN</t>
        </is>
      </c>
      <c r="E5395" t="inlineStr">
        <is>
          <t>LESSEBO</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73549-2021</t>
        </is>
      </c>
      <c r="B5396" s="1" t="n">
        <v>44551</v>
      </c>
      <c r="C5396" s="1" t="n">
        <v>46103</v>
      </c>
      <c r="D5396" t="inlineStr">
        <is>
          <t>KRONOBERGS LÄN</t>
        </is>
      </c>
      <c r="E5396" t="inlineStr">
        <is>
          <t>LJUNGBY</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61173-2021</t>
        </is>
      </c>
      <c r="B5397" s="1" t="n">
        <v>44498.45456018519</v>
      </c>
      <c r="C5397" s="1" t="n">
        <v>46103</v>
      </c>
      <c r="D5397" t="inlineStr">
        <is>
          <t>KRONOBERGS LÄN</t>
        </is>
      </c>
      <c r="E5397" t="inlineStr">
        <is>
          <t>MARKARYD</t>
        </is>
      </c>
      <c r="G5397" t="n">
        <v>3.5</v>
      </c>
      <c r="H5397" t="n">
        <v>0</v>
      </c>
      <c r="I5397" t="n">
        <v>0</v>
      </c>
      <c r="J5397" t="n">
        <v>0</v>
      </c>
      <c r="K5397" t="n">
        <v>0</v>
      </c>
      <c r="L5397" t="n">
        <v>0</v>
      </c>
      <c r="M5397" t="n">
        <v>0</v>
      </c>
      <c r="N5397" t="n">
        <v>0</v>
      </c>
      <c r="O5397" t="n">
        <v>0</v>
      </c>
      <c r="P5397" t="n">
        <v>0</v>
      </c>
      <c r="Q5397" t="n">
        <v>0</v>
      </c>
      <c r="R5397" s="2" t="inlineStr"/>
    </row>
    <row r="5398" ht="15" customHeight="1">
      <c r="A5398" t="inlineStr">
        <is>
          <t>A 30963-2023</t>
        </is>
      </c>
      <c r="B5398" s="1" t="n">
        <v>45113.4787037037</v>
      </c>
      <c r="C5398" s="1" t="n">
        <v>46103</v>
      </c>
      <c r="D5398" t="inlineStr">
        <is>
          <t>KRONOBERGS LÄN</t>
        </is>
      </c>
      <c r="E5398" t="inlineStr">
        <is>
          <t>ÄLMHULT</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54984-2024</t>
        </is>
      </c>
      <c r="B5399" s="1" t="n">
        <v>45620.82185185186</v>
      </c>
      <c r="C5399" s="1" t="n">
        <v>46103</v>
      </c>
      <c r="D5399" t="inlineStr">
        <is>
          <t>KRONOBERGS LÄN</t>
        </is>
      </c>
      <c r="E5399" t="inlineStr">
        <is>
          <t>LJUNGBY</t>
        </is>
      </c>
      <c r="G5399" t="n">
        <v>5.5</v>
      </c>
      <c r="H5399" t="n">
        <v>0</v>
      </c>
      <c r="I5399" t="n">
        <v>0</v>
      </c>
      <c r="J5399" t="n">
        <v>0</v>
      </c>
      <c r="K5399" t="n">
        <v>0</v>
      </c>
      <c r="L5399" t="n">
        <v>0</v>
      </c>
      <c r="M5399" t="n">
        <v>0</v>
      </c>
      <c r="N5399" t="n">
        <v>0</v>
      </c>
      <c r="O5399" t="n">
        <v>0</v>
      </c>
      <c r="P5399" t="n">
        <v>0</v>
      </c>
      <c r="Q5399" t="n">
        <v>0</v>
      </c>
      <c r="R5399" s="2" t="inlineStr"/>
    </row>
    <row r="5400" ht="15" customHeight="1">
      <c r="A5400" t="inlineStr">
        <is>
          <t>A 26121-2024</t>
        </is>
      </c>
      <c r="B5400" s="1" t="n">
        <v>45468.46099537037</v>
      </c>
      <c r="C5400" s="1" t="n">
        <v>46103</v>
      </c>
      <c r="D5400" t="inlineStr">
        <is>
          <t>KRONOBERGS LÄN</t>
        </is>
      </c>
      <c r="E5400" t="inlineStr">
        <is>
          <t>VÄXJÖ</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49903-2023</t>
        </is>
      </c>
      <c r="B5401" s="1" t="n">
        <v>45214.44184027778</v>
      </c>
      <c r="C5401" s="1" t="n">
        <v>46103</v>
      </c>
      <c r="D5401" t="inlineStr">
        <is>
          <t>KRONOBERGS LÄN</t>
        </is>
      </c>
      <c r="E5401" t="inlineStr">
        <is>
          <t>ÄLMHULT</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1540-2023</t>
        </is>
      </c>
      <c r="B5402" s="1" t="n">
        <v>44935</v>
      </c>
      <c r="C5402" s="1" t="n">
        <v>46103</v>
      </c>
      <c r="D5402" t="inlineStr">
        <is>
          <t>KRONOBERGS LÄN</t>
        </is>
      </c>
      <c r="E5402" t="inlineStr">
        <is>
          <t>ALVESTA</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50541-2023</t>
        </is>
      </c>
      <c r="B5403" s="1" t="n">
        <v>45217</v>
      </c>
      <c r="C5403" s="1" t="n">
        <v>46103</v>
      </c>
      <c r="D5403" t="inlineStr">
        <is>
          <t>KRONOBERGS LÄN</t>
        </is>
      </c>
      <c r="E5403" t="inlineStr">
        <is>
          <t>ÄLMHULT</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37297-2023</t>
        </is>
      </c>
      <c r="B5404" s="1" t="n">
        <v>45156</v>
      </c>
      <c r="C5404" s="1" t="n">
        <v>46103</v>
      </c>
      <c r="D5404" t="inlineStr">
        <is>
          <t>KRONOBERGS LÄN</t>
        </is>
      </c>
      <c r="E5404" t="inlineStr">
        <is>
          <t>ÄLMHULT</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11021-2024</t>
        </is>
      </c>
      <c r="B5405" s="1" t="n">
        <v>45370.62961805556</v>
      </c>
      <c r="C5405" s="1" t="n">
        <v>46103</v>
      </c>
      <c r="D5405" t="inlineStr">
        <is>
          <t>KRONOBERGS LÄN</t>
        </is>
      </c>
      <c r="E5405" t="inlineStr">
        <is>
          <t>MARKARYD</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26621-2022</t>
        </is>
      </c>
      <c r="B5406" s="1" t="n">
        <v>44739.58258101852</v>
      </c>
      <c r="C5406" s="1" t="n">
        <v>46103</v>
      </c>
      <c r="D5406" t="inlineStr">
        <is>
          <t>KRONOBERGS LÄN</t>
        </is>
      </c>
      <c r="E5406" t="inlineStr">
        <is>
          <t>ALVESTA</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5827-2023</t>
        </is>
      </c>
      <c r="B5407" s="1" t="n">
        <v>44963</v>
      </c>
      <c r="C5407" s="1" t="n">
        <v>46103</v>
      </c>
      <c r="D5407" t="inlineStr">
        <is>
          <t>KRONOBERGS LÄN</t>
        </is>
      </c>
      <c r="E5407" t="inlineStr">
        <is>
          <t>TINGSRYD</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3714-2022</t>
        </is>
      </c>
      <c r="B5408" s="1" t="n">
        <v>44586.61754629629</v>
      </c>
      <c r="C5408" s="1" t="n">
        <v>46103</v>
      </c>
      <c r="D5408" t="inlineStr">
        <is>
          <t>KRONOBERGS LÄN</t>
        </is>
      </c>
      <c r="E5408" t="inlineStr">
        <is>
          <t>LESSEBO</t>
        </is>
      </c>
      <c r="F5408" t="inlineStr">
        <is>
          <t>Kommuner</t>
        </is>
      </c>
      <c r="G5408" t="n">
        <v>4.1</v>
      </c>
      <c r="H5408" t="n">
        <v>0</v>
      </c>
      <c r="I5408" t="n">
        <v>0</v>
      </c>
      <c r="J5408" t="n">
        <v>0</v>
      </c>
      <c r="K5408" t="n">
        <v>0</v>
      </c>
      <c r="L5408" t="n">
        <v>0</v>
      </c>
      <c r="M5408" t="n">
        <v>0</v>
      </c>
      <c r="N5408" t="n">
        <v>0</v>
      </c>
      <c r="O5408" t="n">
        <v>0</v>
      </c>
      <c r="P5408" t="n">
        <v>0</v>
      </c>
      <c r="Q5408" t="n">
        <v>0</v>
      </c>
      <c r="R5408" s="2" t="inlineStr"/>
    </row>
    <row r="5409" ht="15" customHeight="1">
      <c r="A5409" t="inlineStr">
        <is>
          <t>A 59146-2024</t>
        </is>
      </c>
      <c r="B5409" s="1" t="n">
        <v>45637.45240740741</v>
      </c>
      <c r="C5409" s="1" t="n">
        <v>46103</v>
      </c>
      <c r="D5409" t="inlineStr">
        <is>
          <t>KRONOBERGS LÄN</t>
        </is>
      </c>
      <c r="E5409" t="inlineStr">
        <is>
          <t>VÄXJÖ</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53687-2022</t>
        </is>
      </c>
      <c r="B5410" s="1" t="n">
        <v>44880.29931712963</v>
      </c>
      <c r="C5410" s="1" t="n">
        <v>46103</v>
      </c>
      <c r="D5410" t="inlineStr">
        <is>
          <t>KRONOBERGS LÄN</t>
        </is>
      </c>
      <c r="E5410" t="inlineStr">
        <is>
          <t>VÄXJÖ</t>
        </is>
      </c>
      <c r="G5410" t="n">
        <v>4.4</v>
      </c>
      <c r="H5410" t="n">
        <v>0</v>
      </c>
      <c r="I5410" t="n">
        <v>0</v>
      </c>
      <c r="J5410" t="n">
        <v>0</v>
      </c>
      <c r="K5410" t="n">
        <v>0</v>
      </c>
      <c r="L5410" t="n">
        <v>0</v>
      </c>
      <c r="M5410" t="n">
        <v>0</v>
      </c>
      <c r="N5410" t="n">
        <v>0</v>
      </c>
      <c r="O5410" t="n">
        <v>0</v>
      </c>
      <c r="P5410" t="n">
        <v>0</v>
      </c>
      <c r="Q5410" t="n">
        <v>0</v>
      </c>
      <c r="R5410" s="2" t="inlineStr"/>
    </row>
    <row r="5411" ht="15" customHeight="1">
      <c r="A5411" t="inlineStr">
        <is>
          <t>A 37113-2023</t>
        </is>
      </c>
      <c r="B5411" s="1" t="n">
        <v>45155.5568287037</v>
      </c>
      <c r="C5411" s="1" t="n">
        <v>46103</v>
      </c>
      <c r="D5411" t="inlineStr">
        <is>
          <t>KRONOBERGS LÄN</t>
        </is>
      </c>
      <c r="E5411" t="inlineStr">
        <is>
          <t>ALVESTA</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37215-2023</t>
        </is>
      </c>
      <c r="B5412" s="1" t="n">
        <v>45155.72224537037</v>
      </c>
      <c r="C5412" s="1" t="n">
        <v>46103</v>
      </c>
      <c r="D5412" t="inlineStr">
        <is>
          <t>KRONOBERGS LÄN</t>
        </is>
      </c>
      <c r="E5412" t="inlineStr">
        <is>
          <t>TINGSRYD</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2657-2025</t>
        </is>
      </c>
      <c r="B5413" s="1" t="n">
        <v>45676.75392361111</v>
      </c>
      <c r="C5413" s="1" t="n">
        <v>46103</v>
      </c>
      <c r="D5413" t="inlineStr">
        <is>
          <t>KRONOBERGS LÄN</t>
        </is>
      </c>
      <c r="E5413" t="inlineStr">
        <is>
          <t>VÄXJÖ</t>
        </is>
      </c>
      <c r="F5413" t="inlineStr">
        <is>
          <t>Sveaskog</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54716-2023</t>
        </is>
      </c>
      <c r="B5414" s="1" t="n">
        <v>45236.35502314815</v>
      </c>
      <c r="C5414" s="1" t="n">
        <v>46103</v>
      </c>
      <c r="D5414" t="inlineStr">
        <is>
          <t>KRONOBERGS LÄN</t>
        </is>
      </c>
      <c r="E5414" t="inlineStr">
        <is>
          <t>LJUNGBY</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4722-2024</t>
        </is>
      </c>
      <c r="B5415" s="1" t="n">
        <v>45328</v>
      </c>
      <c r="C5415" s="1" t="n">
        <v>46103</v>
      </c>
      <c r="D5415" t="inlineStr">
        <is>
          <t>KRONOBERGS LÄN</t>
        </is>
      </c>
      <c r="E5415" t="inlineStr">
        <is>
          <t>ALVESTA</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2252-2023</t>
        </is>
      </c>
      <c r="B5416" s="1" t="n">
        <v>44942</v>
      </c>
      <c r="C5416" s="1" t="n">
        <v>46103</v>
      </c>
      <c r="D5416" t="inlineStr">
        <is>
          <t>KRONOBERGS LÄN</t>
        </is>
      </c>
      <c r="E5416" t="inlineStr">
        <is>
          <t>ÄLMHULT</t>
        </is>
      </c>
      <c r="G5416" t="n">
        <v>0</v>
      </c>
      <c r="H5416" t="n">
        <v>0</v>
      </c>
      <c r="I5416" t="n">
        <v>0</v>
      </c>
      <c r="J5416" t="n">
        <v>0</v>
      </c>
      <c r="K5416" t="n">
        <v>0</v>
      </c>
      <c r="L5416" t="n">
        <v>0</v>
      </c>
      <c r="M5416" t="n">
        <v>0</v>
      </c>
      <c r="N5416" t="n">
        <v>0</v>
      </c>
      <c r="O5416" t="n">
        <v>0</v>
      </c>
      <c r="P5416" t="n">
        <v>0</v>
      </c>
      <c r="Q5416" t="n">
        <v>0</v>
      </c>
      <c r="R5416" s="2" t="inlineStr"/>
    </row>
    <row r="5417" ht="15" customHeight="1">
      <c r="A5417" t="inlineStr">
        <is>
          <t>A 5482-2023</t>
        </is>
      </c>
      <c r="B5417" s="1" t="n">
        <v>44960.36971064815</v>
      </c>
      <c r="C5417" s="1" t="n">
        <v>46103</v>
      </c>
      <c r="D5417" t="inlineStr">
        <is>
          <t>KRONOBERGS LÄN</t>
        </is>
      </c>
      <c r="E5417" t="inlineStr">
        <is>
          <t>LJUNGBY</t>
        </is>
      </c>
      <c r="G5417" t="n">
        <v>0</v>
      </c>
      <c r="H5417" t="n">
        <v>0</v>
      </c>
      <c r="I5417" t="n">
        <v>0</v>
      </c>
      <c r="J5417" t="n">
        <v>0</v>
      </c>
      <c r="K5417" t="n">
        <v>0</v>
      </c>
      <c r="L5417" t="n">
        <v>0</v>
      </c>
      <c r="M5417" t="n">
        <v>0</v>
      </c>
      <c r="N5417" t="n">
        <v>0</v>
      </c>
      <c r="O5417" t="n">
        <v>0</v>
      </c>
      <c r="P5417" t="n">
        <v>0</v>
      </c>
      <c r="Q5417" t="n">
        <v>0</v>
      </c>
      <c r="R5417" s="2" t="inlineStr"/>
    </row>
    <row r="5418" ht="15" customHeight="1">
      <c r="A5418" t="inlineStr">
        <is>
          <t>A 33187-2023</t>
        </is>
      </c>
      <c r="B5418" s="1" t="n">
        <v>45127.38489583333</v>
      </c>
      <c r="C5418" s="1" t="n">
        <v>46103</v>
      </c>
      <c r="D5418" t="inlineStr">
        <is>
          <t>KRONOBERGS LÄN</t>
        </is>
      </c>
      <c r="E5418" t="inlineStr">
        <is>
          <t>VÄXJÖ</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33208-2023</t>
        </is>
      </c>
      <c r="B5419" s="1" t="n">
        <v>45127</v>
      </c>
      <c r="C5419" s="1" t="n">
        <v>46103</v>
      </c>
      <c r="D5419" t="inlineStr">
        <is>
          <t>KRONOBERGS LÄN</t>
        </is>
      </c>
      <c r="E5419" t="inlineStr">
        <is>
          <t>VÄXJÖ</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65087-2023</t>
        </is>
      </c>
      <c r="B5420" s="1" t="n">
        <v>45288.37354166667</v>
      </c>
      <c r="C5420" s="1" t="n">
        <v>46103</v>
      </c>
      <c r="D5420" t="inlineStr">
        <is>
          <t>KRONOBERGS LÄN</t>
        </is>
      </c>
      <c r="E5420" t="inlineStr">
        <is>
          <t>VÄXJÖ</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38858-2024</t>
        </is>
      </c>
      <c r="B5421" s="1" t="n">
        <v>45547.6262037037</v>
      </c>
      <c r="C5421" s="1" t="n">
        <v>46103</v>
      </c>
      <c r="D5421" t="inlineStr">
        <is>
          <t>KRONOBERGS LÄN</t>
        </is>
      </c>
      <c r="E5421" t="inlineStr">
        <is>
          <t>UPPVIDINGE</t>
        </is>
      </c>
      <c r="G5421" t="n">
        <v>0.4</v>
      </c>
      <c r="H5421" t="n">
        <v>0</v>
      </c>
      <c r="I5421" t="n">
        <v>0</v>
      </c>
      <c r="J5421" t="n">
        <v>0</v>
      </c>
      <c r="K5421" t="n">
        <v>0</v>
      </c>
      <c r="L5421" t="n">
        <v>0</v>
      </c>
      <c r="M5421" t="n">
        <v>0</v>
      </c>
      <c r="N5421" t="n">
        <v>0</v>
      </c>
      <c r="O5421" t="n">
        <v>0</v>
      </c>
      <c r="P5421" t="n">
        <v>0</v>
      </c>
      <c r="Q5421" t="n">
        <v>0</v>
      </c>
      <c r="R5421" s="2" t="inlineStr"/>
    </row>
    <row r="5422" ht="15" customHeight="1">
      <c r="A5422" t="inlineStr">
        <is>
          <t>A 38859-2024</t>
        </is>
      </c>
      <c r="B5422" s="1" t="n">
        <v>45547.62703703704</v>
      </c>
      <c r="C5422" s="1" t="n">
        <v>46103</v>
      </c>
      <c r="D5422" t="inlineStr">
        <is>
          <t>KRONOBERGS LÄN</t>
        </is>
      </c>
      <c r="E5422" t="inlineStr">
        <is>
          <t>UPPVIDINGE</t>
        </is>
      </c>
      <c r="G5422" t="n">
        <v>0.2</v>
      </c>
      <c r="H5422" t="n">
        <v>0</v>
      </c>
      <c r="I5422" t="n">
        <v>0</v>
      </c>
      <c r="J5422" t="n">
        <v>0</v>
      </c>
      <c r="K5422" t="n">
        <v>0</v>
      </c>
      <c r="L5422" t="n">
        <v>0</v>
      </c>
      <c r="M5422" t="n">
        <v>0</v>
      </c>
      <c r="N5422" t="n">
        <v>0</v>
      </c>
      <c r="O5422" t="n">
        <v>0</v>
      </c>
      <c r="P5422" t="n">
        <v>0</v>
      </c>
      <c r="Q5422" t="n">
        <v>0</v>
      </c>
      <c r="R5422" s="2" t="inlineStr"/>
    </row>
    <row r="5423" ht="15" customHeight="1">
      <c r="A5423" t="inlineStr">
        <is>
          <t>A 17844-2024</t>
        </is>
      </c>
      <c r="B5423" s="1" t="n">
        <v>45418</v>
      </c>
      <c r="C5423" s="1" t="n">
        <v>46103</v>
      </c>
      <c r="D5423" t="inlineStr">
        <is>
          <t>KRONOBERGS LÄN</t>
        </is>
      </c>
      <c r="E5423" t="inlineStr">
        <is>
          <t>TINGSRYD</t>
        </is>
      </c>
      <c r="F5423" t="inlineStr">
        <is>
          <t>Kyrkan</t>
        </is>
      </c>
      <c r="G5423" t="n">
        <v>3.9</v>
      </c>
      <c r="H5423" t="n">
        <v>0</v>
      </c>
      <c r="I5423" t="n">
        <v>0</v>
      </c>
      <c r="J5423" t="n">
        <v>0</v>
      </c>
      <c r="K5423" t="n">
        <v>0</v>
      </c>
      <c r="L5423" t="n">
        <v>0</v>
      </c>
      <c r="M5423" t="n">
        <v>0</v>
      </c>
      <c r="N5423" t="n">
        <v>0</v>
      </c>
      <c r="O5423" t="n">
        <v>0</v>
      </c>
      <c r="P5423" t="n">
        <v>0</v>
      </c>
      <c r="Q5423" t="n">
        <v>0</v>
      </c>
      <c r="R5423" s="2" t="inlineStr"/>
    </row>
    <row r="5424" ht="15" customHeight="1">
      <c r="A5424" t="inlineStr">
        <is>
          <t>A 44166-2023</t>
        </is>
      </c>
      <c r="B5424" s="1" t="n">
        <v>45188.49305555555</v>
      </c>
      <c r="C5424" s="1" t="n">
        <v>46103</v>
      </c>
      <c r="D5424" t="inlineStr">
        <is>
          <t>KRONOBERGS LÄN</t>
        </is>
      </c>
      <c r="E5424" t="inlineStr">
        <is>
          <t>LJUNGBY</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25010-2023</t>
        </is>
      </c>
      <c r="B5425" s="1" t="n">
        <v>45085.68162037037</v>
      </c>
      <c r="C5425" s="1" t="n">
        <v>46103</v>
      </c>
      <c r="D5425" t="inlineStr">
        <is>
          <t>KRONOBERGS LÄN</t>
        </is>
      </c>
      <c r="E5425" t="inlineStr">
        <is>
          <t>TINGSRYD</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17289-2025</t>
        </is>
      </c>
      <c r="B5426" s="1" t="n">
        <v>45756</v>
      </c>
      <c r="C5426" s="1" t="n">
        <v>46103</v>
      </c>
      <c r="D5426" t="inlineStr">
        <is>
          <t>KRONOBERGS LÄN</t>
        </is>
      </c>
      <c r="E5426" t="inlineStr">
        <is>
          <t>TINGSRYD</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15935-2023</t>
        </is>
      </c>
      <c r="B5427" s="1" t="n">
        <v>45022.55644675926</v>
      </c>
      <c r="C5427" s="1" t="n">
        <v>46103</v>
      </c>
      <c r="D5427" t="inlineStr">
        <is>
          <t>KRONOBERGS LÄN</t>
        </is>
      </c>
      <c r="E5427" t="inlineStr">
        <is>
          <t>VÄXJÖ</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51472-2022</t>
        </is>
      </c>
      <c r="B5428" s="1" t="n">
        <v>44869.55530092592</v>
      </c>
      <c r="C5428" s="1" t="n">
        <v>46103</v>
      </c>
      <c r="D5428" t="inlineStr">
        <is>
          <t>KRONOBERGS LÄN</t>
        </is>
      </c>
      <c r="E5428" t="inlineStr">
        <is>
          <t>VÄXJÖ</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10198-2025</t>
        </is>
      </c>
      <c r="B5429" s="1" t="n">
        <v>45719</v>
      </c>
      <c r="C5429" s="1" t="n">
        <v>46103</v>
      </c>
      <c r="D5429" t="inlineStr">
        <is>
          <t>KRONOBERGS LÄN</t>
        </is>
      </c>
      <c r="E5429" t="inlineStr">
        <is>
          <t>ALVESTA</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37151-2024</t>
        </is>
      </c>
      <c r="B5430" s="1" t="n">
        <v>45539.60321759259</v>
      </c>
      <c r="C5430" s="1" t="n">
        <v>46103</v>
      </c>
      <c r="D5430" t="inlineStr">
        <is>
          <t>KRONOBERGS LÄN</t>
        </is>
      </c>
      <c r="E5430" t="inlineStr">
        <is>
          <t>ÄLMHULT</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13480-2023</t>
        </is>
      </c>
      <c r="B5431" s="1" t="n">
        <v>45005</v>
      </c>
      <c r="C5431" s="1" t="n">
        <v>46103</v>
      </c>
      <c r="D5431" t="inlineStr">
        <is>
          <t>KRONOBERGS LÄN</t>
        </is>
      </c>
      <c r="E5431" t="inlineStr">
        <is>
          <t>LJUNGBY</t>
        </is>
      </c>
      <c r="G5431" t="n">
        <v>10.3</v>
      </c>
      <c r="H5431" t="n">
        <v>0</v>
      </c>
      <c r="I5431" t="n">
        <v>0</v>
      </c>
      <c r="J5431" t="n">
        <v>0</v>
      </c>
      <c r="K5431" t="n">
        <v>0</v>
      </c>
      <c r="L5431" t="n">
        <v>0</v>
      </c>
      <c r="M5431" t="n">
        <v>0</v>
      </c>
      <c r="N5431" t="n">
        <v>0</v>
      </c>
      <c r="O5431" t="n">
        <v>0</v>
      </c>
      <c r="P5431" t="n">
        <v>0</v>
      </c>
      <c r="Q5431" t="n">
        <v>0</v>
      </c>
      <c r="R5431" s="2" t="inlineStr"/>
    </row>
    <row r="5432" ht="15" customHeight="1">
      <c r="A5432" t="inlineStr">
        <is>
          <t>A 20896-2024</t>
        </is>
      </c>
      <c r="B5432" s="1" t="n">
        <v>45439.46791666667</v>
      </c>
      <c r="C5432" s="1" t="n">
        <v>46103</v>
      </c>
      <c r="D5432" t="inlineStr">
        <is>
          <t>KRONOBERGS LÄN</t>
        </is>
      </c>
      <c r="E5432" t="inlineStr">
        <is>
          <t>TINGSRYD</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8495-2024</t>
        </is>
      </c>
      <c r="B5433" s="1" t="n">
        <v>45355.44633101852</v>
      </c>
      <c r="C5433" s="1" t="n">
        <v>46103</v>
      </c>
      <c r="D5433" t="inlineStr">
        <is>
          <t>KRONOBERGS LÄN</t>
        </is>
      </c>
      <c r="E5433" t="inlineStr">
        <is>
          <t>ÄLMHULT</t>
        </is>
      </c>
      <c r="F5433" t="inlineStr">
        <is>
          <t>Sveaskog</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1720-2023</t>
        </is>
      </c>
      <c r="B5434" s="1" t="n">
        <v>44938</v>
      </c>
      <c r="C5434" s="1" t="n">
        <v>46103</v>
      </c>
      <c r="D5434" t="inlineStr">
        <is>
          <t>KRONOBERGS LÄN</t>
        </is>
      </c>
      <c r="E5434" t="inlineStr">
        <is>
          <t>LJUNGBY</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8551-2024</t>
        </is>
      </c>
      <c r="B5435" s="1" t="n">
        <v>45355.56142361111</v>
      </c>
      <c r="C5435" s="1" t="n">
        <v>46103</v>
      </c>
      <c r="D5435" t="inlineStr">
        <is>
          <t>KRONOBERGS LÄN</t>
        </is>
      </c>
      <c r="E5435" t="inlineStr">
        <is>
          <t>UPPVIDINGE</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59688-2022</t>
        </is>
      </c>
      <c r="B5436" s="1" t="n">
        <v>44908</v>
      </c>
      <c r="C5436" s="1" t="n">
        <v>46103</v>
      </c>
      <c r="D5436" t="inlineStr">
        <is>
          <t>KRONOBERGS LÄN</t>
        </is>
      </c>
      <c r="E5436" t="inlineStr">
        <is>
          <t>LJUNGBY</t>
        </is>
      </c>
      <c r="F5436" t="inlineStr">
        <is>
          <t>Sveaskog</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34220-2024</t>
        </is>
      </c>
      <c r="B5437" s="1" t="n">
        <v>45524</v>
      </c>
      <c r="C5437" s="1" t="n">
        <v>46103</v>
      </c>
      <c r="D5437" t="inlineStr">
        <is>
          <t>KRONOBERGS LÄN</t>
        </is>
      </c>
      <c r="E5437" t="inlineStr">
        <is>
          <t>ALVESTA</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3081-2023</t>
        </is>
      </c>
      <c r="B5438" s="1" t="n">
        <v>44946.42413194444</v>
      </c>
      <c r="C5438" s="1" t="n">
        <v>46103</v>
      </c>
      <c r="D5438" t="inlineStr">
        <is>
          <t>KRONOBERGS LÄN</t>
        </is>
      </c>
      <c r="E5438" t="inlineStr">
        <is>
          <t>LJUNGBY</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54500-2022</t>
        </is>
      </c>
      <c r="B5439" s="1" t="n">
        <v>44882.68681712963</v>
      </c>
      <c r="C5439" s="1" t="n">
        <v>46103</v>
      </c>
      <c r="D5439" t="inlineStr">
        <is>
          <t>KRONOBERGS LÄN</t>
        </is>
      </c>
      <c r="E5439" t="inlineStr">
        <is>
          <t>ÄLMHULT</t>
        </is>
      </c>
      <c r="G5439" t="n">
        <v>7.4</v>
      </c>
      <c r="H5439" t="n">
        <v>0</v>
      </c>
      <c r="I5439" t="n">
        <v>0</v>
      </c>
      <c r="J5439" t="n">
        <v>0</v>
      </c>
      <c r="K5439" t="n">
        <v>0</v>
      </c>
      <c r="L5439" t="n">
        <v>0</v>
      </c>
      <c r="M5439" t="n">
        <v>0</v>
      </c>
      <c r="N5439" t="n">
        <v>0</v>
      </c>
      <c r="O5439" t="n">
        <v>0</v>
      </c>
      <c r="P5439" t="n">
        <v>0</v>
      </c>
      <c r="Q5439" t="n">
        <v>0</v>
      </c>
      <c r="R5439" s="2" t="inlineStr"/>
    </row>
    <row r="5440" ht="15" customHeight="1">
      <c r="A5440" t="inlineStr">
        <is>
          <t>A 8939-2024</t>
        </is>
      </c>
      <c r="B5440" s="1" t="n">
        <v>45357.42295138889</v>
      </c>
      <c r="C5440" s="1" t="n">
        <v>46103</v>
      </c>
      <c r="D5440" t="inlineStr">
        <is>
          <t>KRONOBERGS LÄN</t>
        </is>
      </c>
      <c r="E5440" t="inlineStr">
        <is>
          <t>MARKARYD</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9617-2024</t>
        </is>
      </c>
      <c r="B5441" s="1" t="n">
        <v>45361.76549768518</v>
      </c>
      <c r="C5441" s="1" t="n">
        <v>46103</v>
      </c>
      <c r="D5441" t="inlineStr">
        <is>
          <t>KRONOBERGS LÄN</t>
        </is>
      </c>
      <c r="E5441" t="inlineStr">
        <is>
          <t>MARKARYD</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29152-2024</t>
        </is>
      </c>
      <c r="B5442" s="1" t="n">
        <v>45482</v>
      </c>
      <c r="C5442" s="1" t="n">
        <v>46103</v>
      </c>
      <c r="D5442" t="inlineStr">
        <is>
          <t>KRONOBERGS LÄN</t>
        </is>
      </c>
      <c r="E5442" t="inlineStr">
        <is>
          <t>ALVESTA</t>
        </is>
      </c>
      <c r="G5442" t="n">
        <v>3.2</v>
      </c>
      <c r="H5442" t="n">
        <v>0</v>
      </c>
      <c r="I5442" t="n">
        <v>0</v>
      </c>
      <c r="J5442" t="n">
        <v>0</v>
      </c>
      <c r="K5442" t="n">
        <v>0</v>
      </c>
      <c r="L5442" t="n">
        <v>0</v>
      </c>
      <c r="M5442" t="n">
        <v>0</v>
      </c>
      <c r="N5442" t="n">
        <v>0</v>
      </c>
      <c r="O5442" t="n">
        <v>0</v>
      </c>
      <c r="P5442" t="n">
        <v>0</v>
      </c>
      <c r="Q5442" t="n">
        <v>0</v>
      </c>
      <c r="R5442" s="2" t="inlineStr"/>
    </row>
    <row r="5443" ht="15" customHeight="1">
      <c r="A5443" t="inlineStr">
        <is>
          <t>A 29157-2024</t>
        </is>
      </c>
      <c r="B5443" s="1" t="n">
        <v>45482</v>
      </c>
      <c r="C5443" s="1" t="n">
        <v>46103</v>
      </c>
      <c r="D5443" t="inlineStr">
        <is>
          <t>KRONOBERGS LÄN</t>
        </is>
      </c>
      <c r="E5443" t="inlineStr">
        <is>
          <t>LJUNGBY</t>
        </is>
      </c>
      <c r="G5443" t="n">
        <v>9.5</v>
      </c>
      <c r="H5443" t="n">
        <v>0</v>
      </c>
      <c r="I5443" t="n">
        <v>0</v>
      </c>
      <c r="J5443" t="n">
        <v>0</v>
      </c>
      <c r="K5443" t="n">
        <v>0</v>
      </c>
      <c r="L5443" t="n">
        <v>0</v>
      </c>
      <c r="M5443" t="n">
        <v>0</v>
      </c>
      <c r="N5443" t="n">
        <v>0</v>
      </c>
      <c r="O5443" t="n">
        <v>0</v>
      </c>
      <c r="P5443" t="n">
        <v>0</v>
      </c>
      <c r="Q5443" t="n">
        <v>0</v>
      </c>
      <c r="R5443" s="2" t="inlineStr"/>
    </row>
    <row r="5444" ht="15" customHeight="1">
      <c r="A5444" t="inlineStr">
        <is>
          <t>A 45275-2023</t>
        </is>
      </c>
      <c r="B5444" s="1" t="n">
        <v>45191.63966435185</v>
      </c>
      <c r="C5444" s="1" t="n">
        <v>46103</v>
      </c>
      <c r="D5444" t="inlineStr">
        <is>
          <t>KRONOBERGS LÄN</t>
        </is>
      </c>
      <c r="E5444" t="inlineStr">
        <is>
          <t>MARKARYD</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41566-2023</t>
        </is>
      </c>
      <c r="B5445" s="1" t="n">
        <v>45175</v>
      </c>
      <c r="C5445" s="1" t="n">
        <v>46103</v>
      </c>
      <c r="D5445" t="inlineStr">
        <is>
          <t>KRONOBERGS LÄN</t>
        </is>
      </c>
      <c r="E5445" t="inlineStr">
        <is>
          <t>ÄLMHULT</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41577-2023</t>
        </is>
      </c>
      <c r="B5446" s="1" t="n">
        <v>45175</v>
      </c>
      <c r="C5446" s="1" t="n">
        <v>46103</v>
      </c>
      <c r="D5446" t="inlineStr">
        <is>
          <t>KRONOBERGS LÄN</t>
        </is>
      </c>
      <c r="E5446" t="inlineStr">
        <is>
          <t>ÄLMHULT</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8901-2024</t>
        </is>
      </c>
      <c r="B5447" s="1" t="n">
        <v>45357</v>
      </c>
      <c r="C5447" s="1" t="n">
        <v>46103</v>
      </c>
      <c r="D5447" t="inlineStr">
        <is>
          <t>KRONOBERGS LÄN</t>
        </is>
      </c>
      <c r="E5447" t="inlineStr">
        <is>
          <t>LJUNGBY</t>
        </is>
      </c>
      <c r="G5447" t="n">
        <v>5.1</v>
      </c>
      <c r="H5447" t="n">
        <v>0</v>
      </c>
      <c r="I5447" t="n">
        <v>0</v>
      </c>
      <c r="J5447" t="n">
        <v>0</v>
      </c>
      <c r="K5447" t="n">
        <v>0</v>
      </c>
      <c r="L5447" t="n">
        <v>0</v>
      </c>
      <c r="M5447" t="n">
        <v>0</v>
      </c>
      <c r="N5447" t="n">
        <v>0</v>
      </c>
      <c r="O5447" t="n">
        <v>0</v>
      </c>
      <c r="P5447" t="n">
        <v>0</v>
      </c>
      <c r="Q5447" t="n">
        <v>0</v>
      </c>
      <c r="R5447" s="2" t="inlineStr"/>
    </row>
    <row r="5448" ht="15" customHeight="1">
      <c r="A5448" t="inlineStr">
        <is>
          <t>A 64854-2023</t>
        </is>
      </c>
      <c r="B5448" s="1" t="n">
        <v>45282.48534722222</v>
      </c>
      <c r="C5448" s="1" t="n">
        <v>46103</v>
      </c>
      <c r="D5448" t="inlineStr">
        <is>
          <t>KRONOBERGS LÄN</t>
        </is>
      </c>
      <c r="E5448" t="inlineStr">
        <is>
          <t>MARKARYD</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13362-2023</t>
        </is>
      </c>
      <c r="B5449" s="1" t="n">
        <v>45005.46736111111</v>
      </c>
      <c r="C5449" s="1" t="n">
        <v>46103</v>
      </c>
      <c r="D5449" t="inlineStr">
        <is>
          <t>KRONOBERGS LÄN</t>
        </is>
      </c>
      <c r="E5449" t="inlineStr">
        <is>
          <t>ALVESTA</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22123-2022</t>
        </is>
      </c>
      <c r="B5450" s="1" t="n">
        <v>44712</v>
      </c>
      <c r="C5450" s="1" t="n">
        <v>46103</v>
      </c>
      <c r="D5450" t="inlineStr">
        <is>
          <t>KRONOBERGS LÄN</t>
        </is>
      </c>
      <c r="E5450" t="inlineStr">
        <is>
          <t>LJUNGBY</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12115-2023</t>
        </is>
      </c>
      <c r="B5451" s="1" t="n">
        <v>44998.41530092592</v>
      </c>
      <c r="C5451" s="1" t="n">
        <v>46103</v>
      </c>
      <c r="D5451" t="inlineStr">
        <is>
          <t>KRONOBERGS LÄN</t>
        </is>
      </c>
      <c r="E5451" t="inlineStr">
        <is>
          <t>VÄXJÖ</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50568-2023</t>
        </is>
      </c>
      <c r="B5452" s="1" t="n">
        <v>45217.3809837963</v>
      </c>
      <c r="C5452" s="1" t="n">
        <v>46103</v>
      </c>
      <c r="D5452" t="inlineStr">
        <is>
          <t>KRONOBERGS LÄN</t>
        </is>
      </c>
      <c r="E5452" t="inlineStr">
        <is>
          <t>LJUNGBY</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4352-2025</t>
        </is>
      </c>
      <c r="B5453" s="1" t="n">
        <v>45686.3184375</v>
      </c>
      <c r="C5453" s="1" t="n">
        <v>46103</v>
      </c>
      <c r="D5453" t="inlineStr">
        <is>
          <t>KRONOBERGS LÄN</t>
        </is>
      </c>
      <c r="E5453" t="inlineStr">
        <is>
          <t>LJUNGBY</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18206-2025</t>
        </is>
      </c>
      <c r="B5454" s="1" t="n">
        <v>45761.68552083334</v>
      </c>
      <c r="C5454" s="1" t="n">
        <v>46103</v>
      </c>
      <c r="D5454" t="inlineStr">
        <is>
          <t>KRONOBERGS LÄN</t>
        </is>
      </c>
      <c r="E5454" t="inlineStr">
        <is>
          <t>LESSEBO</t>
        </is>
      </c>
      <c r="F5454" t="inlineStr">
        <is>
          <t>Sveaskog</t>
        </is>
      </c>
      <c r="G5454" t="n">
        <v>6.1</v>
      </c>
      <c r="H5454" t="n">
        <v>0</v>
      </c>
      <c r="I5454" t="n">
        <v>0</v>
      </c>
      <c r="J5454" t="n">
        <v>0</v>
      </c>
      <c r="K5454" t="n">
        <v>0</v>
      </c>
      <c r="L5454" t="n">
        <v>0</v>
      </c>
      <c r="M5454" t="n">
        <v>0</v>
      </c>
      <c r="N5454" t="n">
        <v>0</v>
      </c>
      <c r="O5454" t="n">
        <v>0</v>
      </c>
      <c r="P5454" t="n">
        <v>0</v>
      </c>
      <c r="Q5454" t="n">
        <v>0</v>
      </c>
      <c r="R5454" s="2" t="inlineStr"/>
    </row>
    <row r="5455" ht="15" customHeight="1">
      <c r="A5455" t="inlineStr">
        <is>
          <t>A 18207-2025</t>
        </is>
      </c>
      <c r="B5455" s="1" t="n">
        <v>45761.68600694444</v>
      </c>
      <c r="C5455" s="1" t="n">
        <v>46103</v>
      </c>
      <c r="D5455" t="inlineStr">
        <is>
          <t>KRONOBERGS LÄN</t>
        </is>
      </c>
      <c r="E5455" t="inlineStr">
        <is>
          <t>LESSEBO</t>
        </is>
      </c>
      <c r="F5455" t="inlineStr">
        <is>
          <t>Sveaskog</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18211-2025</t>
        </is>
      </c>
      <c r="B5456" s="1" t="n">
        <v>45761.69388888889</v>
      </c>
      <c r="C5456" s="1" t="n">
        <v>46103</v>
      </c>
      <c r="D5456" t="inlineStr">
        <is>
          <t>KRONOBERGS LÄN</t>
        </is>
      </c>
      <c r="E5456" t="inlineStr">
        <is>
          <t>LESSEBO</t>
        </is>
      </c>
      <c r="F5456" t="inlineStr">
        <is>
          <t>Sveaskog</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17010-2023</t>
        </is>
      </c>
      <c r="B5457" s="1" t="n">
        <v>45034.29767361111</v>
      </c>
      <c r="C5457" s="1" t="n">
        <v>46103</v>
      </c>
      <c r="D5457" t="inlineStr">
        <is>
          <t>KRONOBERGS LÄN</t>
        </is>
      </c>
      <c r="E5457" t="inlineStr">
        <is>
          <t>TINGSRYD</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16022-2023</t>
        </is>
      </c>
      <c r="B5458" s="1" t="n">
        <v>45026</v>
      </c>
      <c r="C5458" s="1" t="n">
        <v>46103</v>
      </c>
      <c r="D5458" t="inlineStr">
        <is>
          <t>KRONOBERGS LÄN</t>
        </is>
      </c>
      <c r="E5458" t="inlineStr">
        <is>
          <t>MARKARYD</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50643-2023</t>
        </is>
      </c>
      <c r="B5459" s="1" t="n">
        <v>45217.47178240741</v>
      </c>
      <c r="C5459" s="1" t="n">
        <v>46103</v>
      </c>
      <c r="D5459" t="inlineStr">
        <is>
          <t>KRONOBERGS LÄN</t>
        </is>
      </c>
      <c r="E5459" t="inlineStr">
        <is>
          <t>VÄXJÖ</t>
        </is>
      </c>
      <c r="G5459" t="n">
        <v>5</v>
      </c>
      <c r="H5459" t="n">
        <v>0</v>
      </c>
      <c r="I5459" t="n">
        <v>0</v>
      </c>
      <c r="J5459" t="n">
        <v>0</v>
      </c>
      <c r="K5459" t="n">
        <v>0</v>
      </c>
      <c r="L5459" t="n">
        <v>0</v>
      </c>
      <c r="M5459" t="n">
        <v>0</v>
      </c>
      <c r="N5459" t="n">
        <v>0</v>
      </c>
      <c r="O5459" t="n">
        <v>0</v>
      </c>
      <c r="P5459" t="n">
        <v>0</v>
      </c>
      <c r="Q5459" t="n">
        <v>0</v>
      </c>
      <c r="R5459" s="2" t="inlineStr"/>
    </row>
    <row r="5460" ht="15" customHeight="1">
      <c r="A5460" t="inlineStr">
        <is>
          <t>A 23377-2023</t>
        </is>
      </c>
      <c r="B5460" s="1" t="n">
        <v>45076</v>
      </c>
      <c r="C5460" s="1" t="n">
        <v>46103</v>
      </c>
      <c r="D5460" t="inlineStr">
        <is>
          <t>KRONOBERGS LÄN</t>
        </is>
      </c>
      <c r="E5460" t="inlineStr">
        <is>
          <t>ÄLMHULT</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23380-2023</t>
        </is>
      </c>
      <c r="B5461" s="1" t="n">
        <v>45076</v>
      </c>
      <c r="C5461" s="1" t="n">
        <v>46103</v>
      </c>
      <c r="D5461" t="inlineStr">
        <is>
          <t>KRONOBERGS LÄN</t>
        </is>
      </c>
      <c r="E5461" t="inlineStr">
        <is>
          <t>ÄLMHULT</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15266-2024</t>
        </is>
      </c>
      <c r="B5462" s="1" t="n">
        <v>45400</v>
      </c>
      <c r="C5462" s="1" t="n">
        <v>46103</v>
      </c>
      <c r="D5462" t="inlineStr">
        <is>
          <t>KRONOBERGS LÄN</t>
        </is>
      </c>
      <c r="E5462" t="inlineStr">
        <is>
          <t>UPPVIDINGE</t>
        </is>
      </c>
      <c r="F5462" t="inlineStr">
        <is>
          <t>Sveaskog</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50942-2023</t>
        </is>
      </c>
      <c r="B5463" s="1" t="n">
        <v>45218.4646412037</v>
      </c>
      <c r="C5463" s="1" t="n">
        <v>46103</v>
      </c>
      <c r="D5463" t="inlineStr">
        <is>
          <t>KRONOBERGS LÄN</t>
        </is>
      </c>
      <c r="E5463" t="inlineStr">
        <is>
          <t>MARKARYD</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50976-2023</t>
        </is>
      </c>
      <c r="B5464" s="1" t="n">
        <v>45218.51930555556</v>
      </c>
      <c r="C5464" s="1" t="n">
        <v>46103</v>
      </c>
      <c r="D5464" t="inlineStr">
        <is>
          <t>KRONOBERGS LÄN</t>
        </is>
      </c>
      <c r="E5464" t="inlineStr">
        <is>
          <t>ALVESTA</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36193-2023</t>
        </is>
      </c>
      <c r="B5465" s="1" t="n">
        <v>45149</v>
      </c>
      <c r="C5465" s="1" t="n">
        <v>46103</v>
      </c>
      <c r="D5465" t="inlineStr">
        <is>
          <t>KRONOBERGS LÄN</t>
        </is>
      </c>
      <c r="E5465" t="inlineStr">
        <is>
          <t>UPPVIDINGE</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27491-2021</t>
        </is>
      </c>
      <c r="B5466" s="1" t="n">
        <v>44351.62145833333</v>
      </c>
      <c r="C5466" s="1" t="n">
        <v>46103</v>
      </c>
      <c r="D5466" t="inlineStr">
        <is>
          <t>KRONOBERGS LÄN</t>
        </is>
      </c>
      <c r="E5466" t="inlineStr">
        <is>
          <t>VÄXJÖ</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42989-2024</t>
        </is>
      </c>
      <c r="B5467" s="1" t="n">
        <v>45567.37547453704</v>
      </c>
      <c r="C5467" s="1" t="n">
        <v>46103</v>
      </c>
      <c r="D5467" t="inlineStr">
        <is>
          <t>KRONOBERGS LÄN</t>
        </is>
      </c>
      <c r="E5467" t="inlineStr">
        <is>
          <t>LJUNGBY</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43021-2024</t>
        </is>
      </c>
      <c r="B5468" s="1" t="n">
        <v>45567</v>
      </c>
      <c r="C5468" s="1" t="n">
        <v>46103</v>
      </c>
      <c r="D5468" t="inlineStr">
        <is>
          <t>KRONOBERGS LÄN</t>
        </is>
      </c>
      <c r="E5468" t="inlineStr">
        <is>
          <t>LJUNGBY</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14400-2024</t>
        </is>
      </c>
      <c r="B5469" s="1" t="n">
        <v>45394.34818287037</v>
      </c>
      <c r="C5469" s="1" t="n">
        <v>46103</v>
      </c>
      <c r="D5469" t="inlineStr">
        <is>
          <t>KRONOBERGS LÄN</t>
        </is>
      </c>
      <c r="E5469" t="inlineStr">
        <is>
          <t>TINGSRYD</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54072-2024</t>
        </is>
      </c>
      <c r="B5470" s="1" t="n">
        <v>45615</v>
      </c>
      <c r="C5470" s="1" t="n">
        <v>46103</v>
      </c>
      <c r="D5470" t="inlineStr">
        <is>
          <t>KRONOBERGS LÄN</t>
        </is>
      </c>
      <c r="E5470" t="inlineStr">
        <is>
          <t>UPPVIDINGE</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10858-2023</t>
        </is>
      </c>
      <c r="B5471" s="1" t="n">
        <v>44991.38001157407</v>
      </c>
      <c r="C5471" s="1" t="n">
        <v>46103</v>
      </c>
      <c r="D5471" t="inlineStr">
        <is>
          <t>KRONOBERGS LÄN</t>
        </is>
      </c>
      <c r="E5471" t="inlineStr">
        <is>
          <t>ALVESTA</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24905-2023</t>
        </is>
      </c>
      <c r="B5472" s="1" t="n">
        <v>45085.48240740741</v>
      </c>
      <c r="C5472" s="1" t="n">
        <v>46103</v>
      </c>
      <c r="D5472" t="inlineStr">
        <is>
          <t>KRONOBERGS LÄN</t>
        </is>
      </c>
      <c r="E5472" t="inlineStr">
        <is>
          <t>VÄXJÖ</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24932-2023</t>
        </is>
      </c>
      <c r="B5473" s="1" t="n">
        <v>45085</v>
      </c>
      <c r="C5473" s="1" t="n">
        <v>46103</v>
      </c>
      <c r="D5473" t="inlineStr">
        <is>
          <t>KRONOBERGS LÄN</t>
        </is>
      </c>
      <c r="E5473" t="inlineStr">
        <is>
          <t>UPPVIDINGE</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46992-2021</t>
        </is>
      </c>
      <c r="B5474" s="1" t="n">
        <v>44446.56373842592</v>
      </c>
      <c r="C5474" s="1" t="n">
        <v>46103</v>
      </c>
      <c r="D5474" t="inlineStr">
        <is>
          <t>KRONOBERGS LÄN</t>
        </is>
      </c>
      <c r="E5474" t="inlineStr">
        <is>
          <t>TINGSRYD</t>
        </is>
      </c>
      <c r="G5474" t="n">
        <v>6.7</v>
      </c>
      <c r="H5474" t="n">
        <v>0</v>
      </c>
      <c r="I5474" t="n">
        <v>0</v>
      </c>
      <c r="J5474" t="n">
        <v>0</v>
      </c>
      <c r="K5474" t="n">
        <v>0</v>
      </c>
      <c r="L5474" t="n">
        <v>0</v>
      </c>
      <c r="M5474" t="n">
        <v>0</v>
      </c>
      <c r="N5474" t="n">
        <v>0</v>
      </c>
      <c r="O5474" t="n">
        <v>0</v>
      </c>
      <c r="P5474" t="n">
        <v>0</v>
      </c>
      <c r="Q5474" t="n">
        <v>0</v>
      </c>
      <c r="R5474" s="2" t="inlineStr"/>
    </row>
    <row r="5475" ht="15" customHeight="1">
      <c r="A5475" t="inlineStr">
        <is>
          <t>A 51210-2022</t>
        </is>
      </c>
      <c r="B5475" s="1" t="n">
        <v>44868.61945601852</v>
      </c>
      <c r="C5475" s="1" t="n">
        <v>46103</v>
      </c>
      <c r="D5475" t="inlineStr">
        <is>
          <t>KRONOBERGS LÄN</t>
        </is>
      </c>
      <c r="E5475" t="inlineStr">
        <is>
          <t>ALVESTA</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10613-2022</t>
        </is>
      </c>
      <c r="B5476" s="1" t="n">
        <v>44624</v>
      </c>
      <c r="C5476" s="1" t="n">
        <v>46103</v>
      </c>
      <c r="D5476" t="inlineStr">
        <is>
          <t>KRONOBERGS LÄN</t>
        </is>
      </c>
      <c r="E5476" t="inlineStr">
        <is>
          <t>TINGSRYD</t>
        </is>
      </c>
      <c r="G5476" t="n">
        <v>7.1</v>
      </c>
      <c r="H5476" t="n">
        <v>0</v>
      </c>
      <c r="I5476" t="n">
        <v>0</v>
      </c>
      <c r="J5476" t="n">
        <v>0</v>
      </c>
      <c r="K5476" t="n">
        <v>0</v>
      </c>
      <c r="L5476" t="n">
        <v>0</v>
      </c>
      <c r="M5476" t="n">
        <v>0</v>
      </c>
      <c r="N5476" t="n">
        <v>0</v>
      </c>
      <c r="O5476" t="n">
        <v>0</v>
      </c>
      <c r="P5476" t="n">
        <v>0</v>
      </c>
      <c r="Q5476" t="n">
        <v>0</v>
      </c>
      <c r="R5476" s="2" t="inlineStr"/>
    </row>
    <row r="5477" ht="15" customHeight="1">
      <c r="A5477" t="inlineStr">
        <is>
          <t>A 8037-2022</t>
        </is>
      </c>
      <c r="B5477" s="1" t="n">
        <v>44609</v>
      </c>
      <c r="C5477" s="1" t="n">
        <v>46103</v>
      </c>
      <c r="D5477" t="inlineStr">
        <is>
          <t>KRONOBERGS LÄN</t>
        </is>
      </c>
      <c r="E5477" t="inlineStr">
        <is>
          <t>VÄXJÖ</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172-2023</t>
        </is>
      </c>
      <c r="B5478" s="1" t="n">
        <v>44928.57497685185</v>
      </c>
      <c r="C5478" s="1" t="n">
        <v>46103</v>
      </c>
      <c r="D5478" t="inlineStr">
        <is>
          <t>KRONOBERGS LÄN</t>
        </is>
      </c>
      <c r="E5478" t="inlineStr">
        <is>
          <t>TINGSRYD</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62209-2023</t>
        </is>
      </c>
      <c r="B5479" s="1" t="n">
        <v>45267.48949074074</v>
      </c>
      <c r="C5479" s="1" t="n">
        <v>46103</v>
      </c>
      <c r="D5479" t="inlineStr">
        <is>
          <t>KRONOBERGS LÄN</t>
        </is>
      </c>
      <c r="E5479" t="inlineStr">
        <is>
          <t>TINGSRYD</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640-2024</t>
        </is>
      </c>
      <c r="B5480" s="1" t="n">
        <v>45299</v>
      </c>
      <c r="C5480" s="1" t="n">
        <v>46103</v>
      </c>
      <c r="D5480" t="inlineStr">
        <is>
          <t>KRONOBERGS LÄN</t>
        </is>
      </c>
      <c r="E5480" t="inlineStr">
        <is>
          <t>TINGSRYD</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642-2024</t>
        </is>
      </c>
      <c r="B5481" s="1" t="n">
        <v>45299.74146990741</v>
      </c>
      <c r="C5481" s="1" t="n">
        <v>46103</v>
      </c>
      <c r="D5481" t="inlineStr">
        <is>
          <t>KRONOBERGS LÄN</t>
        </is>
      </c>
      <c r="E5481" t="inlineStr">
        <is>
          <t>LESSEBO</t>
        </is>
      </c>
      <c r="F5481" t="inlineStr">
        <is>
          <t>Sveaskog</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54882-2024</t>
        </is>
      </c>
      <c r="B5482" s="1" t="n">
        <v>45618.61243055556</v>
      </c>
      <c r="C5482" s="1" t="n">
        <v>46103</v>
      </c>
      <c r="D5482" t="inlineStr">
        <is>
          <t>KRONOBERGS LÄN</t>
        </is>
      </c>
      <c r="E5482" t="inlineStr">
        <is>
          <t>LJUNGBY</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50230-2021</t>
        </is>
      </c>
      <c r="B5483" s="1" t="n">
        <v>44457.86240740741</v>
      </c>
      <c r="C5483" s="1" t="n">
        <v>46103</v>
      </c>
      <c r="D5483" t="inlineStr">
        <is>
          <t>KRONOBERGS LÄN</t>
        </is>
      </c>
      <c r="E5483" t="inlineStr">
        <is>
          <t>VÄXJÖ</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6479-2022</t>
        </is>
      </c>
      <c r="B5484" s="1" t="n">
        <v>44601</v>
      </c>
      <c r="C5484" s="1" t="n">
        <v>46103</v>
      </c>
      <c r="D5484" t="inlineStr">
        <is>
          <t>KRONOBERGS LÄN</t>
        </is>
      </c>
      <c r="E5484" t="inlineStr">
        <is>
          <t>ALVESTA</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61444-2023</t>
        </is>
      </c>
      <c r="B5485" s="1" t="n">
        <v>45264.80158564815</v>
      </c>
      <c r="C5485" s="1" t="n">
        <v>46103</v>
      </c>
      <c r="D5485" t="inlineStr">
        <is>
          <t>KRONOBERGS LÄN</t>
        </is>
      </c>
      <c r="E5485" t="inlineStr">
        <is>
          <t>TINGSRYD</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30886-2023</t>
        </is>
      </c>
      <c r="B5486" s="1" t="n">
        <v>45113.36457175926</v>
      </c>
      <c r="C5486" s="1" t="n">
        <v>46103</v>
      </c>
      <c r="D5486" t="inlineStr">
        <is>
          <t>KRONOBERGS LÄN</t>
        </is>
      </c>
      <c r="E5486" t="inlineStr">
        <is>
          <t>UPPVIDINGE</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31565-2023</t>
        </is>
      </c>
      <c r="B5487" s="1" t="n">
        <v>45117</v>
      </c>
      <c r="C5487" s="1" t="n">
        <v>46103</v>
      </c>
      <c r="D5487" t="inlineStr">
        <is>
          <t>KRONOBERGS LÄN</t>
        </is>
      </c>
      <c r="E5487" t="inlineStr">
        <is>
          <t>UPPVIDINGE</t>
        </is>
      </c>
      <c r="G5487" t="n">
        <v>6.9</v>
      </c>
      <c r="H5487" t="n">
        <v>0</v>
      </c>
      <c r="I5487" t="n">
        <v>0</v>
      </c>
      <c r="J5487" t="n">
        <v>0</v>
      </c>
      <c r="K5487" t="n">
        <v>0</v>
      </c>
      <c r="L5487" t="n">
        <v>0</v>
      </c>
      <c r="M5487" t="n">
        <v>0</v>
      </c>
      <c r="N5487" t="n">
        <v>0</v>
      </c>
      <c r="O5487" t="n">
        <v>0</v>
      </c>
      <c r="P5487" t="n">
        <v>0</v>
      </c>
      <c r="Q5487" t="n">
        <v>0</v>
      </c>
      <c r="R5487" s="2" t="inlineStr"/>
    </row>
    <row r="5488" ht="15" customHeight="1">
      <c r="A5488" t="inlineStr">
        <is>
          <t>A 31603-2023</t>
        </is>
      </c>
      <c r="B5488" s="1" t="n">
        <v>45117</v>
      </c>
      <c r="C5488" s="1" t="n">
        <v>46103</v>
      </c>
      <c r="D5488" t="inlineStr">
        <is>
          <t>KRONOBERGS LÄN</t>
        </is>
      </c>
      <c r="E5488" t="inlineStr">
        <is>
          <t>MARKARYD</t>
        </is>
      </c>
      <c r="F5488" t="inlineStr">
        <is>
          <t>Naturvårdsverket</t>
        </is>
      </c>
      <c r="G5488" t="n">
        <v>4.9</v>
      </c>
      <c r="H5488" t="n">
        <v>0</v>
      </c>
      <c r="I5488" t="n">
        <v>0</v>
      </c>
      <c r="J5488" t="n">
        <v>0</v>
      </c>
      <c r="K5488" t="n">
        <v>0</v>
      </c>
      <c r="L5488" t="n">
        <v>0</v>
      </c>
      <c r="M5488" t="n">
        <v>0</v>
      </c>
      <c r="N5488" t="n">
        <v>0</v>
      </c>
      <c r="O5488" t="n">
        <v>0</v>
      </c>
      <c r="P5488" t="n">
        <v>0</v>
      </c>
      <c r="Q5488" t="n">
        <v>0</v>
      </c>
      <c r="R5488" s="2" t="inlineStr"/>
    </row>
    <row r="5489" ht="15" customHeight="1">
      <c r="A5489" t="inlineStr">
        <is>
          <t>A 45749-2024</t>
        </is>
      </c>
      <c r="B5489" s="1" t="n">
        <v>45579</v>
      </c>
      <c r="C5489" s="1" t="n">
        <v>46103</v>
      </c>
      <c r="D5489" t="inlineStr">
        <is>
          <t>KRONOBERGS LÄN</t>
        </is>
      </c>
      <c r="E5489" t="inlineStr">
        <is>
          <t>UPPVIDINGE</t>
        </is>
      </c>
      <c r="F5489" t="inlineStr">
        <is>
          <t>Sveaskog</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18729-2021</t>
        </is>
      </c>
      <c r="B5490" s="1" t="n">
        <v>44307.41773148148</v>
      </c>
      <c r="C5490" s="1" t="n">
        <v>46103</v>
      </c>
      <c r="D5490" t="inlineStr">
        <is>
          <t>KRONOBERGS LÄN</t>
        </is>
      </c>
      <c r="E5490" t="inlineStr">
        <is>
          <t>LESSEBO</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20571-2022</t>
        </is>
      </c>
      <c r="B5491" s="1" t="n">
        <v>44700.39484953704</v>
      </c>
      <c r="C5491" s="1" t="n">
        <v>46103</v>
      </c>
      <c r="D5491" t="inlineStr">
        <is>
          <t>KRONOBERGS LÄN</t>
        </is>
      </c>
      <c r="E5491" t="inlineStr">
        <is>
          <t>MARKARYD</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2808-2024</t>
        </is>
      </c>
      <c r="B5492" s="1" t="n">
        <v>45314.69070601852</v>
      </c>
      <c r="C5492" s="1" t="n">
        <v>46103</v>
      </c>
      <c r="D5492" t="inlineStr">
        <is>
          <t>KRONOBERGS LÄN</t>
        </is>
      </c>
      <c r="E5492" t="inlineStr">
        <is>
          <t>TINGSRYD</t>
        </is>
      </c>
      <c r="G5492" t="n">
        <v>3.6</v>
      </c>
      <c r="H5492" t="n">
        <v>0</v>
      </c>
      <c r="I5492" t="n">
        <v>0</v>
      </c>
      <c r="J5492" t="n">
        <v>0</v>
      </c>
      <c r="K5492" t="n">
        <v>0</v>
      </c>
      <c r="L5492" t="n">
        <v>0</v>
      </c>
      <c r="M5492" t="n">
        <v>0</v>
      </c>
      <c r="N5492" t="n">
        <v>0</v>
      </c>
      <c r="O5492" t="n">
        <v>0</v>
      </c>
      <c r="P5492" t="n">
        <v>0</v>
      </c>
      <c r="Q5492" t="n">
        <v>0</v>
      </c>
      <c r="R5492" s="2" t="inlineStr"/>
    </row>
    <row r="5493" ht="15" customHeight="1">
      <c r="A5493" t="inlineStr">
        <is>
          <t>A 12866-2025</t>
        </is>
      </c>
      <c r="B5493" s="1" t="n">
        <v>45733.67344907407</v>
      </c>
      <c r="C5493" s="1" t="n">
        <v>46103</v>
      </c>
      <c r="D5493" t="inlineStr">
        <is>
          <t>KRONOBERGS LÄN</t>
        </is>
      </c>
      <c r="E5493" t="inlineStr">
        <is>
          <t>ÄLMHULT</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8123-2024</t>
        </is>
      </c>
      <c r="B5494" s="1" t="n">
        <v>45351</v>
      </c>
      <c r="C5494" s="1" t="n">
        <v>46103</v>
      </c>
      <c r="D5494" t="inlineStr">
        <is>
          <t>KRONOBERGS LÄN</t>
        </is>
      </c>
      <c r="E5494" t="inlineStr">
        <is>
          <t>UPPVIDINGE</t>
        </is>
      </c>
      <c r="G5494" t="n">
        <v>7</v>
      </c>
      <c r="H5494" t="n">
        <v>0</v>
      </c>
      <c r="I5494" t="n">
        <v>0</v>
      </c>
      <c r="J5494" t="n">
        <v>0</v>
      </c>
      <c r="K5494" t="n">
        <v>0</v>
      </c>
      <c r="L5494" t="n">
        <v>0</v>
      </c>
      <c r="M5494" t="n">
        <v>0</v>
      </c>
      <c r="N5494" t="n">
        <v>0</v>
      </c>
      <c r="O5494" t="n">
        <v>0</v>
      </c>
      <c r="P5494" t="n">
        <v>0</v>
      </c>
      <c r="Q5494" t="n">
        <v>0</v>
      </c>
      <c r="R5494" s="2" t="inlineStr"/>
    </row>
    <row r="5495" ht="15" customHeight="1">
      <c r="A5495" t="inlineStr">
        <is>
          <t>A 42209-2024</t>
        </is>
      </c>
      <c r="B5495" s="1" t="n">
        <v>45562.53543981481</v>
      </c>
      <c r="C5495" s="1" t="n">
        <v>46103</v>
      </c>
      <c r="D5495" t="inlineStr">
        <is>
          <t>KRONOBERGS LÄN</t>
        </is>
      </c>
      <c r="E5495" t="inlineStr">
        <is>
          <t>LJUNGBY</t>
        </is>
      </c>
      <c r="F5495" t="inlineStr">
        <is>
          <t>Sveaskog</t>
        </is>
      </c>
      <c r="G5495" t="n">
        <v>6.8</v>
      </c>
      <c r="H5495" t="n">
        <v>0</v>
      </c>
      <c r="I5495" t="n">
        <v>0</v>
      </c>
      <c r="J5495" t="n">
        <v>0</v>
      </c>
      <c r="K5495" t="n">
        <v>0</v>
      </c>
      <c r="L5495" t="n">
        <v>0</v>
      </c>
      <c r="M5495" t="n">
        <v>0</v>
      </c>
      <c r="N5495" t="n">
        <v>0</v>
      </c>
      <c r="O5495" t="n">
        <v>0</v>
      </c>
      <c r="P5495" t="n">
        <v>0</v>
      </c>
      <c r="Q5495" t="n">
        <v>0</v>
      </c>
      <c r="R5495" s="2" t="inlineStr"/>
    </row>
    <row r="5496" ht="15" customHeight="1">
      <c r="A5496" t="inlineStr">
        <is>
          <t>A 60043-2024</t>
        </is>
      </c>
      <c r="B5496" s="1" t="n">
        <v>45642.47158564815</v>
      </c>
      <c r="C5496" s="1" t="n">
        <v>46103</v>
      </c>
      <c r="D5496" t="inlineStr">
        <is>
          <t>KRONOBERGS LÄN</t>
        </is>
      </c>
      <c r="E5496" t="inlineStr">
        <is>
          <t>UPPVIDINGE</t>
        </is>
      </c>
      <c r="F5496" t="inlineStr">
        <is>
          <t>Sveaskog</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31844-2024</t>
        </is>
      </c>
      <c r="B5497" s="1" t="n">
        <v>45509</v>
      </c>
      <c r="C5497" s="1" t="n">
        <v>46103</v>
      </c>
      <c r="D5497" t="inlineStr">
        <is>
          <t>KRONOBERGS LÄN</t>
        </is>
      </c>
      <c r="E5497" t="inlineStr">
        <is>
          <t>LJUNGBY</t>
        </is>
      </c>
      <c r="F5497" t="inlineStr">
        <is>
          <t>Sveaskog</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61968-2024</t>
        </is>
      </c>
      <c r="B5498" s="1" t="n">
        <v>45653.58763888889</v>
      </c>
      <c r="C5498" s="1" t="n">
        <v>46103</v>
      </c>
      <c r="D5498" t="inlineStr">
        <is>
          <t>KRONOBERGS LÄN</t>
        </is>
      </c>
      <c r="E5498" t="inlineStr">
        <is>
          <t>ÄLMHULT</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10929-2025</t>
        </is>
      </c>
      <c r="B5499" s="1" t="n">
        <v>45722.95646990741</v>
      </c>
      <c r="C5499" s="1" t="n">
        <v>46103</v>
      </c>
      <c r="D5499" t="inlineStr">
        <is>
          <t>KRONOBERGS LÄN</t>
        </is>
      </c>
      <c r="E5499" t="inlineStr">
        <is>
          <t>VÄXJÖ</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68212-2021</t>
        </is>
      </c>
      <c r="B5500" s="1" t="n">
        <v>44526.55567129629</v>
      </c>
      <c r="C5500" s="1" t="n">
        <v>46103</v>
      </c>
      <c r="D5500" t="inlineStr">
        <is>
          <t>KRONOBERGS LÄN</t>
        </is>
      </c>
      <c r="E5500" t="inlineStr">
        <is>
          <t>ÄLMHULT</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64776-2023</t>
        </is>
      </c>
      <c r="B5501" s="1" t="n">
        <v>45281</v>
      </c>
      <c r="C5501" s="1" t="n">
        <v>46103</v>
      </c>
      <c r="D5501" t="inlineStr">
        <is>
          <t>KRONOBERGS LÄN</t>
        </is>
      </c>
      <c r="E5501" t="inlineStr">
        <is>
          <t>MARKARYD</t>
        </is>
      </c>
      <c r="F5501" t="inlineStr">
        <is>
          <t>Kyrkan</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35707-2021</t>
        </is>
      </c>
      <c r="B5502" s="1" t="n">
        <v>44386.50340277778</v>
      </c>
      <c r="C5502" s="1" t="n">
        <v>46103</v>
      </c>
      <c r="D5502" t="inlineStr">
        <is>
          <t>KRONOBERGS LÄN</t>
        </is>
      </c>
      <c r="E5502" t="inlineStr">
        <is>
          <t>ÄLMHULT</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7678-2025</t>
        </is>
      </c>
      <c r="B5503" s="1" t="n">
        <v>45706.36192129629</v>
      </c>
      <c r="C5503" s="1" t="n">
        <v>46103</v>
      </c>
      <c r="D5503" t="inlineStr">
        <is>
          <t>KRONOBERGS LÄN</t>
        </is>
      </c>
      <c r="E5503" t="inlineStr">
        <is>
          <t>UPPVIDINGE</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41482-2024</t>
        </is>
      </c>
      <c r="B5504" s="1" t="n">
        <v>45560.44628472222</v>
      </c>
      <c r="C5504" s="1" t="n">
        <v>46103</v>
      </c>
      <c r="D5504" t="inlineStr">
        <is>
          <t>KRONOBERGS LÄN</t>
        </is>
      </c>
      <c r="E5504" t="inlineStr">
        <is>
          <t>VÄXJÖ</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53497-2022</t>
        </is>
      </c>
      <c r="B5505" s="1" t="n">
        <v>44875</v>
      </c>
      <c r="C5505" s="1" t="n">
        <v>46103</v>
      </c>
      <c r="D5505" t="inlineStr">
        <is>
          <t>KRONOBERGS LÄN</t>
        </is>
      </c>
      <c r="E5505" t="inlineStr">
        <is>
          <t>TINGSRYD</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18845-2024</t>
        </is>
      </c>
      <c r="B5506" s="1" t="n">
        <v>45426.67791666667</v>
      </c>
      <c r="C5506" s="1" t="n">
        <v>46103</v>
      </c>
      <c r="D5506" t="inlineStr">
        <is>
          <t>KRONOBERGS LÄN</t>
        </is>
      </c>
      <c r="E5506" t="inlineStr">
        <is>
          <t>ALVESTA</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59696-2022</t>
        </is>
      </c>
      <c r="B5507" s="1" t="n">
        <v>44908</v>
      </c>
      <c r="C5507" s="1" t="n">
        <v>46103</v>
      </c>
      <c r="D5507" t="inlineStr">
        <is>
          <t>KRONOBERGS LÄN</t>
        </is>
      </c>
      <c r="E5507" t="inlineStr">
        <is>
          <t>LJUNGBY</t>
        </is>
      </c>
      <c r="F5507" t="inlineStr">
        <is>
          <t>Sveaskog</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13088-2025</t>
        </is>
      </c>
      <c r="B5508" s="1" t="n">
        <v>45734</v>
      </c>
      <c r="C5508" s="1" t="n">
        <v>46103</v>
      </c>
      <c r="D5508" t="inlineStr">
        <is>
          <t>KRONOBERGS LÄN</t>
        </is>
      </c>
      <c r="E5508" t="inlineStr">
        <is>
          <t>UPPVIDINGE</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63078-2021</t>
        </is>
      </c>
      <c r="B5509" s="1" t="n">
        <v>44505.56627314815</v>
      </c>
      <c r="C5509" s="1" t="n">
        <v>46103</v>
      </c>
      <c r="D5509" t="inlineStr">
        <is>
          <t>KRONOBERGS LÄN</t>
        </is>
      </c>
      <c r="E5509" t="inlineStr">
        <is>
          <t>TINGSRYD</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42361-2022</t>
        </is>
      </c>
      <c r="B5510" s="1" t="n">
        <v>44831</v>
      </c>
      <c r="C5510" s="1" t="n">
        <v>46103</v>
      </c>
      <c r="D5510" t="inlineStr">
        <is>
          <t>KRONOBERGS LÄN</t>
        </is>
      </c>
      <c r="E5510" t="inlineStr">
        <is>
          <t>VÄXJÖ</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56008-2023</t>
        </is>
      </c>
      <c r="B5511" s="1" t="n">
        <v>45240.40707175926</v>
      </c>
      <c r="C5511" s="1" t="n">
        <v>46103</v>
      </c>
      <c r="D5511" t="inlineStr">
        <is>
          <t>KRONOBERGS LÄN</t>
        </is>
      </c>
      <c r="E5511" t="inlineStr">
        <is>
          <t>MARKARYD</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21987-2023</t>
        </is>
      </c>
      <c r="B5512" s="1" t="n">
        <v>45068.70543981482</v>
      </c>
      <c r="C5512" s="1" t="n">
        <v>46103</v>
      </c>
      <c r="D5512" t="inlineStr">
        <is>
          <t>KRONOBERGS LÄN</t>
        </is>
      </c>
      <c r="E5512" t="inlineStr">
        <is>
          <t>ALVESTA</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53188-2024</t>
        </is>
      </c>
      <c r="B5513" s="1" t="n">
        <v>45611.70576388889</v>
      </c>
      <c r="C5513" s="1" t="n">
        <v>46103</v>
      </c>
      <c r="D5513" t="inlineStr">
        <is>
          <t>KRONOBERGS LÄN</t>
        </is>
      </c>
      <c r="E5513" t="inlineStr">
        <is>
          <t>VÄXJÖ</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53203-2024</t>
        </is>
      </c>
      <c r="B5514" s="1" t="n">
        <v>45612.43539351852</v>
      </c>
      <c r="C5514" s="1" t="n">
        <v>46103</v>
      </c>
      <c r="D5514" t="inlineStr">
        <is>
          <t>KRONOBERGS LÄN</t>
        </is>
      </c>
      <c r="E5514" t="inlineStr">
        <is>
          <t>ÄLMHULT</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3238-2025</t>
        </is>
      </c>
      <c r="B5515" s="1" t="n">
        <v>45679.49554398148</v>
      </c>
      <c r="C5515" s="1" t="n">
        <v>46103</v>
      </c>
      <c r="D5515" t="inlineStr">
        <is>
          <t>KRONOBERGS LÄN</t>
        </is>
      </c>
      <c r="E5515" t="inlineStr">
        <is>
          <t>VÄXJÖ</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53278-2024</t>
        </is>
      </c>
      <c r="B5516" s="1" t="n">
        <v>45614.3747337963</v>
      </c>
      <c r="C5516" s="1" t="n">
        <v>46103</v>
      </c>
      <c r="D5516" t="inlineStr">
        <is>
          <t>KRONOBERGS LÄN</t>
        </is>
      </c>
      <c r="E5516" t="inlineStr">
        <is>
          <t>TINGSRYD</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9866-2022</t>
        </is>
      </c>
      <c r="B5517" s="1" t="n">
        <v>44620.55774305556</v>
      </c>
      <c r="C5517" s="1" t="n">
        <v>46103</v>
      </c>
      <c r="D5517" t="inlineStr">
        <is>
          <t>KRONOBERGS LÄN</t>
        </is>
      </c>
      <c r="E5517" t="inlineStr">
        <is>
          <t>TINGSRYD</t>
        </is>
      </c>
      <c r="F5517" t="inlineStr">
        <is>
          <t>Kommuner</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8081-2023</t>
        </is>
      </c>
      <c r="B5518" s="1" t="n">
        <v>44974.37488425926</v>
      </c>
      <c r="C5518" s="1" t="n">
        <v>46103</v>
      </c>
      <c r="D5518" t="inlineStr">
        <is>
          <t>KRONOBERGS LÄN</t>
        </is>
      </c>
      <c r="E5518" t="inlineStr">
        <is>
          <t>ALVESTA</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57938-2023</t>
        </is>
      </c>
      <c r="B5519" s="1" t="n">
        <v>45247.55608796296</v>
      </c>
      <c r="C5519" s="1" t="n">
        <v>46103</v>
      </c>
      <c r="D5519" t="inlineStr">
        <is>
          <t>KRONOBERGS LÄN</t>
        </is>
      </c>
      <c r="E5519" t="inlineStr">
        <is>
          <t>ALVESTA</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61119-2023</t>
        </is>
      </c>
      <c r="B5520" s="1" t="n">
        <v>45261</v>
      </c>
      <c r="C5520" s="1" t="n">
        <v>46103</v>
      </c>
      <c r="D5520" t="inlineStr">
        <is>
          <t>KRONOBERGS LÄN</t>
        </is>
      </c>
      <c r="E5520" t="inlineStr">
        <is>
          <t>TINGSRYD</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2693-2025</t>
        </is>
      </c>
      <c r="B5521" s="1" t="n">
        <v>45677.37925925926</v>
      </c>
      <c r="C5521" s="1" t="n">
        <v>46103</v>
      </c>
      <c r="D5521" t="inlineStr">
        <is>
          <t>KRONOBERGS LÄN</t>
        </is>
      </c>
      <c r="E5521" t="inlineStr">
        <is>
          <t>LJUNGBY</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3277-2025</t>
        </is>
      </c>
      <c r="B5522" s="1" t="n">
        <v>45679.60049768518</v>
      </c>
      <c r="C5522" s="1" t="n">
        <v>46103</v>
      </c>
      <c r="D5522" t="inlineStr">
        <is>
          <t>KRONOBERGS LÄN</t>
        </is>
      </c>
      <c r="E5522" t="inlineStr">
        <is>
          <t>ÄLMHULT</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3278-2025</t>
        </is>
      </c>
      <c r="B5523" s="1" t="n">
        <v>45679.60159722222</v>
      </c>
      <c r="C5523" s="1" t="n">
        <v>46103</v>
      </c>
      <c r="D5523" t="inlineStr">
        <is>
          <t>KRONOBERGS LÄN</t>
        </is>
      </c>
      <c r="E5523" t="inlineStr">
        <is>
          <t>VÄXJÖ</t>
        </is>
      </c>
      <c r="G5523" t="n">
        <v>0.2</v>
      </c>
      <c r="H5523" t="n">
        <v>0</v>
      </c>
      <c r="I5523" t="n">
        <v>0</v>
      </c>
      <c r="J5523" t="n">
        <v>0</v>
      </c>
      <c r="K5523" t="n">
        <v>0</v>
      </c>
      <c r="L5523" t="n">
        <v>0</v>
      </c>
      <c r="M5523" t="n">
        <v>0</v>
      </c>
      <c r="N5523" t="n">
        <v>0</v>
      </c>
      <c r="O5523" t="n">
        <v>0</v>
      </c>
      <c r="P5523" t="n">
        <v>0</v>
      </c>
      <c r="Q5523" t="n">
        <v>0</v>
      </c>
      <c r="R5523" s="2" t="inlineStr"/>
    </row>
    <row r="5524" ht="15" customHeight="1">
      <c r="A5524" t="inlineStr">
        <is>
          <t>A 16584-2023</t>
        </is>
      </c>
      <c r="B5524" s="1" t="n">
        <v>45030</v>
      </c>
      <c r="C5524" s="1" t="n">
        <v>46103</v>
      </c>
      <c r="D5524" t="inlineStr">
        <is>
          <t>KRONOBERGS LÄN</t>
        </is>
      </c>
      <c r="E5524" t="inlineStr">
        <is>
          <t>VÄXJÖ</t>
        </is>
      </c>
      <c r="G5524" t="n">
        <v>3.7</v>
      </c>
      <c r="H5524" t="n">
        <v>0</v>
      </c>
      <c r="I5524" t="n">
        <v>0</v>
      </c>
      <c r="J5524" t="n">
        <v>0</v>
      </c>
      <c r="K5524" t="n">
        <v>0</v>
      </c>
      <c r="L5524" t="n">
        <v>0</v>
      </c>
      <c r="M5524" t="n">
        <v>0</v>
      </c>
      <c r="N5524" t="n">
        <v>0</v>
      </c>
      <c r="O5524" t="n">
        <v>0</v>
      </c>
      <c r="P5524" t="n">
        <v>0</v>
      </c>
      <c r="Q5524" t="n">
        <v>0</v>
      </c>
      <c r="R5524" s="2" t="inlineStr"/>
    </row>
    <row r="5525" ht="15" customHeight="1">
      <c r="A5525" t="inlineStr">
        <is>
          <t>A 56660-2024</t>
        </is>
      </c>
      <c r="B5525" s="1" t="n">
        <v>45625.869375</v>
      </c>
      <c r="C5525" s="1" t="n">
        <v>46103</v>
      </c>
      <c r="D5525" t="inlineStr">
        <is>
          <t>KRONOBERGS LÄN</t>
        </is>
      </c>
      <c r="E5525" t="inlineStr">
        <is>
          <t>ÄLMHULT</t>
        </is>
      </c>
      <c r="G5525" t="n">
        <v>4.7</v>
      </c>
      <c r="H5525" t="n">
        <v>0</v>
      </c>
      <c r="I5525" t="n">
        <v>0</v>
      </c>
      <c r="J5525" t="n">
        <v>0</v>
      </c>
      <c r="K5525" t="n">
        <v>0</v>
      </c>
      <c r="L5525" t="n">
        <v>0</v>
      </c>
      <c r="M5525" t="n">
        <v>0</v>
      </c>
      <c r="N5525" t="n">
        <v>0</v>
      </c>
      <c r="O5525" t="n">
        <v>0</v>
      </c>
      <c r="P5525" t="n">
        <v>0</v>
      </c>
      <c r="Q5525" t="n">
        <v>0</v>
      </c>
      <c r="R5525" s="2" t="inlineStr"/>
    </row>
    <row r="5526" ht="15" customHeight="1">
      <c r="A5526" t="inlineStr">
        <is>
          <t>A 56665-2024</t>
        </is>
      </c>
      <c r="B5526" s="1" t="n">
        <v>45625</v>
      </c>
      <c r="C5526" s="1" t="n">
        <v>46103</v>
      </c>
      <c r="D5526" t="inlineStr">
        <is>
          <t>KRONOBERGS LÄN</t>
        </is>
      </c>
      <c r="E5526" t="inlineStr">
        <is>
          <t>MARKARYD</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53458-2024</t>
        </is>
      </c>
      <c r="B5527" s="1" t="n">
        <v>45614.54958333333</v>
      </c>
      <c r="C5527" s="1" t="n">
        <v>46103</v>
      </c>
      <c r="D5527" t="inlineStr">
        <is>
          <t>KRONOBERGS LÄN</t>
        </is>
      </c>
      <c r="E5527" t="inlineStr">
        <is>
          <t>ALVESTA</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53459-2024</t>
        </is>
      </c>
      <c r="B5528" s="1" t="n">
        <v>45614.54966435185</v>
      </c>
      <c r="C5528" s="1" t="n">
        <v>46103</v>
      </c>
      <c r="D5528" t="inlineStr">
        <is>
          <t>KRONOBERGS LÄN</t>
        </is>
      </c>
      <c r="E5528" t="inlineStr">
        <is>
          <t>ALVESTA</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12663-2024</t>
        </is>
      </c>
      <c r="B5529" s="1" t="n">
        <v>45384.37467592592</v>
      </c>
      <c r="C5529" s="1" t="n">
        <v>46103</v>
      </c>
      <c r="D5529" t="inlineStr">
        <is>
          <t>KRONOBERGS LÄN</t>
        </is>
      </c>
      <c r="E5529" t="inlineStr">
        <is>
          <t>TINGSRYD</t>
        </is>
      </c>
      <c r="G5529" t="n">
        <v>3.4</v>
      </c>
      <c r="H5529" t="n">
        <v>0</v>
      </c>
      <c r="I5529" t="n">
        <v>0</v>
      </c>
      <c r="J5529" t="n">
        <v>0</v>
      </c>
      <c r="K5529" t="n">
        <v>0</v>
      </c>
      <c r="L5529" t="n">
        <v>0</v>
      </c>
      <c r="M5529" t="n">
        <v>0</v>
      </c>
      <c r="N5529" t="n">
        <v>0</v>
      </c>
      <c r="O5529" t="n">
        <v>0</v>
      </c>
      <c r="P5529" t="n">
        <v>0</v>
      </c>
      <c r="Q5529" t="n">
        <v>0</v>
      </c>
      <c r="R5529" s="2" t="inlineStr"/>
    </row>
    <row r="5530" ht="15" customHeight="1">
      <c r="A5530" t="inlineStr">
        <is>
          <t>A 38823-2022</t>
        </is>
      </c>
      <c r="B5530" s="1" t="n">
        <v>44816.48018518519</v>
      </c>
      <c r="C5530" s="1" t="n">
        <v>46103</v>
      </c>
      <c r="D5530" t="inlineStr">
        <is>
          <t>KRONOBERGS LÄN</t>
        </is>
      </c>
      <c r="E5530" t="inlineStr">
        <is>
          <t>ÄLMHULT</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20567-2024</t>
        </is>
      </c>
      <c r="B5531" s="1" t="n">
        <v>45436.38177083333</v>
      </c>
      <c r="C5531" s="1" t="n">
        <v>46103</v>
      </c>
      <c r="D5531" t="inlineStr">
        <is>
          <t>KRONOBERGS LÄN</t>
        </is>
      </c>
      <c r="E5531" t="inlineStr">
        <is>
          <t>TINGSRYD</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60653-2024</t>
        </is>
      </c>
      <c r="B5532" s="1" t="n">
        <v>45644.43983796296</v>
      </c>
      <c r="C5532" s="1" t="n">
        <v>46103</v>
      </c>
      <c r="D5532" t="inlineStr">
        <is>
          <t>KRONOBERGS LÄN</t>
        </is>
      </c>
      <c r="E5532" t="inlineStr">
        <is>
          <t>TINGSRYD</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780-2024</t>
        </is>
      </c>
      <c r="B5533" s="1" t="n">
        <v>45300.54975694444</v>
      </c>
      <c r="C5533" s="1" t="n">
        <v>46103</v>
      </c>
      <c r="D5533" t="inlineStr">
        <is>
          <t>KRONOBERGS LÄN</t>
        </is>
      </c>
      <c r="E5533" t="inlineStr">
        <is>
          <t>VÄXJÖ</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43320-2024</t>
        </is>
      </c>
      <c r="B5534" s="1" t="n">
        <v>45568.46310185185</v>
      </c>
      <c r="C5534" s="1" t="n">
        <v>46103</v>
      </c>
      <c r="D5534" t="inlineStr">
        <is>
          <t>KRONOBERGS LÄN</t>
        </is>
      </c>
      <c r="E5534" t="inlineStr">
        <is>
          <t>LJUNGBY</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20488-2024</t>
        </is>
      </c>
      <c r="B5535" s="1" t="n">
        <v>45435.77655092593</v>
      </c>
      <c r="C5535" s="1" t="n">
        <v>46103</v>
      </c>
      <c r="D5535" t="inlineStr">
        <is>
          <t>KRONOBERGS LÄN</t>
        </is>
      </c>
      <c r="E5535" t="inlineStr">
        <is>
          <t>UPPVIDINGE</t>
        </is>
      </c>
      <c r="F5535" t="inlineStr">
        <is>
          <t>Sveaskog</t>
        </is>
      </c>
      <c r="G5535" t="n">
        <v>3.6</v>
      </c>
      <c r="H5535" t="n">
        <v>0</v>
      </c>
      <c r="I5535" t="n">
        <v>0</v>
      </c>
      <c r="J5535" t="n">
        <v>0</v>
      </c>
      <c r="K5535" t="n">
        <v>0</v>
      </c>
      <c r="L5535" t="n">
        <v>0</v>
      </c>
      <c r="M5535" t="n">
        <v>0</v>
      </c>
      <c r="N5535" t="n">
        <v>0</v>
      </c>
      <c r="O5535" t="n">
        <v>0</v>
      </c>
      <c r="P5535" t="n">
        <v>0</v>
      </c>
      <c r="Q5535" t="n">
        <v>0</v>
      </c>
      <c r="R5535" s="2" t="inlineStr"/>
    </row>
    <row r="5536" ht="15" customHeight="1">
      <c r="A5536" t="inlineStr">
        <is>
          <t>A 14391-2024</t>
        </is>
      </c>
      <c r="B5536" s="1" t="n">
        <v>45394.33961805556</v>
      </c>
      <c r="C5536" s="1" t="n">
        <v>46103</v>
      </c>
      <c r="D5536" t="inlineStr">
        <is>
          <t>KRONOBERGS LÄN</t>
        </is>
      </c>
      <c r="E5536" t="inlineStr">
        <is>
          <t>TINGSRYD</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52190-2023</t>
        </is>
      </c>
      <c r="B5537" s="1" t="n">
        <v>45224</v>
      </c>
      <c r="C5537" s="1" t="n">
        <v>46103</v>
      </c>
      <c r="D5537" t="inlineStr">
        <is>
          <t>KRONOBERGS LÄN</t>
        </is>
      </c>
      <c r="E5537" t="inlineStr">
        <is>
          <t>UPPVIDINGE</t>
        </is>
      </c>
      <c r="F5537" t="inlineStr">
        <is>
          <t>Kommuner</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1169-2025</t>
        </is>
      </c>
      <c r="B5538" s="1" t="n">
        <v>45667.28696759259</v>
      </c>
      <c r="C5538" s="1" t="n">
        <v>46103</v>
      </c>
      <c r="D5538" t="inlineStr">
        <is>
          <t>KRONOBERGS LÄN</t>
        </is>
      </c>
      <c r="E5538" t="inlineStr">
        <is>
          <t>LESSEBO</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8798-2023</t>
        </is>
      </c>
      <c r="B5539" s="1" t="n">
        <v>44978.59528935186</v>
      </c>
      <c r="C5539" s="1" t="n">
        <v>46103</v>
      </c>
      <c r="D5539" t="inlineStr">
        <is>
          <t>KRONOBERGS LÄN</t>
        </is>
      </c>
      <c r="E5539" t="inlineStr">
        <is>
          <t>LJUNGBY</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3518-2025</t>
        </is>
      </c>
      <c r="B5540" s="1" t="n">
        <v>45680.60165509259</v>
      </c>
      <c r="C5540" s="1" t="n">
        <v>46103</v>
      </c>
      <c r="D5540" t="inlineStr">
        <is>
          <t>KRONOBERGS LÄN</t>
        </is>
      </c>
      <c r="E5540" t="inlineStr">
        <is>
          <t>ÄLMHULT</t>
        </is>
      </c>
      <c r="F5540" t="inlineStr">
        <is>
          <t>Sveaskog</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3580-2025</t>
        </is>
      </c>
      <c r="B5541" s="1" t="n">
        <v>45680.73219907407</v>
      </c>
      <c r="C5541" s="1" t="n">
        <v>46103</v>
      </c>
      <c r="D5541" t="inlineStr">
        <is>
          <t>KRONOBERGS LÄN</t>
        </is>
      </c>
      <c r="E5541" t="inlineStr">
        <is>
          <t>ALVESTA</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31343-2022</t>
        </is>
      </c>
      <c r="B5542" s="1" t="n">
        <v>44774.52144675926</v>
      </c>
      <c r="C5542" s="1" t="n">
        <v>46103</v>
      </c>
      <c r="D5542" t="inlineStr">
        <is>
          <t>KRONOBERGS LÄN</t>
        </is>
      </c>
      <c r="E5542" t="inlineStr">
        <is>
          <t>VÄXJÖ</t>
        </is>
      </c>
      <c r="G5542" t="n">
        <v>3.1</v>
      </c>
      <c r="H5542" t="n">
        <v>0</v>
      </c>
      <c r="I5542" t="n">
        <v>0</v>
      </c>
      <c r="J5542" t="n">
        <v>0</v>
      </c>
      <c r="K5542" t="n">
        <v>0</v>
      </c>
      <c r="L5542" t="n">
        <v>0</v>
      </c>
      <c r="M5542" t="n">
        <v>0</v>
      </c>
      <c r="N5542" t="n">
        <v>0</v>
      </c>
      <c r="O5542" t="n">
        <v>0</v>
      </c>
      <c r="P5542" t="n">
        <v>0</v>
      </c>
      <c r="Q5542" t="n">
        <v>0</v>
      </c>
      <c r="R5542" s="2" t="inlineStr"/>
    </row>
    <row r="5543" ht="15" customHeight="1">
      <c r="A5543" t="inlineStr">
        <is>
          <t>A 33397-2023</t>
        </is>
      </c>
      <c r="B5543" s="1" t="n">
        <v>45128.63200231481</v>
      </c>
      <c r="C5543" s="1" t="n">
        <v>46103</v>
      </c>
      <c r="D5543" t="inlineStr">
        <is>
          <t>KRONOBERGS LÄN</t>
        </is>
      </c>
      <c r="E5543" t="inlineStr">
        <is>
          <t>VÄXJÖ</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33398-2023</t>
        </is>
      </c>
      <c r="B5544" s="1" t="n">
        <v>45128</v>
      </c>
      <c r="C5544" s="1" t="n">
        <v>46103</v>
      </c>
      <c r="D5544" t="inlineStr">
        <is>
          <t>KRONOBERGS LÄN</t>
        </is>
      </c>
      <c r="E5544" t="inlineStr">
        <is>
          <t>VÄXJÖ</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30438-2023</t>
        </is>
      </c>
      <c r="B5545" s="1" t="n">
        <v>45111.55594907407</v>
      </c>
      <c r="C5545" s="1" t="n">
        <v>46103</v>
      </c>
      <c r="D5545" t="inlineStr">
        <is>
          <t>KRONOBERGS LÄN</t>
        </is>
      </c>
      <c r="E5545" t="inlineStr">
        <is>
          <t>VÄXJÖ</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49618-2023</t>
        </is>
      </c>
      <c r="B5546" s="1" t="n">
        <v>45211.81873842593</v>
      </c>
      <c r="C5546" s="1" t="n">
        <v>46103</v>
      </c>
      <c r="D5546" t="inlineStr">
        <is>
          <t>KRONOBERGS LÄN</t>
        </is>
      </c>
      <c r="E5546" t="inlineStr">
        <is>
          <t>UPPVIDINGE</t>
        </is>
      </c>
      <c r="G5546" t="n">
        <v>0.4</v>
      </c>
      <c r="H5546" t="n">
        <v>0</v>
      </c>
      <c r="I5546" t="n">
        <v>0</v>
      </c>
      <c r="J5546" t="n">
        <v>0</v>
      </c>
      <c r="K5546" t="n">
        <v>0</v>
      </c>
      <c r="L5546" t="n">
        <v>0</v>
      </c>
      <c r="M5546" t="n">
        <v>0</v>
      </c>
      <c r="N5546" t="n">
        <v>0</v>
      </c>
      <c r="O5546" t="n">
        <v>0</v>
      </c>
      <c r="P5546" t="n">
        <v>0</v>
      </c>
      <c r="Q5546" t="n">
        <v>0</v>
      </c>
      <c r="R5546" s="2" t="inlineStr"/>
    </row>
    <row r="5547" ht="15" customHeight="1">
      <c r="A5547" t="inlineStr">
        <is>
          <t>A 51764-2023</t>
        </is>
      </c>
      <c r="B5547" s="1" t="n">
        <v>45222.70064814815</v>
      </c>
      <c r="C5547" s="1" t="n">
        <v>46103</v>
      </c>
      <c r="D5547" t="inlineStr">
        <is>
          <t>KRONOBERGS LÄN</t>
        </is>
      </c>
      <c r="E5547" t="inlineStr">
        <is>
          <t>ÄLMHULT</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46022-2023</t>
        </is>
      </c>
      <c r="B5548" s="1" t="n">
        <v>45189</v>
      </c>
      <c r="C5548" s="1" t="n">
        <v>46103</v>
      </c>
      <c r="D5548" t="inlineStr">
        <is>
          <t>KRONOBERGS LÄN</t>
        </is>
      </c>
      <c r="E5548" t="inlineStr">
        <is>
          <t>ALVESTA</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59368-2024</t>
        </is>
      </c>
      <c r="B5549" s="1" t="n">
        <v>45638.33728009259</v>
      </c>
      <c r="C5549" s="1" t="n">
        <v>46103</v>
      </c>
      <c r="D5549" t="inlineStr">
        <is>
          <t>KRONOBERGS LÄN</t>
        </is>
      </c>
      <c r="E5549" t="inlineStr">
        <is>
          <t>VÄXJÖ</t>
        </is>
      </c>
      <c r="G5549" t="n">
        <v>0.4</v>
      </c>
      <c r="H5549" t="n">
        <v>0</v>
      </c>
      <c r="I5549" t="n">
        <v>0</v>
      </c>
      <c r="J5549" t="n">
        <v>0</v>
      </c>
      <c r="K5549" t="n">
        <v>0</v>
      </c>
      <c r="L5549" t="n">
        <v>0</v>
      </c>
      <c r="M5549" t="n">
        <v>0</v>
      </c>
      <c r="N5549" t="n">
        <v>0</v>
      </c>
      <c r="O5549" t="n">
        <v>0</v>
      </c>
      <c r="P5549" t="n">
        <v>0</v>
      </c>
      <c r="Q5549" t="n">
        <v>0</v>
      </c>
      <c r="R5549" s="2" t="inlineStr"/>
    </row>
    <row r="5550" ht="15" customHeight="1">
      <c r="A5550" t="inlineStr">
        <is>
          <t>A 49578-2023</t>
        </is>
      </c>
      <c r="B5550" s="1" t="n">
        <v>45211.66349537037</v>
      </c>
      <c r="C5550" s="1" t="n">
        <v>46103</v>
      </c>
      <c r="D5550" t="inlineStr">
        <is>
          <t>KRONOBERGS LÄN</t>
        </is>
      </c>
      <c r="E5550" t="inlineStr">
        <is>
          <t>ÄLMHULT</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36871-2023</t>
        </is>
      </c>
      <c r="B5551" s="1" t="n">
        <v>45154.57079861111</v>
      </c>
      <c r="C5551" s="1" t="n">
        <v>46103</v>
      </c>
      <c r="D5551" t="inlineStr">
        <is>
          <t>KRONOBERGS LÄN</t>
        </is>
      </c>
      <c r="E5551" t="inlineStr">
        <is>
          <t>UPPVIDINGE</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20377-2024</t>
        </is>
      </c>
      <c r="B5552" s="1" t="n">
        <v>45435.48994212963</v>
      </c>
      <c r="C5552" s="1" t="n">
        <v>46103</v>
      </c>
      <c r="D5552" t="inlineStr">
        <is>
          <t>KRONOBERGS LÄN</t>
        </is>
      </c>
      <c r="E5552" t="inlineStr">
        <is>
          <t>ÄLMHULT</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20380-2024</t>
        </is>
      </c>
      <c r="B5553" s="1" t="n">
        <v>45435.49695601852</v>
      </c>
      <c r="C5553" s="1" t="n">
        <v>46103</v>
      </c>
      <c r="D5553" t="inlineStr">
        <is>
          <t>KRONOBERGS LÄN</t>
        </is>
      </c>
      <c r="E5553" t="inlineStr">
        <is>
          <t>ÄLMHULT</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20382-2024</t>
        </is>
      </c>
      <c r="B5554" s="1" t="n">
        <v>45435.50355324074</v>
      </c>
      <c r="C5554" s="1" t="n">
        <v>46103</v>
      </c>
      <c r="D5554" t="inlineStr">
        <is>
          <t>KRONOBERGS LÄN</t>
        </is>
      </c>
      <c r="E5554" t="inlineStr">
        <is>
          <t>ÄLMHULT</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60487-2022</t>
        </is>
      </c>
      <c r="B5555" s="1" t="n">
        <v>44911</v>
      </c>
      <c r="C5555" s="1" t="n">
        <v>46103</v>
      </c>
      <c r="D5555" t="inlineStr">
        <is>
          <t>KRONOBERGS LÄN</t>
        </is>
      </c>
      <c r="E5555" t="inlineStr">
        <is>
          <t>ÄLMHULT</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60499-2022</t>
        </is>
      </c>
      <c r="B5556" s="1" t="n">
        <v>44911</v>
      </c>
      <c r="C5556" s="1" t="n">
        <v>46103</v>
      </c>
      <c r="D5556" t="inlineStr">
        <is>
          <t>KRONOBERGS LÄN</t>
        </is>
      </c>
      <c r="E5556" t="inlineStr">
        <is>
          <t>TINGSRYD</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13326-2024</t>
        </is>
      </c>
      <c r="B5557" s="1" t="n">
        <v>45386.86943287037</v>
      </c>
      <c r="C5557" s="1" t="n">
        <v>46103</v>
      </c>
      <c r="D5557" t="inlineStr">
        <is>
          <t>KRONOBERGS LÄN</t>
        </is>
      </c>
      <c r="E5557" t="inlineStr">
        <is>
          <t>VÄXJÖ</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19780-2021</t>
        </is>
      </c>
      <c r="B5558" s="1" t="n">
        <v>44313</v>
      </c>
      <c r="C5558" s="1" t="n">
        <v>46103</v>
      </c>
      <c r="D5558" t="inlineStr">
        <is>
          <t>KRONOBERGS LÄN</t>
        </is>
      </c>
      <c r="E5558" t="inlineStr">
        <is>
          <t>TINGSRYD</t>
        </is>
      </c>
      <c r="G5558" t="n">
        <v>5.8</v>
      </c>
      <c r="H5558" t="n">
        <v>0</v>
      </c>
      <c r="I5558" t="n">
        <v>0</v>
      </c>
      <c r="J5558" t="n">
        <v>0</v>
      </c>
      <c r="K5558" t="n">
        <v>0</v>
      </c>
      <c r="L5558" t="n">
        <v>0</v>
      </c>
      <c r="M5558" t="n">
        <v>0</v>
      </c>
      <c r="N5558" t="n">
        <v>0</v>
      </c>
      <c r="O5558" t="n">
        <v>0</v>
      </c>
      <c r="P5558" t="n">
        <v>0</v>
      </c>
      <c r="Q5558" t="n">
        <v>0</v>
      </c>
      <c r="R5558" s="2" t="inlineStr"/>
    </row>
    <row r="5559" ht="15" customHeight="1">
      <c r="A5559" t="inlineStr">
        <is>
          <t>A 30918-2023</t>
        </is>
      </c>
      <c r="B5559" s="1" t="n">
        <v>45113.43203703704</v>
      </c>
      <c r="C5559" s="1" t="n">
        <v>46103</v>
      </c>
      <c r="D5559" t="inlineStr">
        <is>
          <t>KRONOBERGS LÄN</t>
        </is>
      </c>
      <c r="E5559" t="inlineStr">
        <is>
          <t>TINGSRYD</t>
        </is>
      </c>
      <c r="G5559" t="n">
        <v>3.9</v>
      </c>
      <c r="H5559" t="n">
        <v>0</v>
      </c>
      <c r="I5559" t="n">
        <v>0</v>
      </c>
      <c r="J5559" t="n">
        <v>0</v>
      </c>
      <c r="K5559" t="n">
        <v>0</v>
      </c>
      <c r="L5559" t="n">
        <v>0</v>
      </c>
      <c r="M5559" t="n">
        <v>0</v>
      </c>
      <c r="N5559" t="n">
        <v>0</v>
      </c>
      <c r="O5559" t="n">
        <v>0</v>
      </c>
      <c r="P5559" t="n">
        <v>0</v>
      </c>
      <c r="Q5559" t="n">
        <v>0</v>
      </c>
      <c r="R5559" s="2" t="inlineStr"/>
    </row>
    <row r="5560" ht="15" customHeight="1">
      <c r="A5560" t="inlineStr">
        <is>
          <t>A 39239-2023</t>
        </is>
      </c>
      <c r="B5560" s="1" t="n">
        <v>45162</v>
      </c>
      <c r="C5560" s="1" t="n">
        <v>46103</v>
      </c>
      <c r="D5560" t="inlineStr">
        <is>
          <t>KRONOBERGS LÄN</t>
        </is>
      </c>
      <c r="E5560" t="inlineStr">
        <is>
          <t>UPPVIDINGE</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1495-2024</t>
        </is>
      </c>
      <c r="B5561" s="1" t="n">
        <v>45305.87826388889</v>
      </c>
      <c r="C5561" s="1" t="n">
        <v>46103</v>
      </c>
      <c r="D5561" t="inlineStr">
        <is>
          <t>KRONOBERGS LÄN</t>
        </is>
      </c>
      <c r="E5561" t="inlineStr">
        <is>
          <t>ALVESTA</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38860-2024</t>
        </is>
      </c>
      <c r="B5562" s="1" t="n">
        <v>45547.62819444444</v>
      </c>
      <c r="C5562" s="1" t="n">
        <v>46103</v>
      </c>
      <c r="D5562" t="inlineStr">
        <is>
          <t>KRONOBERGS LÄN</t>
        </is>
      </c>
      <c r="E5562" t="inlineStr">
        <is>
          <t>UPPVIDINGE</t>
        </is>
      </c>
      <c r="G5562" t="n">
        <v>0.3</v>
      </c>
      <c r="H5562" t="n">
        <v>0</v>
      </c>
      <c r="I5562" t="n">
        <v>0</v>
      </c>
      <c r="J5562" t="n">
        <v>0</v>
      </c>
      <c r="K5562" t="n">
        <v>0</v>
      </c>
      <c r="L5562" t="n">
        <v>0</v>
      </c>
      <c r="M5562" t="n">
        <v>0</v>
      </c>
      <c r="N5562" t="n">
        <v>0</v>
      </c>
      <c r="O5562" t="n">
        <v>0</v>
      </c>
      <c r="P5562" t="n">
        <v>0</v>
      </c>
      <c r="Q5562" t="n">
        <v>0</v>
      </c>
      <c r="R5562" s="2" t="inlineStr"/>
    </row>
    <row r="5563" ht="15" customHeight="1">
      <c r="A5563" t="inlineStr">
        <is>
          <t>A 39094-2023</t>
        </is>
      </c>
      <c r="B5563" s="1" t="n">
        <v>45164</v>
      </c>
      <c r="C5563" s="1" t="n">
        <v>46103</v>
      </c>
      <c r="D5563" t="inlineStr">
        <is>
          <t>KRONOBERGS LÄN</t>
        </is>
      </c>
      <c r="E5563" t="inlineStr">
        <is>
          <t>UPPVIDINGE</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39122-2023</t>
        </is>
      </c>
      <c r="B5564" s="1" t="n">
        <v>45165.53953703704</v>
      </c>
      <c r="C5564" s="1" t="n">
        <v>46103</v>
      </c>
      <c r="D5564" t="inlineStr">
        <is>
          <t>KRONOBERGS LÄN</t>
        </is>
      </c>
      <c r="E5564" t="inlineStr">
        <is>
          <t>VÄXJÖ</t>
        </is>
      </c>
      <c r="G5564" t="n">
        <v>4.9</v>
      </c>
      <c r="H5564" t="n">
        <v>0</v>
      </c>
      <c r="I5564" t="n">
        <v>0</v>
      </c>
      <c r="J5564" t="n">
        <v>0</v>
      </c>
      <c r="K5564" t="n">
        <v>0</v>
      </c>
      <c r="L5564" t="n">
        <v>0</v>
      </c>
      <c r="M5564" t="n">
        <v>0</v>
      </c>
      <c r="N5564" t="n">
        <v>0</v>
      </c>
      <c r="O5564" t="n">
        <v>0</v>
      </c>
      <c r="P5564" t="n">
        <v>0</v>
      </c>
      <c r="Q5564" t="n">
        <v>0</v>
      </c>
      <c r="R5564" s="2" t="inlineStr"/>
    </row>
    <row r="5565" ht="15" customHeight="1">
      <c r="A5565" t="inlineStr">
        <is>
          <t>A 36056-2024</t>
        </is>
      </c>
      <c r="B5565" s="1" t="n">
        <v>45533.63113425926</v>
      </c>
      <c r="C5565" s="1" t="n">
        <v>46103</v>
      </c>
      <c r="D5565" t="inlineStr">
        <is>
          <t>KRONOBERGS LÄN</t>
        </is>
      </c>
      <c r="E5565" t="inlineStr">
        <is>
          <t>VÄXJÖ</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49589-2024</t>
        </is>
      </c>
      <c r="B5566" s="1" t="n">
        <v>45596.54981481482</v>
      </c>
      <c r="C5566" s="1" t="n">
        <v>46103</v>
      </c>
      <c r="D5566" t="inlineStr">
        <is>
          <t>KRONOBERGS LÄN</t>
        </is>
      </c>
      <c r="E5566" t="inlineStr">
        <is>
          <t>UPPVIDINGE</t>
        </is>
      </c>
      <c r="G5566" t="n">
        <v>0.4</v>
      </c>
      <c r="H5566" t="n">
        <v>0</v>
      </c>
      <c r="I5566" t="n">
        <v>0</v>
      </c>
      <c r="J5566" t="n">
        <v>0</v>
      </c>
      <c r="K5566" t="n">
        <v>0</v>
      </c>
      <c r="L5566" t="n">
        <v>0</v>
      </c>
      <c r="M5566" t="n">
        <v>0</v>
      </c>
      <c r="N5566" t="n">
        <v>0</v>
      </c>
      <c r="O5566" t="n">
        <v>0</v>
      </c>
      <c r="P5566" t="n">
        <v>0</v>
      </c>
      <c r="Q5566" t="n">
        <v>0</v>
      </c>
      <c r="R5566" s="2" t="inlineStr"/>
    </row>
    <row r="5567" ht="15" customHeight="1">
      <c r="A5567" t="inlineStr">
        <is>
          <t>A 33076-2023</t>
        </is>
      </c>
      <c r="B5567" s="1" t="n">
        <v>45126</v>
      </c>
      <c r="C5567" s="1" t="n">
        <v>46103</v>
      </c>
      <c r="D5567" t="inlineStr">
        <is>
          <t>KRONOBERGS LÄN</t>
        </is>
      </c>
      <c r="E5567" t="inlineStr">
        <is>
          <t>LESSEBO</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15770-2025</t>
        </is>
      </c>
      <c r="B5568" s="1" t="n">
        <v>45748</v>
      </c>
      <c r="C5568" s="1" t="n">
        <v>46103</v>
      </c>
      <c r="D5568" t="inlineStr">
        <is>
          <t>KRONOBERGS LÄN</t>
        </is>
      </c>
      <c r="E5568" t="inlineStr">
        <is>
          <t>ÄLMHULT</t>
        </is>
      </c>
      <c r="G5568" t="n">
        <v>3.4</v>
      </c>
      <c r="H5568" t="n">
        <v>0</v>
      </c>
      <c r="I5568" t="n">
        <v>0</v>
      </c>
      <c r="J5568" t="n">
        <v>0</v>
      </c>
      <c r="K5568" t="n">
        <v>0</v>
      </c>
      <c r="L5568" t="n">
        <v>0</v>
      </c>
      <c r="M5568" t="n">
        <v>0</v>
      </c>
      <c r="N5568" t="n">
        <v>0</v>
      </c>
      <c r="O5568" t="n">
        <v>0</v>
      </c>
      <c r="P5568" t="n">
        <v>0</v>
      </c>
      <c r="Q5568" t="n">
        <v>0</v>
      </c>
      <c r="R5568" s="2" t="inlineStr"/>
    </row>
    <row r="5569" ht="15" customHeight="1">
      <c r="A5569" t="inlineStr">
        <is>
          <t>A 15820-2025</t>
        </is>
      </c>
      <c r="B5569" s="1" t="n">
        <v>45748.68826388889</v>
      </c>
      <c r="C5569" s="1" t="n">
        <v>46103</v>
      </c>
      <c r="D5569" t="inlineStr">
        <is>
          <t>KRONOBERGS LÄN</t>
        </is>
      </c>
      <c r="E5569" t="inlineStr">
        <is>
          <t>ALVESTA</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46139-2023</t>
        </is>
      </c>
      <c r="B5570" s="1" t="n">
        <v>45196.56533564815</v>
      </c>
      <c r="C5570" s="1" t="n">
        <v>46103</v>
      </c>
      <c r="D5570" t="inlineStr">
        <is>
          <t>KRONOBERGS LÄN</t>
        </is>
      </c>
      <c r="E5570" t="inlineStr">
        <is>
          <t>MARKARYD</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28176-2023</t>
        </is>
      </c>
      <c r="B5571" s="1" t="n">
        <v>45099.52606481482</v>
      </c>
      <c r="C5571" s="1" t="n">
        <v>46103</v>
      </c>
      <c r="D5571" t="inlineStr">
        <is>
          <t>KRONOBERGS LÄN</t>
        </is>
      </c>
      <c r="E5571" t="inlineStr">
        <is>
          <t>TINGSRYD</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40525-2024</t>
        </is>
      </c>
      <c r="B5572" s="1" t="n">
        <v>45555.60236111111</v>
      </c>
      <c r="C5572" s="1" t="n">
        <v>46103</v>
      </c>
      <c r="D5572" t="inlineStr">
        <is>
          <t>KRONOBERGS LÄN</t>
        </is>
      </c>
      <c r="E5572" t="inlineStr">
        <is>
          <t>VÄXJÖ</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37184-2023</t>
        </is>
      </c>
      <c r="B5573" s="1" t="n">
        <v>45155</v>
      </c>
      <c r="C5573" s="1" t="n">
        <v>46103</v>
      </c>
      <c r="D5573" t="inlineStr">
        <is>
          <t>KRONOBERGS LÄN</t>
        </is>
      </c>
      <c r="E5573" t="inlineStr">
        <is>
          <t>TINGSRYD</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31968-2023</t>
        </is>
      </c>
      <c r="B5574" s="1" t="n">
        <v>45119</v>
      </c>
      <c r="C5574" s="1" t="n">
        <v>46103</v>
      </c>
      <c r="D5574" t="inlineStr">
        <is>
          <t>KRONOBERGS LÄN</t>
        </is>
      </c>
      <c r="E5574" t="inlineStr">
        <is>
          <t>LJUNGBY</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54068-2024</t>
        </is>
      </c>
      <c r="B5575" s="1" t="n">
        <v>45615</v>
      </c>
      <c r="C5575" s="1" t="n">
        <v>46103</v>
      </c>
      <c r="D5575" t="inlineStr">
        <is>
          <t>KRONOBERGS LÄN</t>
        </is>
      </c>
      <c r="E5575" t="inlineStr">
        <is>
          <t>UPPVIDINGE</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12339-2024</t>
        </is>
      </c>
      <c r="B5576" s="1" t="n">
        <v>45378.73694444444</v>
      </c>
      <c r="C5576" s="1" t="n">
        <v>46103</v>
      </c>
      <c r="D5576" t="inlineStr">
        <is>
          <t>KRONOBERGS LÄN</t>
        </is>
      </c>
      <c r="E5576" t="inlineStr">
        <is>
          <t>ÄLMHULT</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34719-2023</t>
        </is>
      </c>
      <c r="B5577" s="1" t="n">
        <v>45141.33791666666</v>
      </c>
      <c r="C5577" s="1" t="n">
        <v>46103</v>
      </c>
      <c r="D5577" t="inlineStr">
        <is>
          <t>KRONOBERGS LÄN</t>
        </is>
      </c>
      <c r="E5577" t="inlineStr">
        <is>
          <t>VÄXJÖ</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34744-2023</t>
        </is>
      </c>
      <c r="B5578" s="1" t="n">
        <v>45141</v>
      </c>
      <c r="C5578" s="1" t="n">
        <v>46103</v>
      </c>
      <c r="D5578" t="inlineStr">
        <is>
          <t>KRONOBERGS LÄN</t>
        </is>
      </c>
      <c r="E5578" t="inlineStr">
        <is>
          <t>VÄXJÖ</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34794-2023</t>
        </is>
      </c>
      <c r="B5579" s="1" t="n">
        <v>45141.58421296296</v>
      </c>
      <c r="C5579" s="1" t="n">
        <v>46103</v>
      </c>
      <c r="D5579" t="inlineStr">
        <is>
          <t>KRONOBERGS LÄN</t>
        </is>
      </c>
      <c r="E5579" t="inlineStr">
        <is>
          <t>ÄLMHULT</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58686-2022</t>
        </is>
      </c>
      <c r="B5580" s="1" t="n">
        <v>44902.70481481482</v>
      </c>
      <c r="C5580" s="1" t="n">
        <v>46103</v>
      </c>
      <c r="D5580" t="inlineStr">
        <is>
          <t>KRONOBERGS LÄN</t>
        </is>
      </c>
      <c r="E5580" t="inlineStr">
        <is>
          <t>MARKARYD</t>
        </is>
      </c>
      <c r="G5580" t="n">
        <v>3.4</v>
      </c>
      <c r="H5580" t="n">
        <v>0</v>
      </c>
      <c r="I5580" t="n">
        <v>0</v>
      </c>
      <c r="J5580" t="n">
        <v>0</v>
      </c>
      <c r="K5580" t="n">
        <v>0</v>
      </c>
      <c r="L5580" t="n">
        <v>0</v>
      </c>
      <c r="M5580" t="n">
        <v>0</v>
      </c>
      <c r="N5580" t="n">
        <v>0</v>
      </c>
      <c r="O5580" t="n">
        <v>0</v>
      </c>
      <c r="P5580" t="n">
        <v>0</v>
      </c>
      <c r="Q5580" t="n">
        <v>0</v>
      </c>
      <c r="R5580" s="2" t="inlineStr"/>
    </row>
    <row r="5581" ht="15" customHeight="1">
      <c r="A5581" t="inlineStr">
        <is>
          <t>A 42414-2021</t>
        </is>
      </c>
      <c r="B5581" s="1" t="n">
        <v>44427.54488425926</v>
      </c>
      <c r="C5581" s="1" t="n">
        <v>46103</v>
      </c>
      <c r="D5581" t="inlineStr">
        <is>
          <t>KRONOBERGS LÄN</t>
        </is>
      </c>
      <c r="E5581" t="inlineStr">
        <is>
          <t>TINGSRYD</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38759-2024</t>
        </is>
      </c>
      <c r="B5582" s="1" t="n">
        <v>45547.43822916667</v>
      </c>
      <c r="C5582" s="1" t="n">
        <v>46103</v>
      </c>
      <c r="D5582" t="inlineStr">
        <is>
          <t>KRONOBERGS LÄN</t>
        </is>
      </c>
      <c r="E5582" t="inlineStr">
        <is>
          <t>TINGSRYD</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49237-2021</t>
        </is>
      </c>
      <c r="B5583" s="1" t="n">
        <v>44454</v>
      </c>
      <c r="C5583" s="1" t="n">
        <v>46103</v>
      </c>
      <c r="D5583" t="inlineStr">
        <is>
          <t>KRONOBERGS LÄN</t>
        </is>
      </c>
      <c r="E5583" t="inlineStr">
        <is>
          <t>LJUNGBY</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11807-2024</t>
        </is>
      </c>
      <c r="B5584" s="1" t="n">
        <v>45375</v>
      </c>
      <c r="C5584" s="1" t="n">
        <v>46103</v>
      </c>
      <c r="D5584" t="inlineStr">
        <is>
          <t>KRONOBERGS LÄN</t>
        </is>
      </c>
      <c r="E5584" t="inlineStr">
        <is>
          <t>UPPVIDINGE</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62518-2023</t>
        </is>
      </c>
      <c r="B5585" s="1" t="n">
        <v>45268</v>
      </c>
      <c r="C5585" s="1" t="n">
        <v>46103</v>
      </c>
      <c r="D5585" t="inlineStr">
        <is>
          <t>KRONOBERGS LÄN</t>
        </is>
      </c>
      <c r="E5585" t="inlineStr">
        <is>
          <t>MARKARYD</t>
        </is>
      </c>
      <c r="F5585" t="inlineStr">
        <is>
          <t>Sveaskog</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45636-2024</t>
        </is>
      </c>
      <c r="B5586" s="1" t="n">
        <v>45579.4727662037</v>
      </c>
      <c r="C5586" s="1" t="n">
        <v>46103</v>
      </c>
      <c r="D5586" t="inlineStr">
        <is>
          <t>KRONOBERGS LÄN</t>
        </is>
      </c>
      <c r="E5586" t="inlineStr">
        <is>
          <t>TINGSRYD</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45666-2024</t>
        </is>
      </c>
      <c r="B5587" s="1" t="n">
        <v>45579</v>
      </c>
      <c r="C5587" s="1" t="n">
        <v>46103</v>
      </c>
      <c r="D5587" t="inlineStr">
        <is>
          <t>KRONOBERGS LÄN</t>
        </is>
      </c>
      <c r="E5587" t="inlineStr">
        <is>
          <t>TINGSRYD</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45671-2024</t>
        </is>
      </c>
      <c r="B5588" s="1" t="n">
        <v>45579.50758101852</v>
      </c>
      <c r="C5588" s="1" t="n">
        <v>46103</v>
      </c>
      <c r="D5588" t="inlineStr">
        <is>
          <t>KRONOBERGS LÄN</t>
        </is>
      </c>
      <c r="E5588" t="inlineStr">
        <is>
          <t>LESSEBO</t>
        </is>
      </c>
      <c r="F5588" t="inlineStr">
        <is>
          <t>Sveaskog</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7224-2025</t>
        </is>
      </c>
      <c r="B5589" s="1" t="n">
        <v>45702.49078703704</v>
      </c>
      <c r="C5589" s="1" t="n">
        <v>46103</v>
      </c>
      <c r="D5589" t="inlineStr">
        <is>
          <t>KRONOBERGS LÄN</t>
        </is>
      </c>
      <c r="E5589" t="inlineStr">
        <is>
          <t>TINGSRYD</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7269-2025</t>
        </is>
      </c>
      <c r="B5590" s="1" t="n">
        <v>45702.6033912037</v>
      </c>
      <c r="C5590" s="1" t="n">
        <v>46103</v>
      </c>
      <c r="D5590" t="inlineStr">
        <is>
          <t>KRONOBERGS LÄN</t>
        </is>
      </c>
      <c r="E5590" t="inlineStr">
        <is>
          <t>LJUNGBY</t>
        </is>
      </c>
      <c r="G5590" t="n">
        <v>0.4</v>
      </c>
      <c r="H5590" t="n">
        <v>0</v>
      </c>
      <c r="I5590" t="n">
        <v>0</v>
      </c>
      <c r="J5590" t="n">
        <v>0</v>
      </c>
      <c r="K5590" t="n">
        <v>0</v>
      </c>
      <c r="L5590" t="n">
        <v>0</v>
      </c>
      <c r="M5590" t="n">
        <v>0</v>
      </c>
      <c r="N5590" t="n">
        <v>0</v>
      </c>
      <c r="O5590" t="n">
        <v>0</v>
      </c>
      <c r="P5590" t="n">
        <v>0</v>
      </c>
      <c r="Q5590" t="n">
        <v>0</v>
      </c>
      <c r="R5590" s="2" t="inlineStr"/>
    </row>
    <row r="5591" ht="15" customHeight="1">
      <c r="A5591" t="inlineStr">
        <is>
          <t>A 43462-2024</t>
        </is>
      </c>
      <c r="B5591" s="1" t="n">
        <v>45568</v>
      </c>
      <c r="C5591" s="1" t="n">
        <v>46103</v>
      </c>
      <c r="D5591" t="inlineStr">
        <is>
          <t>KRONOBERGS LÄN</t>
        </is>
      </c>
      <c r="E5591" t="inlineStr">
        <is>
          <t>TINGSRYD</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26828-2024</t>
        </is>
      </c>
      <c r="B5592" s="1" t="n">
        <v>45470</v>
      </c>
      <c r="C5592" s="1" t="n">
        <v>46103</v>
      </c>
      <c r="D5592" t="inlineStr">
        <is>
          <t>KRONOBERGS LÄN</t>
        </is>
      </c>
      <c r="E5592" t="inlineStr">
        <is>
          <t>LJUNGBY</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33105-2023</t>
        </is>
      </c>
      <c r="B5593" s="1" t="n">
        <v>45126</v>
      </c>
      <c r="C5593" s="1" t="n">
        <v>46103</v>
      </c>
      <c r="D5593" t="inlineStr">
        <is>
          <t>KRONOBERGS LÄN</t>
        </is>
      </c>
      <c r="E5593" t="inlineStr">
        <is>
          <t>LJUNGBY</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47386-2024</t>
        </is>
      </c>
      <c r="B5594" s="1" t="n">
        <v>45587</v>
      </c>
      <c r="C5594" s="1" t="n">
        <v>46103</v>
      </c>
      <c r="D5594" t="inlineStr">
        <is>
          <t>KRONOBERGS LÄN</t>
        </is>
      </c>
      <c r="E5594" t="inlineStr">
        <is>
          <t>LESSEBO</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49782-2024</t>
        </is>
      </c>
      <c r="B5595" s="1" t="n">
        <v>45597.35365740741</v>
      </c>
      <c r="C5595" s="1" t="n">
        <v>46103</v>
      </c>
      <c r="D5595" t="inlineStr">
        <is>
          <t>KRONOBERGS LÄN</t>
        </is>
      </c>
      <c r="E5595" t="inlineStr">
        <is>
          <t>UPPVIDINGE</t>
        </is>
      </c>
      <c r="F5595" t="inlineStr">
        <is>
          <t>Sveaskog</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63927-2021</t>
        </is>
      </c>
      <c r="B5596" s="1" t="n">
        <v>44509.69895833333</v>
      </c>
      <c r="C5596" s="1" t="n">
        <v>46103</v>
      </c>
      <c r="D5596" t="inlineStr">
        <is>
          <t>KRONOBERGS LÄN</t>
        </is>
      </c>
      <c r="E5596" t="inlineStr">
        <is>
          <t>LESSEBO</t>
        </is>
      </c>
      <c r="F5596" t="inlineStr">
        <is>
          <t>Sveaskog</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27737-2021</t>
        </is>
      </c>
      <c r="B5597" s="1" t="n">
        <v>44354</v>
      </c>
      <c r="C5597" s="1" t="n">
        <v>46103</v>
      </c>
      <c r="D5597" t="inlineStr">
        <is>
          <t>KRONOBERGS LÄN</t>
        </is>
      </c>
      <c r="E5597" t="inlineStr">
        <is>
          <t>UPPVIDINGE</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60350-2021</t>
        </is>
      </c>
      <c r="B5598" s="1" t="n">
        <v>44496</v>
      </c>
      <c r="C5598" s="1" t="n">
        <v>46103</v>
      </c>
      <c r="D5598" t="inlineStr">
        <is>
          <t>KRONOBERGS LÄN</t>
        </is>
      </c>
      <c r="E5598" t="inlineStr">
        <is>
          <t>VÄXJÖ</t>
        </is>
      </c>
      <c r="G5598" t="n">
        <v>0.4</v>
      </c>
      <c r="H5598" t="n">
        <v>0</v>
      </c>
      <c r="I5598" t="n">
        <v>0</v>
      </c>
      <c r="J5598" t="n">
        <v>0</v>
      </c>
      <c r="K5598" t="n">
        <v>0</v>
      </c>
      <c r="L5598" t="n">
        <v>0</v>
      </c>
      <c r="M5598" t="n">
        <v>0</v>
      </c>
      <c r="N5598" t="n">
        <v>0</v>
      </c>
      <c r="O5598" t="n">
        <v>0</v>
      </c>
      <c r="P5598" t="n">
        <v>0</v>
      </c>
      <c r="Q5598" t="n">
        <v>0</v>
      </c>
      <c r="R5598" s="2" t="inlineStr"/>
    </row>
    <row r="5599" ht="15" customHeight="1">
      <c r="A5599" t="inlineStr">
        <is>
          <t>A 11188-2023</t>
        </is>
      </c>
      <c r="B5599" s="1" t="n">
        <v>44992.58211805556</v>
      </c>
      <c r="C5599" s="1" t="n">
        <v>46103</v>
      </c>
      <c r="D5599" t="inlineStr">
        <is>
          <t>KRONOBERGS LÄN</t>
        </is>
      </c>
      <c r="E5599" t="inlineStr">
        <is>
          <t>ÄLMHULT</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11222-2023</t>
        </is>
      </c>
      <c r="B5600" s="1" t="n">
        <v>44992.62568287037</v>
      </c>
      <c r="C5600" s="1" t="n">
        <v>46103</v>
      </c>
      <c r="D5600" t="inlineStr">
        <is>
          <t>KRONOBERGS LÄN</t>
        </is>
      </c>
      <c r="E5600" t="inlineStr">
        <is>
          <t>ÄLMHULT</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424-2024</t>
        </is>
      </c>
      <c r="B5601" s="1" t="n">
        <v>45296.53465277778</v>
      </c>
      <c r="C5601" s="1" t="n">
        <v>46103</v>
      </c>
      <c r="D5601" t="inlineStr">
        <is>
          <t>KRONOBERGS LÄN</t>
        </is>
      </c>
      <c r="E5601" t="inlineStr">
        <is>
          <t>MARKARYD</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11515-2025</t>
        </is>
      </c>
      <c r="B5602" s="1" t="n">
        <v>45726.88268518518</v>
      </c>
      <c r="C5602" s="1" t="n">
        <v>46103</v>
      </c>
      <c r="D5602" t="inlineStr">
        <is>
          <t>KRONOBERGS LÄN</t>
        </is>
      </c>
      <c r="E5602" t="inlineStr">
        <is>
          <t>ALVESTA</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20056-2025</t>
        </is>
      </c>
      <c r="B5603" s="1" t="n">
        <v>45772.40685185185</v>
      </c>
      <c r="C5603" s="1" t="n">
        <v>46103</v>
      </c>
      <c r="D5603" t="inlineStr">
        <is>
          <t>KRONOBERGS LÄN</t>
        </is>
      </c>
      <c r="E5603" t="inlineStr">
        <is>
          <t>LESSEBO</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20058-2025</t>
        </is>
      </c>
      <c r="B5604" s="1" t="n">
        <v>45772</v>
      </c>
      <c r="C5604" s="1" t="n">
        <v>46103</v>
      </c>
      <c r="D5604" t="inlineStr">
        <is>
          <t>KRONOBERGS LÄN</t>
        </is>
      </c>
      <c r="E5604" t="inlineStr">
        <is>
          <t>TINGSRYD</t>
        </is>
      </c>
      <c r="G5604" t="n">
        <v>3.6</v>
      </c>
      <c r="H5604" t="n">
        <v>0</v>
      </c>
      <c r="I5604" t="n">
        <v>0</v>
      </c>
      <c r="J5604" t="n">
        <v>0</v>
      </c>
      <c r="K5604" t="n">
        <v>0</v>
      </c>
      <c r="L5604" t="n">
        <v>0</v>
      </c>
      <c r="M5604" t="n">
        <v>0</v>
      </c>
      <c r="N5604" t="n">
        <v>0</v>
      </c>
      <c r="O5604" t="n">
        <v>0</v>
      </c>
      <c r="P5604" t="n">
        <v>0</v>
      </c>
      <c r="Q5604" t="n">
        <v>0</v>
      </c>
      <c r="R5604" s="2" t="inlineStr"/>
    </row>
    <row r="5605" ht="15" customHeight="1">
      <c r="A5605" t="inlineStr">
        <is>
          <t>A 27941-2021</t>
        </is>
      </c>
      <c r="B5605" s="1" t="n">
        <v>44354.84642361111</v>
      </c>
      <c r="C5605" s="1" t="n">
        <v>46103</v>
      </c>
      <c r="D5605" t="inlineStr">
        <is>
          <t>KRONOBERGS LÄN</t>
        </is>
      </c>
      <c r="E5605" t="inlineStr">
        <is>
          <t>VÄXJÖ</t>
        </is>
      </c>
      <c r="G5605" t="n">
        <v>10.7</v>
      </c>
      <c r="H5605" t="n">
        <v>0</v>
      </c>
      <c r="I5605" t="n">
        <v>0</v>
      </c>
      <c r="J5605" t="n">
        <v>0</v>
      </c>
      <c r="K5605" t="n">
        <v>0</v>
      </c>
      <c r="L5605" t="n">
        <v>0</v>
      </c>
      <c r="M5605" t="n">
        <v>0</v>
      </c>
      <c r="N5605" t="n">
        <v>0</v>
      </c>
      <c r="O5605" t="n">
        <v>0</v>
      </c>
      <c r="P5605" t="n">
        <v>0</v>
      </c>
      <c r="Q5605" t="n">
        <v>0</v>
      </c>
      <c r="R5605" s="2" t="inlineStr"/>
    </row>
    <row r="5606" ht="15" customHeight="1">
      <c r="A5606" t="inlineStr">
        <is>
          <t>A 53226-2024</t>
        </is>
      </c>
      <c r="B5606" s="1" t="n">
        <v>45613.52194444444</v>
      </c>
      <c r="C5606" s="1" t="n">
        <v>46103</v>
      </c>
      <c r="D5606" t="inlineStr">
        <is>
          <t>KRONOBERGS LÄN</t>
        </is>
      </c>
      <c r="E5606" t="inlineStr">
        <is>
          <t>ALVESTA</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43858-2022</t>
        </is>
      </c>
      <c r="B5607" s="1" t="n">
        <v>44838.42135416667</v>
      </c>
      <c r="C5607" s="1" t="n">
        <v>46103</v>
      </c>
      <c r="D5607" t="inlineStr">
        <is>
          <t>KRONOBERGS LÄN</t>
        </is>
      </c>
      <c r="E5607" t="inlineStr">
        <is>
          <t>TINGSRYD</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23713-2024</t>
        </is>
      </c>
      <c r="B5608" s="1" t="n">
        <v>45454.73629629629</v>
      </c>
      <c r="C5608" s="1" t="n">
        <v>46103</v>
      </c>
      <c r="D5608" t="inlineStr">
        <is>
          <t>KRONOBERGS LÄN</t>
        </is>
      </c>
      <c r="E5608" t="inlineStr">
        <is>
          <t>UPPVIDINGE</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45624-2024</t>
        </is>
      </c>
      <c r="B5609" s="1" t="n">
        <v>45579.46674768518</v>
      </c>
      <c r="C5609" s="1" t="n">
        <v>46103</v>
      </c>
      <c r="D5609" t="inlineStr">
        <is>
          <t>KRONOBERGS LÄN</t>
        </is>
      </c>
      <c r="E5609" t="inlineStr">
        <is>
          <t>VÄXJÖ</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47425-2023</t>
        </is>
      </c>
      <c r="B5610" s="1" t="n">
        <v>45202</v>
      </c>
      <c r="C5610" s="1" t="n">
        <v>46103</v>
      </c>
      <c r="D5610" t="inlineStr">
        <is>
          <t>KRONOBERGS LÄN</t>
        </is>
      </c>
      <c r="E5610" t="inlineStr">
        <is>
          <t>ÄLMHULT</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64296-2023</t>
        </is>
      </c>
      <c r="B5611" s="1" t="n">
        <v>45280</v>
      </c>
      <c r="C5611" s="1" t="n">
        <v>46103</v>
      </c>
      <c r="D5611" t="inlineStr">
        <is>
          <t>KRONOBERGS LÄN</t>
        </is>
      </c>
      <c r="E5611" t="inlineStr">
        <is>
          <t>ÄLMHULT</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54633-2022</t>
        </is>
      </c>
      <c r="B5612" s="1" t="n">
        <v>44883</v>
      </c>
      <c r="C5612" s="1" t="n">
        <v>46103</v>
      </c>
      <c r="D5612" t="inlineStr">
        <is>
          <t>KRONOBERGS LÄN</t>
        </is>
      </c>
      <c r="E5612" t="inlineStr">
        <is>
          <t>ÄLMHULT</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24787-2023</t>
        </is>
      </c>
      <c r="B5613" s="1" t="n">
        <v>45084.67444444444</v>
      </c>
      <c r="C5613" s="1" t="n">
        <v>46103</v>
      </c>
      <c r="D5613" t="inlineStr">
        <is>
          <t>KRONOBERGS LÄN</t>
        </is>
      </c>
      <c r="E5613" t="inlineStr">
        <is>
          <t>LJUNGBY</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48277-2022</t>
        </is>
      </c>
      <c r="B5614" s="1" t="n">
        <v>44858</v>
      </c>
      <c r="C5614" s="1" t="n">
        <v>46103</v>
      </c>
      <c r="D5614" t="inlineStr">
        <is>
          <t>KRONOBERGS LÄN</t>
        </is>
      </c>
      <c r="E5614" t="inlineStr">
        <is>
          <t>UPPVIDINGE</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15756-2024</t>
        </is>
      </c>
      <c r="B5615" s="1" t="n">
        <v>45404.56375</v>
      </c>
      <c r="C5615" s="1" t="n">
        <v>46103</v>
      </c>
      <c r="D5615" t="inlineStr">
        <is>
          <t>KRONOBERGS LÄN</t>
        </is>
      </c>
      <c r="E5615" t="inlineStr">
        <is>
          <t>UPPVIDINGE</t>
        </is>
      </c>
      <c r="G5615" t="n">
        <v>0.2</v>
      </c>
      <c r="H5615" t="n">
        <v>0</v>
      </c>
      <c r="I5615" t="n">
        <v>0</v>
      </c>
      <c r="J5615" t="n">
        <v>0</v>
      </c>
      <c r="K5615" t="n">
        <v>0</v>
      </c>
      <c r="L5615" t="n">
        <v>0</v>
      </c>
      <c r="M5615" t="n">
        <v>0</v>
      </c>
      <c r="N5615" t="n">
        <v>0</v>
      </c>
      <c r="O5615" t="n">
        <v>0</v>
      </c>
      <c r="P5615" t="n">
        <v>0</v>
      </c>
      <c r="Q5615" t="n">
        <v>0</v>
      </c>
      <c r="R5615" s="2" t="inlineStr"/>
    </row>
    <row r="5616" ht="15" customHeight="1">
      <c r="A5616" t="inlineStr">
        <is>
          <t>A 18077-2021</t>
        </is>
      </c>
      <c r="B5616" s="1" t="n">
        <v>44302</v>
      </c>
      <c r="C5616" s="1" t="n">
        <v>46103</v>
      </c>
      <c r="D5616" t="inlineStr">
        <is>
          <t>KRONOBERGS LÄN</t>
        </is>
      </c>
      <c r="E5616" t="inlineStr">
        <is>
          <t>TINGSRYD</t>
        </is>
      </c>
      <c r="G5616" t="n">
        <v>20.4</v>
      </c>
      <c r="H5616" t="n">
        <v>0</v>
      </c>
      <c r="I5616" t="n">
        <v>0</v>
      </c>
      <c r="J5616" t="n">
        <v>0</v>
      </c>
      <c r="K5616" t="n">
        <v>0</v>
      </c>
      <c r="L5616" t="n">
        <v>0</v>
      </c>
      <c r="M5616" t="n">
        <v>0</v>
      </c>
      <c r="N5616" t="n">
        <v>0</v>
      </c>
      <c r="O5616" t="n">
        <v>0</v>
      </c>
      <c r="P5616" t="n">
        <v>0</v>
      </c>
      <c r="Q5616" t="n">
        <v>0</v>
      </c>
      <c r="R5616" s="2" t="inlineStr"/>
    </row>
    <row r="5617" ht="15" customHeight="1">
      <c r="A5617" t="inlineStr">
        <is>
          <t>A 8408-2025</t>
        </is>
      </c>
      <c r="B5617" s="1" t="n">
        <v>45709.38748842593</v>
      </c>
      <c r="C5617" s="1" t="n">
        <v>46103</v>
      </c>
      <c r="D5617" t="inlineStr">
        <is>
          <t>KRONOBERGS LÄN</t>
        </is>
      </c>
      <c r="E5617" t="inlineStr">
        <is>
          <t>UPPVIDINGE</t>
        </is>
      </c>
      <c r="F5617" t="inlineStr">
        <is>
          <t>Sveaskog</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8433-2025</t>
        </is>
      </c>
      <c r="B5618" s="1" t="n">
        <v>45709.42873842592</v>
      </c>
      <c r="C5618" s="1" t="n">
        <v>46103</v>
      </c>
      <c r="D5618" t="inlineStr">
        <is>
          <t>KRONOBERGS LÄN</t>
        </is>
      </c>
      <c r="E5618" t="inlineStr">
        <is>
          <t>UPPVIDINGE</t>
        </is>
      </c>
      <c r="F5618" t="inlineStr">
        <is>
          <t>Sveaskog</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10697-2025</t>
        </is>
      </c>
      <c r="B5619" s="1" t="n">
        <v>45722.31061342593</v>
      </c>
      <c r="C5619" s="1" t="n">
        <v>46103</v>
      </c>
      <c r="D5619" t="inlineStr">
        <is>
          <t>KRONOBERGS LÄN</t>
        </is>
      </c>
      <c r="E5619" t="inlineStr">
        <is>
          <t>LJUNGBY</t>
        </is>
      </c>
      <c r="G5619" t="n">
        <v>0.3</v>
      </c>
      <c r="H5619" t="n">
        <v>0</v>
      </c>
      <c r="I5619" t="n">
        <v>0</v>
      </c>
      <c r="J5619" t="n">
        <v>0</v>
      </c>
      <c r="K5619" t="n">
        <v>0</v>
      </c>
      <c r="L5619" t="n">
        <v>0</v>
      </c>
      <c r="M5619" t="n">
        <v>0</v>
      </c>
      <c r="N5619" t="n">
        <v>0</v>
      </c>
      <c r="O5619" t="n">
        <v>0</v>
      </c>
      <c r="P5619" t="n">
        <v>0</v>
      </c>
      <c r="Q5619" t="n">
        <v>0</v>
      </c>
      <c r="R5619" s="2" t="inlineStr"/>
    </row>
    <row r="5620" ht="15" customHeight="1">
      <c r="A5620" t="inlineStr">
        <is>
          <t>A 10743-2025</t>
        </is>
      </c>
      <c r="B5620" s="1" t="n">
        <v>45722.41969907407</v>
      </c>
      <c r="C5620" s="1" t="n">
        <v>46103</v>
      </c>
      <c r="D5620" t="inlineStr">
        <is>
          <t>KRONOBERGS LÄN</t>
        </is>
      </c>
      <c r="E5620" t="inlineStr">
        <is>
          <t>ÄLMHULT</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33882-2022</t>
        </is>
      </c>
      <c r="B5621" s="1" t="n">
        <v>44790.59928240741</v>
      </c>
      <c r="C5621" s="1" t="n">
        <v>46103</v>
      </c>
      <c r="D5621" t="inlineStr">
        <is>
          <t>KRONOBERGS LÄN</t>
        </is>
      </c>
      <c r="E5621" t="inlineStr">
        <is>
          <t>MARKARYD</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44129-2023</t>
        </is>
      </c>
      <c r="B5622" s="1" t="n">
        <v>45188</v>
      </c>
      <c r="C5622" s="1" t="n">
        <v>46103</v>
      </c>
      <c r="D5622" t="inlineStr">
        <is>
          <t>KRONOBERGS LÄN</t>
        </is>
      </c>
      <c r="E5622" t="inlineStr">
        <is>
          <t>LJUNGBY</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3840-2022</t>
        </is>
      </c>
      <c r="B5623" s="1" t="n">
        <v>44587.37592592592</v>
      </c>
      <c r="C5623" s="1" t="n">
        <v>46103</v>
      </c>
      <c r="D5623" t="inlineStr">
        <is>
          <t>KRONOBERGS LÄN</t>
        </is>
      </c>
      <c r="E5623" t="inlineStr">
        <is>
          <t>MARKARYD</t>
        </is>
      </c>
      <c r="G5623" t="n">
        <v>6.4</v>
      </c>
      <c r="H5623" t="n">
        <v>0</v>
      </c>
      <c r="I5623" t="n">
        <v>0</v>
      </c>
      <c r="J5623" t="n">
        <v>0</v>
      </c>
      <c r="K5623" t="n">
        <v>0</v>
      </c>
      <c r="L5623" t="n">
        <v>0</v>
      </c>
      <c r="M5623" t="n">
        <v>0</v>
      </c>
      <c r="N5623" t="n">
        <v>0</v>
      </c>
      <c r="O5623" t="n">
        <v>0</v>
      </c>
      <c r="P5623" t="n">
        <v>0</v>
      </c>
      <c r="Q5623" t="n">
        <v>0</v>
      </c>
      <c r="R5623" s="2" t="inlineStr"/>
    </row>
    <row r="5624" ht="15" customHeight="1">
      <c r="A5624" t="inlineStr">
        <is>
          <t>A 25011-2023</t>
        </is>
      </c>
      <c r="B5624" s="1" t="n">
        <v>45085</v>
      </c>
      <c r="C5624" s="1" t="n">
        <v>46103</v>
      </c>
      <c r="D5624" t="inlineStr">
        <is>
          <t>KRONOBERGS LÄN</t>
        </is>
      </c>
      <c r="E5624" t="inlineStr">
        <is>
          <t>MARKARYD</t>
        </is>
      </c>
      <c r="G5624" t="n">
        <v>3.7</v>
      </c>
      <c r="H5624" t="n">
        <v>0</v>
      </c>
      <c r="I5624" t="n">
        <v>0</v>
      </c>
      <c r="J5624" t="n">
        <v>0</v>
      </c>
      <c r="K5624" t="n">
        <v>0</v>
      </c>
      <c r="L5624" t="n">
        <v>0</v>
      </c>
      <c r="M5624" t="n">
        <v>0</v>
      </c>
      <c r="N5624" t="n">
        <v>0</v>
      </c>
      <c r="O5624" t="n">
        <v>0</v>
      </c>
      <c r="P5624" t="n">
        <v>0</v>
      </c>
      <c r="Q5624" t="n">
        <v>0</v>
      </c>
      <c r="R5624" s="2" t="inlineStr"/>
    </row>
    <row r="5625" ht="15" customHeight="1">
      <c r="A5625" t="inlineStr">
        <is>
          <t>A 2471-2025</t>
        </is>
      </c>
      <c r="B5625" s="1" t="n">
        <v>45674.4733449074</v>
      </c>
      <c r="C5625" s="1" t="n">
        <v>46103</v>
      </c>
      <c r="D5625" t="inlineStr">
        <is>
          <t>KRONOBERGS LÄN</t>
        </is>
      </c>
      <c r="E5625" t="inlineStr">
        <is>
          <t>TINGSRYD</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61274-2021</t>
        </is>
      </c>
      <c r="B5626" s="1" t="n">
        <v>44498.59428240741</v>
      </c>
      <c r="C5626" s="1" t="n">
        <v>46103</v>
      </c>
      <c r="D5626" t="inlineStr">
        <is>
          <t>KRONOBERGS LÄN</t>
        </is>
      </c>
      <c r="E5626" t="inlineStr">
        <is>
          <t>MARKARYD</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29336-2024</t>
        </is>
      </c>
      <c r="B5627" s="1" t="n">
        <v>45483</v>
      </c>
      <c r="C5627" s="1" t="n">
        <v>46103</v>
      </c>
      <c r="D5627" t="inlineStr">
        <is>
          <t>KRONOBERGS LÄN</t>
        </is>
      </c>
      <c r="E5627" t="inlineStr">
        <is>
          <t>LJUNGBY</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16781-2025</t>
        </is>
      </c>
      <c r="B5628" s="1" t="n">
        <v>45754</v>
      </c>
      <c r="C5628" s="1" t="n">
        <v>46103</v>
      </c>
      <c r="D5628" t="inlineStr">
        <is>
          <t>KRONOBERGS LÄN</t>
        </is>
      </c>
      <c r="E5628" t="inlineStr">
        <is>
          <t>VÄXJÖ</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59082-2024</t>
        </is>
      </c>
      <c r="B5629" s="1" t="n">
        <v>45637.3090162037</v>
      </c>
      <c r="C5629" s="1" t="n">
        <v>46103</v>
      </c>
      <c r="D5629" t="inlineStr">
        <is>
          <t>KRONOBERGS LÄN</t>
        </is>
      </c>
      <c r="E5629" t="inlineStr">
        <is>
          <t>TINGSRYD</t>
        </is>
      </c>
      <c r="F5629" t="inlineStr">
        <is>
          <t>Övriga Aktiebolag</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59092-2024</t>
        </is>
      </c>
      <c r="B5630" s="1" t="n">
        <v>45637.31978009259</v>
      </c>
      <c r="C5630" s="1" t="n">
        <v>46103</v>
      </c>
      <c r="D5630" t="inlineStr">
        <is>
          <t>KRONOBERGS LÄN</t>
        </is>
      </c>
      <c r="E5630" t="inlineStr">
        <is>
          <t>TINGSRYD</t>
        </is>
      </c>
      <c r="F5630" t="inlineStr">
        <is>
          <t>Övriga Aktiebolag</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20662-2022</t>
        </is>
      </c>
      <c r="B5631" s="1" t="n">
        <v>44700.65032407407</v>
      </c>
      <c r="C5631" s="1" t="n">
        <v>46103</v>
      </c>
      <c r="D5631" t="inlineStr">
        <is>
          <t>KRONOBERGS LÄN</t>
        </is>
      </c>
      <c r="E5631" t="inlineStr">
        <is>
          <t>TINGSRYD</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47897-2024</t>
        </is>
      </c>
      <c r="B5632" s="1" t="n">
        <v>45588.89078703704</v>
      </c>
      <c r="C5632" s="1" t="n">
        <v>46103</v>
      </c>
      <c r="D5632" t="inlineStr">
        <is>
          <t>KRONOBERGS LÄN</t>
        </is>
      </c>
      <c r="E5632" t="inlineStr">
        <is>
          <t>ÄLMHULT</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39603-2022</t>
        </is>
      </c>
      <c r="B5633" s="1" t="n">
        <v>44818.62685185186</v>
      </c>
      <c r="C5633" s="1" t="n">
        <v>46103</v>
      </c>
      <c r="D5633" t="inlineStr">
        <is>
          <t>KRONOBERGS LÄN</t>
        </is>
      </c>
      <c r="E5633" t="inlineStr">
        <is>
          <t>LESSEBO</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16727-2025</t>
        </is>
      </c>
      <c r="B5634" s="1" t="n">
        <v>45754.52563657407</v>
      </c>
      <c r="C5634" s="1" t="n">
        <v>46103</v>
      </c>
      <c r="D5634" t="inlineStr">
        <is>
          <t>KRONOBERGS LÄN</t>
        </is>
      </c>
      <c r="E5634" t="inlineStr">
        <is>
          <t>LJUNGBY</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16730-2025</t>
        </is>
      </c>
      <c r="B5635" s="1" t="n">
        <v>45754.52998842593</v>
      </c>
      <c r="C5635" s="1" t="n">
        <v>46103</v>
      </c>
      <c r="D5635" t="inlineStr">
        <is>
          <t>KRONOBERGS LÄN</t>
        </is>
      </c>
      <c r="E5635" t="inlineStr">
        <is>
          <t>LJUNGBY</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57574-2023</t>
        </is>
      </c>
      <c r="B5636" s="1" t="n">
        <v>45246</v>
      </c>
      <c r="C5636" s="1" t="n">
        <v>46103</v>
      </c>
      <c r="D5636" t="inlineStr">
        <is>
          <t>KRONOBERGS LÄN</t>
        </is>
      </c>
      <c r="E5636" t="inlineStr">
        <is>
          <t>ÄLMHULT</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16751-2025</t>
        </is>
      </c>
      <c r="B5637" s="1" t="n">
        <v>45754.568125</v>
      </c>
      <c r="C5637" s="1" t="n">
        <v>46103</v>
      </c>
      <c r="D5637" t="inlineStr">
        <is>
          <t>KRONOBERGS LÄN</t>
        </is>
      </c>
      <c r="E5637" t="inlineStr">
        <is>
          <t>VÄXJÖ</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37164-2022</t>
        </is>
      </c>
      <c r="B5638" s="1" t="n">
        <v>44806.59946759259</v>
      </c>
      <c r="C5638" s="1" t="n">
        <v>46103</v>
      </c>
      <c r="D5638" t="inlineStr">
        <is>
          <t>KRONOBERGS LÄN</t>
        </is>
      </c>
      <c r="E5638" t="inlineStr">
        <is>
          <t>LJUNGBY</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49747-2023</t>
        </is>
      </c>
      <c r="B5639" s="1" t="n">
        <v>45212</v>
      </c>
      <c r="C5639" s="1" t="n">
        <v>46103</v>
      </c>
      <c r="D5639" t="inlineStr">
        <is>
          <t>KRONOBERGS LÄN</t>
        </is>
      </c>
      <c r="E5639" t="inlineStr">
        <is>
          <t>LJUNGBY</t>
        </is>
      </c>
      <c r="G5639" t="n">
        <v>6.7</v>
      </c>
      <c r="H5639" t="n">
        <v>0</v>
      </c>
      <c r="I5639" t="n">
        <v>0</v>
      </c>
      <c r="J5639" t="n">
        <v>0</v>
      </c>
      <c r="K5639" t="n">
        <v>0</v>
      </c>
      <c r="L5639" t="n">
        <v>0</v>
      </c>
      <c r="M5639" t="n">
        <v>0</v>
      </c>
      <c r="N5639" t="n">
        <v>0</v>
      </c>
      <c r="O5639" t="n">
        <v>0</v>
      </c>
      <c r="P5639" t="n">
        <v>0</v>
      </c>
      <c r="Q5639" t="n">
        <v>0</v>
      </c>
      <c r="R5639" s="2" t="inlineStr"/>
    </row>
    <row r="5640" ht="15" customHeight="1">
      <c r="A5640" t="inlineStr">
        <is>
          <t>A 6556-2022</t>
        </is>
      </c>
      <c r="B5640" s="1" t="n">
        <v>44601.58173611111</v>
      </c>
      <c r="C5640" s="1" t="n">
        <v>46103</v>
      </c>
      <c r="D5640" t="inlineStr">
        <is>
          <t>KRONOBERGS LÄN</t>
        </is>
      </c>
      <c r="E5640" t="inlineStr">
        <is>
          <t>MARKARYD</t>
        </is>
      </c>
      <c r="F5640" t="inlineStr">
        <is>
          <t>Kommuner</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6561-2022</t>
        </is>
      </c>
      <c r="B5641" s="1" t="n">
        <v>44601.58780092592</v>
      </c>
      <c r="C5641" s="1" t="n">
        <v>46103</v>
      </c>
      <c r="D5641" t="inlineStr">
        <is>
          <t>KRONOBERGS LÄN</t>
        </is>
      </c>
      <c r="E5641" t="inlineStr">
        <is>
          <t>MARKARYD</t>
        </is>
      </c>
      <c r="F5641" t="inlineStr">
        <is>
          <t>Kommuner</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33079-2023</t>
        </is>
      </c>
      <c r="B5642" s="1" t="n">
        <v>45126</v>
      </c>
      <c r="C5642" s="1" t="n">
        <v>46103</v>
      </c>
      <c r="D5642" t="inlineStr">
        <is>
          <t>KRONOBERGS LÄN</t>
        </is>
      </c>
      <c r="E5642" t="inlineStr">
        <is>
          <t>LJUNGBY</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33113-2023</t>
        </is>
      </c>
      <c r="B5643" s="1" t="n">
        <v>45114</v>
      </c>
      <c r="C5643" s="1" t="n">
        <v>46103</v>
      </c>
      <c r="D5643" t="inlineStr">
        <is>
          <t>KRONOBERGS LÄN</t>
        </is>
      </c>
      <c r="E5643" t="inlineStr">
        <is>
          <t>ALVESTA</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50183-2022</t>
        </is>
      </c>
      <c r="B5644" s="1" t="n">
        <v>44865</v>
      </c>
      <c r="C5644" s="1" t="n">
        <v>46103</v>
      </c>
      <c r="D5644" t="inlineStr">
        <is>
          <t>KRONOBERGS LÄN</t>
        </is>
      </c>
      <c r="E5644" t="inlineStr">
        <is>
          <t>ÄLMHULT</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1116-2022</t>
        </is>
      </c>
      <c r="B5645" s="1" t="n">
        <v>44572.34041666667</v>
      </c>
      <c r="C5645" s="1" t="n">
        <v>46103</v>
      </c>
      <c r="D5645" t="inlineStr">
        <is>
          <t>KRONOBERGS LÄN</t>
        </is>
      </c>
      <c r="E5645" t="inlineStr">
        <is>
          <t>MARKARYD</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18379-2024</t>
        </is>
      </c>
      <c r="B5646" s="1" t="n">
        <v>45424.34530092592</v>
      </c>
      <c r="C5646" s="1" t="n">
        <v>46103</v>
      </c>
      <c r="D5646" t="inlineStr">
        <is>
          <t>KRONOBERGS LÄN</t>
        </is>
      </c>
      <c r="E5646" t="inlineStr">
        <is>
          <t>TINGSRYD</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28090-2024</t>
        </is>
      </c>
      <c r="B5647" s="1" t="n">
        <v>45476</v>
      </c>
      <c r="C5647" s="1" t="n">
        <v>46103</v>
      </c>
      <c r="D5647" t="inlineStr">
        <is>
          <t>KRONOBERGS LÄN</t>
        </is>
      </c>
      <c r="E5647" t="inlineStr">
        <is>
          <t>UPPVIDINGE</t>
        </is>
      </c>
      <c r="G5647" t="n">
        <v>4.6</v>
      </c>
      <c r="H5647" t="n">
        <v>0</v>
      </c>
      <c r="I5647" t="n">
        <v>0</v>
      </c>
      <c r="J5647" t="n">
        <v>0</v>
      </c>
      <c r="K5647" t="n">
        <v>0</v>
      </c>
      <c r="L5647" t="n">
        <v>0</v>
      </c>
      <c r="M5647" t="n">
        <v>0</v>
      </c>
      <c r="N5647" t="n">
        <v>0</v>
      </c>
      <c r="O5647" t="n">
        <v>0</v>
      </c>
      <c r="P5647" t="n">
        <v>0</v>
      </c>
      <c r="Q5647" t="n">
        <v>0</v>
      </c>
      <c r="R5647" s="2" t="inlineStr"/>
    </row>
    <row r="5648" ht="15" customHeight="1">
      <c r="A5648" t="inlineStr">
        <is>
          <t>A 13335-2025</t>
        </is>
      </c>
      <c r="B5648" s="1" t="n">
        <v>45735.61881944445</v>
      </c>
      <c r="C5648" s="1" t="n">
        <v>46103</v>
      </c>
      <c r="D5648" t="inlineStr">
        <is>
          <t>KRONOBERGS LÄN</t>
        </is>
      </c>
      <c r="E5648" t="inlineStr">
        <is>
          <t>ALVESTA</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55982-2023</t>
        </is>
      </c>
      <c r="B5649" s="1" t="n">
        <v>45240.37677083333</v>
      </c>
      <c r="C5649" s="1" t="n">
        <v>46103</v>
      </c>
      <c r="D5649" t="inlineStr">
        <is>
          <t>KRONOBERGS LÄN</t>
        </is>
      </c>
      <c r="E5649" t="inlineStr">
        <is>
          <t>TINGSRYD</t>
        </is>
      </c>
      <c r="G5649" t="n">
        <v>6.9</v>
      </c>
      <c r="H5649" t="n">
        <v>0</v>
      </c>
      <c r="I5649" t="n">
        <v>0</v>
      </c>
      <c r="J5649" t="n">
        <v>0</v>
      </c>
      <c r="K5649" t="n">
        <v>0</v>
      </c>
      <c r="L5649" t="n">
        <v>0</v>
      </c>
      <c r="M5649" t="n">
        <v>0</v>
      </c>
      <c r="N5649" t="n">
        <v>0</v>
      </c>
      <c r="O5649" t="n">
        <v>0</v>
      </c>
      <c r="P5649" t="n">
        <v>0</v>
      </c>
      <c r="Q5649" t="n">
        <v>0</v>
      </c>
      <c r="R5649" s="2" t="inlineStr"/>
    </row>
    <row r="5650" ht="15" customHeight="1">
      <c r="A5650" t="inlineStr">
        <is>
          <t>A 14365-2023</t>
        </is>
      </c>
      <c r="B5650" s="1" t="n">
        <v>45012.4278587963</v>
      </c>
      <c r="C5650" s="1" t="n">
        <v>46103</v>
      </c>
      <c r="D5650" t="inlineStr">
        <is>
          <t>KRONOBERGS LÄN</t>
        </is>
      </c>
      <c r="E5650" t="inlineStr">
        <is>
          <t>VÄXJÖ</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60113-2024</t>
        </is>
      </c>
      <c r="B5651" s="1" t="n">
        <v>45642.57581018518</v>
      </c>
      <c r="C5651" s="1" t="n">
        <v>46103</v>
      </c>
      <c r="D5651" t="inlineStr">
        <is>
          <t>KRONOBERGS LÄN</t>
        </is>
      </c>
      <c r="E5651" t="inlineStr">
        <is>
          <t>LJUNGBY</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67565-2021</t>
        </is>
      </c>
      <c r="B5652" s="1" t="n">
        <v>44524</v>
      </c>
      <c r="C5652" s="1" t="n">
        <v>46103</v>
      </c>
      <c r="D5652" t="inlineStr">
        <is>
          <t>KRONOBERGS LÄN</t>
        </is>
      </c>
      <c r="E5652" t="inlineStr">
        <is>
          <t>TINGSRYD</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52945-2023</t>
        </is>
      </c>
      <c r="B5653" s="1" t="n">
        <v>45226.57850694445</v>
      </c>
      <c r="C5653" s="1" t="n">
        <v>46103</v>
      </c>
      <c r="D5653" t="inlineStr">
        <is>
          <t>KRONOBERGS LÄN</t>
        </is>
      </c>
      <c r="E5653" t="inlineStr">
        <is>
          <t>TINGSRYD</t>
        </is>
      </c>
      <c r="G5653" t="n">
        <v>5.1</v>
      </c>
      <c r="H5653" t="n">
        <v>0</v>
      </c>
      <c r="I5653" t="n">
        <v>0</v>
      </c>
      <c r="J5653" t="n">
        <v>0</v>
      </c>
      <c r="K5653" t="n">
        <v>0</v>
      </c>
      <c r="L5653" t="n">
        <v>0</v>
      </c>
      <c r="M5653" t="n">
        <v>0</v>
      </c>
      <c r="N5653" t="n">
        <v>0</v>
      </c>
      <c r="O5653" t="n">
        <v>0</v>
      </c>
      <c r="P5653" t="n">
        <v>0</v>
      </c>
      <c r="Q5653" t="n">
        <v>0</v>
      </c>
      <c r="R5653" s="2" t="inlineStr"/>
    </row>
    <row r="5654" ht="15" customHeight="1">
      <c r="A5654" t="inlineStr">
        <is>
          <t>A 52996-2023</t>
        </is>
      </c>
      <c r="B5654" s="1" t="n">
        <v>45222</v>
      </c>
      <c r="C5654" s="1" t="n">
        <v>46103</v>
      </c>
      <c r="D5654" t="inlineStr">
        <is>
          <t>KRONOBERGS LÄN</t>
        </is>
      </c>
      <c r="E5654" t="inlineStr">
        <is>
          <t>VÄXJÖ</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20120-2022</t>
        </is>
      </c>
      <c r="B5655" s="1" t="n">
        <v>44698</v>
      </c>
      <c r="C5655" s="1" t="n">
        <v>46103</v>
      </c>
      <c r="D5655" t="inlineStr">
        <is>
          <t>KRONOBERGS LÄN</t>
        </is>
      </c>
      <c r="E5655" t="inlineStr">
        <is>
          <t>ÄLMHULT</t>
        </is>
      </c>
      <c r="G5655" t="n">
        <v>11.9</v>
      </c>
      <c r="H5655" t="n">
        <v>0</v>
      </c>
      <c r="I5655" t="n">
        <v>0</v>
      </c>
      <c r="J5655" t="n">
        <v>0</v>
      </c>
      <c r="K5655" t="n">
        <v>0</v>
      </c>
      <c r="L5655" t="n">
        <v>0</v>
      </c>
      <c r="M5655" t="n">
        <v>0</v>
      </c>
      <c r="N5655" t="n">
        <v>0</v>
      </c>
      <c r="O5655" t="n">
        <v>0</v>
      </c>
      <c r="P5655" t="n">
        <v>0</v>
      </c>
      <c r="Q5655" t="n">
        <v>0</v>
      </c>
      <c r="R5655" s="2" t="inlineStr"/>
    </row>
    <row r="5656" ht="15" customHeight="1">
      <c r="A5656" t="inlineStr">
        <is>
          <t>A 2806-2024</t>
        </is>
      </c>
      <c r="B5656" s="1" t="n">
        <v>45314.68846064815</v>
      </c>
      <c r="C5656" s="1" t="n">
        <v>46103</v>
      </c>
      <c r="D5656" t="inlineStr">
        <is>
          <t>KRONOBERGS LÄN</t>
        </is>
      </c>
      <c r="E5656" t="inlineStr">
        <is>
          <t>TINGSRYD</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14247-2023</t>
        </is>
      </c>
      <c r="B5657" s="1" t="n">
        <v>45009.68813657408</v>
      </c>
      <c r="C5657" s="1" t="n">
        <v>46103</v>
      </c>
      <c r="D5657" t="inlineStr">
        <is>
          <t>KRONOBERGS LÄN</t>
        </is>
      </c>
      <c r="E5657" t="inlineStr">
        <is>
          <t>TINGSRYD</t>
        </is>
      </c>
      <c r="F5657" t="inlineStr">
        <is>
          <t>Sveaskog</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44672-2023</t>
        </is>
      </c>
      <c r="B5658" s="1" t="n">
        <v>45189.7607175926</v>
      </c>
      <c r="C5658" s="1" t="n">
        <v>46103</v>
      </c>
      <c r="D5658" t="inlineStr">
        <is>
          <t>KRONOBERGS LÄN</t>
        </is>
      </c>
      <c r="E5658" t="inlineStr">
        <is>
          <t>ÄLMHULT</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33223-2023</t>
        </is>
      </c>
      <c r="B5659" s="1" t="n">
        <v>45127</v>
      </c>
      <c r="C5659" s="1" t="n">
        <v>46103</v>
      </c>
      <c r="D5659" t="inlineStr">
        <is>
          <t>KRONOBERGS LÄN</t>
        </is>
      </c>
      <c r="E5659" t="inlineStr">
        <is>
          <t>VÄXJÖ</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37359-2024</t>
        </is>
      </c>
      <c r="B5660" s="1" t="n">
        <v>45540.55045138889</v>
      </c>
      <c r="C5660" s="1" t="n">
        <v>46103</v>
      </c>
      <c r="D5660" t="inlineStr">
        <is>
          <t>KRONOBERGS LÄN</t>
        </is>
      </c>
      <c r="E5660" t="inlineStr">
        <is>
          <t>TINGSRYD</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8053-2025</t>
        </is>
      </c>
      <c r="B5661" s="1" t="n">
        <v>45707.6121412037</v>
      </c>
      <c r="C5661" s="1" t="n">
        <v>46103</v>
      </c>
      <c r="D5661" t="inlineStr">
        <is>
          <t>KRONOBERGS LÄN</t>
        </is>
      </c>
      <c r="E5661" t="inlineStr">
        <is>
          <t>MARKARYD</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11509-2024</t>
        </is>
      </c>
      <c r="B5662" s="1" t="n">
        <v>45372.7019212963</v>
      </c>
      <c r="C5662" s="1" t="n">
        <v>46103</v>
      </c>
      <c r="D5662" t="inlineStr">
        <is>
          <t>KRONOBERGS LÄN</t>
        </is>
      </c>
      <c r="E5662" t="inlineStr">
        <is>
          <t>LJUNGBY</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8074-2025</t>
        </is>
      </c>
      <c r="B5663" s="1" t="n">
        <v>45707.64956018519</v>
      </c>
      <c r="C5663" s="1" t="n">
        <v>46103</v>
      </c>
      <c r="D5663" t="inlineStr">
        <is>
          <t>KRONOBERGS LÄN</t>
        </is>
      </c>
      <c r="E5663" t="inlineStr">
        <is>
          <t>LJUNGBY</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8082-2025</t>
        </is>
      </c>
      <c r="B5664" s="1" t="n">
        <v>45707.66369212963</v>
      </c>
      <c r="C5664" s="1" t="n">
        <v>46103</v>
      </c>
      <c r="D5664" t="inlineStr">
        <is>
          <t>KRONOBERGS LÄN</t>
        </is>
      </c>
      <c r="E5664" t="inlineStr">
        <is>
          <t>LJUNGBY</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12260-2023</t>
        </is>
      </c>
      <c r="B5665" s="1" t="n">
        <v>44998.66505787037</v>
      </c>
      <c r="C5665" s="1" t="n">
        <v>46103</v>
      </c>
      <c r="D5665" t="inlineStr">
        <is>
          <t>KRONOBERGS LÄN</t>
        </is>
      </c>
      <c r="E5665" t="inlineStr">
        <is>
          <t>ALVESTA</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26794-2022</t>
        </is>
      </c>
      <c r="B5666" s="1" t="n">
        <v>44740.4180324074</v>
      </c>
      <c r="C5666" s="1" t="n">
        <v>46103</v>
      </c>
      <c r="D5666" t="inlineStr">
        <is>
          <t>KRONOBERGS LÄN</t>
        </is>
      </c>
      <c r="E5666" t="inlineStr">
        <is>
          <t>TINGSRYD</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36375-2024</t>
        </is>
      </c>
      <c r="B5667" s="1" t="n">
        <v>45534.68802083333</v>
      </c>
      <c r="C5667" s="1" t="n">
        <v>46103</v>
      </c>
      <c r="D5667" t="inlineStr">
        <is>
          <t>KRONOBERGS LÄN</t>
        </is>
      </c>
      <c r="E5667" t="inlineStr">
        <is>
          <t>VÄXJÖ</t>
        </is>
      </c>
      <c r="G5667" t="n">
        <v>3.5</v>
      </c>
      <c r="H5667" t="n">
        <v>0</v>
      </c>
      <c r="I5667" t="n">
        <v>0</v>
      </c>
      <c r="J5667" t="n">
        <v>0</v>
      </c>
      <c r="K5667" t="n">
        <v>0</v>
      </c>
      <c r="L5667" t="n">
        <v>0</v>
      </c>
      <c r="M5667" t="n">
        <v>0</v>
      </c>
      <c r="N5667" t="n">
        <v>0</v>
      </c>
      <c r="O5667" t="n">
        <v>0</v>
      </c>
      <c r="P5667" t="n">
        <v>0</v>
      </c>
      <c r="Q5667" t="n">
        <v>0</v>
      </c>
      <c r="R5667" s="2" t="inlineStr"/>
    </row>
    <row r="5668" ht="15" customHeight="1">
      <c r="A5668" t="inlineStr">
        <is>
          <t>A 46902-2021</t>
        </is>
      </c>
      <c r="B5668" s="1" t="n">
        <v>44446</v>
      </c>
      <c r="C5668" s="1" t="n">
        <v>46103</v>
      </c>
      <c r="D5668" t="inlineStr">
        <is>
          <t>KRONOBERGS LÄN</t>
        </is>
      </c>
      <c r="E5668" t="inlineStr">
        <is>
          <t>LJUNGBY</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50906-2022</t>
        </is>
      </c>
      <c r="B5669" s="1" t="n">
        <v>44867.62049768519</v>
      </c>
      <c r="C5669" s="1" t="n">
        <v>46103</v>
      </c>
      <c r="D5669" t="inlineStr">
        <is>
          <t>KRONOBERGS LÄN</t>
        </is>
      </c>
      <c r="E5669" t="inlineStr">
        <is>
          <t>VÄXJÖ</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3338-2023</t>
        </is>
      </c>
      <c r="B5670" s="1" t="n">
        <v>44949.4493287037</v>
      </c>
      <c r="C5670" s="1" t="n">
        <v>46103</v>
      </c>
      <c r="D5670" t="inlineStr">
        <is>
          <t>KRONOBERGS LÄN</t>
        </is>
      </c>
      <c r="E5670" t="inlineStr">
        <is>
          <t>TINGSRYD</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32509-2023</t>
        </is>
      </c>
      <c r="B5671" s="1" t="n">
        <v>45121.35078703704</v>
      </c>
      <c r="C5671" s="1" t="n">
        <v>46103</v>
      </c>
      <c r="D5671" t="inlineStr">
        <is>
          <t>KRONOBERGS LÄN</t>
        </is>
      </c>
      <c r="E5671" t="inlineStr">
        <is>
          <t>LJUNGBY</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4823-2022</t>
        </is>
      </c>
      <c r="B5672" s="1" t="n">
        <v>44592.72989583333</v>
      </c>
      <c r="C5672" s="1" t="n">
        <v>46103</v>
      </c>
      <c r="D5672" t="inlineStr">
        <is>
          <t>KRONOBERGS LÄN</t>
        </is>
      </c>
      <c r="E5672" t="inlineStr">
        <is>
          <t>UPPVIDINGE</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7101-2024</t>
        </is>
      </c>
      <c r="B5673" s="1" t="n">
        <v>45343.92605324074</v>
      </c>
      <c r="C5673" s="1" t="n">
        <v>46103</v>
      </c>
      <c r="D5673" t="inlineStr">
        <is>
          <t>KRONOBERGS LÄN</t>
        </is>
      </c>
      <c r="E5673" t="inlineStr">
        <is>
          <t>LJUNGBY</t>
        </is>
      </c>
      <c r="G5673" t="n">
        <v>4</v>
      </c>
      <c r="H5673" t="n">
        <v>0</v>
      </c>
      <c r="I5673" t="n">
        <v>0</v>
      </c>
      <c r="J5673" t="n">
        <v>0</v>
      </c>
      <c r="K5673" t="n">
        <v>0</v>
      </c>
      <c r="L5673" t="n">
        <v>0</v>
      </c>
      <c r="M5673" t="n">
        <v>0</v>
      </c>
      <c r="N5673" t="n">
        <v>0</v>
      </c>
      <c r="O5673" t="n">
        <v>0</v>
      </c>
      <c r="P5673" t="n">
        <v>0</v>
      </c>
      <c r="Q5673" t="n">
        <v>0</v>
      </c>
      <c r="R5673" s="2" t="inlineStr"/>
    </row>
    <row r="5674" ht="15" customHeight="1">
      <c r="A5674" t="inlineStr">
        <is>
          <t>A 38547-2024</t>
        </is>
      </c>
      <c r="B5674" s="1" t="n">
        <v>45546.60894675926</v>
      </c>
      <c r="C5674" s="1" t="n">
        <v>46103</v>
      </c>
      <c r="D5674" t="inlineStr">
        <is>
          <t>KRONOBERGS LÄN</t>
        </is>
      </c>
      <c r="E5674" t="inlineStr">
        <is>
          <t>UPPVIDINGE</t>
        </is>
      </c>
      <c r="G5674" t="n">
        <v>3.8</v>
      </c>
      <c r="H5674" t="n">
        <v>0</v>
      </c>
      <c r="I5674" t="n">
        <v>0</v>
      </c>
      <c r="J5674" t="n">
        <v>0</v>
      </c>
      <c r="K5674" t="n">
        <v>0</v>
      </c>
      <c r="L5674" t="n">
        <v>0</v>
      </c>
      <c r="M5674" t="n">
        <v>0</v>
      </c>
      <c r="N5674" t="n">
        <v>0</v>
      </c>
      <c r="O5674" t="n">
        <v>0</v>
      </c>
      <c r="P5674" t="n">
        <v>0</v>
      </c>
      <c r="Q5674" t="n">
        <v>0</v>
      </c>
      <c r="R5674" s="2" t="inlineStr"/>
    </row>
    <row r="5675" ht="15" customHeight="1">
      <c r="A5675" t="inlineStr">
        <is>
          <t>A 24457-2023</t>
        </is>
      </c>
      <c r="B5675" s="1" t="n">
        <v>45082</v>
      </c>
      <c r="C5675" s="1" t="n">
        <v>46103</v>
      </c>
      <c r="D5675" t="inlineStr">
        <is>
          <t>KRONOBERGS LÄN</t>
        </is>
      </c>
      <c r="E5675" t="inlineStr">
        <is>
          <t>UPPVIDINGE</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17694-2025</t>
        </is>
      </c>
      <c r="B5676" s="1" t="n">
        <v>45758.41136574074</v>
      </c>
      <c r="C5676" s="1" t="n">
        <v>46103</v>
      </c>
      <c r="D5676" t="inlineStr">
        <is>
          <t>KRONOBERGS LÄN</t>
        </is>
      </c>
      <c r="E5676" t="inlineStr">
        <is>
          <t>TINGSRYD</t>
        </is>
      </c>
      <c r="F5676" t="inlineStr">
        <is>
          <t>Övriga Aktiebolag</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2426-2023</t>
        </is>
      </c>
      <c r="B5677" s="1" t="n">
        <v>44943</v>
      </c>
      <c r="C5677" s="1" t="n">
        <v>46103</v>
      </c>
      <c r="D5677" t="inlineStr">
        <is>
          <t>KRONOBERGS LÄN</t>
        </is>
      </c>
      <c r="E5677" t="inlineStr">
        <is>
          <t>ALVESTA</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34921-2023</t>
        </is>
      </c>
      <c r="B5678" s="1" t="n">
        <v>45141</v>
      </c>
      <c r="C5678" s="1" t="n">
        <v>46103</v>
      </c>
      <c r="D5678" t="inlineStr">
        <is>
          <t>KRONOBERGS LÄN</t>
        </is>
      </c>
      <c r="E5678" t="inlineStr">
        <is>
          <t>MARKARYD</t>
        </is>
      </c>
      <c r="F5678" t="inlineStr">
        <is>
          <t>Kyrkan</t>
        </is>
      </c>
      <c r="G5678" t="n">
        <v>7.5</v>
      </c>
      <c r="H5678" t="n">
        <v>0</v>
      </c>
      <c r="I5678" t="n">
        <v>0</v>
      </c>
      <c r="J5678" t="n">
        <v>0</v>
      </c>
      <c r="K5678" t="n">
        <v>0</v>
      </c>
      <c r="L5678" t="n">
        <v>0</v>
      </c>
      <c r="M5678" t="n">
        <v>0</v>
      </c>
      <c r="N5678" t="n">
        <v>0</v>
      </c>
      <c r="O5678" t="n">
        <v>0</v>
      </c>
      <c r="P5678" t="n">
        <v>0</v>
      </c>
      <c r="Q5678" t="n">
        <v>0</v>
      </c>
      <c r="R5678" s="2" t="inlineStr"/>
    </row>
    <row r="5679" ht="15" customHeight="1">
      <c r="A5679" t="inlineStr">
        <is>
          <t>A 39761-2024</t>
        </is>
      </c>
      <c r="B5679" s="1" t="n">
        <v>45552.70320601852</v>
      </c>
      <c r="C5679" s="1" t="n">
        <v>46103</v>
      </c>
      <c r="D5679" t="inlineStr">
        <is>
          <t>KRONOBERGS LÄN</t>
        </is>
      </c>
      <c r="E5679" t="inlineStr">
        <is>
          <t>VÄXJÖ</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9687-2024</t>
        </is>
      </c>
      <c r="B5680" s="1" t="n">
        <v>45362</v>
      </c>
      <c r="C5680" s="1" t="n">
        <v>46103</v>
      </c>
      <c r="D5680" t="inlineStr">
        <is>
          <t>KRONOBERGS LÄN</t>
        </is>
      </c>
      <c r="E5680" t="inlineStr">
        <is>
          <t>ALVESTA</t>
        </is>
      </c>
      <c r="G5680" t="n">
        <v>0.1</v>
      </c>
      <c r="H5680" t="n">
        <v>0</v>
      </c>
      <c r="I5680" t="n">
        <v>0</v>
      </c>
      <c r="J5680" t="n">
        <v>0</v>
      </c>
      <c r="K5680" t="n">
        <v>0</v>
      </c>
      <c r="L5680" t="n">
        <v>0</v>
      </c>
      <c r="M5680" t="n">
        <v>0</v>
      </c>
      <c r="N5680" t="n">
        <v>0</v>
      </c>
      <c r="O5680" t="n">
        <v>0</v>
      </c>
      <c r="P5680" t="n">
        <v>0</v>
      </c>
      <c r="Q5680" t="n">
        <v>0</v>
      </c>
      <c r="R5680" s="2" t="inlineStr"/>
    </row>
    <row r="5681" ht="15" customHeight="1">
      <c r="A5681" t="inlineStr">
        <is>
          <t>A 54963-2023</t>
        </is>
      </c>
      <c r="B5681" s="1" t="n">
        <v>45236</v>
      </c>
      <c r="C5681" s="1" t="n">
        <v>46103</v>
      </c>
      <c r="D5681" t="inlineStr">
        <is>
          <t>KRONOBERGS LÄN</t>
        </is>
      </c>
      <c r="E5681" t="inlineStr">
        <is>
          <t>TINGSRYD</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58054-2023</t>
        </is>
      </c>
      <c r="B5682" s="1" t="n">
        <v>45247</v>
      </c>
      <c r="C5682" s="1" t="n">
        <v>46103</v>
      </c>
      <c r="D5682" t="inlineStr">
        <is>
          <t>KRONOBERGS LÄN</t>
        </is>
      </c>
      <c r="E5682" t="inlineStr">
        <is>
          <t>VÄXJÖ</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27843-2022</t>
        </is>
      </c>
      <c r="B5683" s="1" t="n">
        <v>44743.61965277778</v>
      </c>
      <c r="C5683" s="1" t="n">
        <v>46103</v>
      </c>
      <c r="D5683" t="inlineStr">
        <is>
          <t>KRONOBERGS LÄN</t>
        </is>
      </c>
      <c r="E5683" t="inlineStr">
        <is>
          <t>LJUNGBY</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51513-2024</t>
        </is>
      </c>
      <c r="B5684" s="1" t="n">
        <v>45604.56190972222</v>
      </c>
      <c r="C5684" s="1" t="n">
        <v>46103</v>
      </c>
      <c r="D5684" t="inlineStr">
        <is>
          <t>KRONOBERGS LÄN</t>
        </is>
      </c>
      <c r="E5684" t="inlineStr">
        <is>
          <t>UPPVIDINGE</t>
        </is>
      </c>
      <c r="F5684" t="inlineStr">
        <is>
          <t>Sveaskog</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51515-2024</t>
        </is>
      </c>
      <c r="B5685" s="1" t="n">
        <v>45604.56427083333</v>
      </c>
      <c r="C5685" s="1" t="n">
        <v>46103</v>
      </c>
      <c r="D5685" t="inlineStr">
        <is>
          <t>KRONOBERGS LÄN</t>
        </is>
      </c>
      <c r="E5685" t="inlineStr">
        <is>
          <t>UPPVIDINGE</t>
        </is>
      </c>
      <c r="F5685" t="inlineStr">
        <is>
          <t>Sveaskog</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51516-2024</t>
        </is>
      </c>
      <c r="B5686" s="1" t="n">
        <v>45604.56517361111</v>
      </c>
      <c r="C5686" s="1" t="n">
        <v>46103</v>
      </c>
      <c r="D5686" t="inlineStr">
        <is>
          <t>KRONOBERGS LÄN</t>
        </is>
      </c>
      <c r="E5686" t="inlineStr">
        <is>
          <t>UPPVIDINGE</t>
        </is>
      </c>
      <c r="F5686" t="inlineStr">
        <is>
          <t>Sveaskog</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10939-2023</t>
        </is>
      </c>
      <c r="B5687" s="1" t="n">
        <v>44991.53373842593</v>
      </c>
      <c r="C5687" s="1" t="n">
        <v>46103</v>
      </c>
      <c r="D5687" t="inlineStr">
        <is>
          <t>KRONOBERGS LÄN</t>
        </is>
      </c>
      <c r="E5687" t="inlineStr">
        <is>
          <t>LJUNGBY</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11843-2024</t>
        </is>
      </c>
      <c r="B5688" s="1" t="n">
        <v>45376.38177083333</v>
      </c>
      <c r="C5688" s="1" t="n">
        <v>46103</v>
      </c>
      <c r="D5688" t="inlineStr">
        <is>
          <t>KRONOBERGS LÄN</t>
        </is>
      </c>
      <c r="E5688" t="inlineStr">
        <is>
          <t>LESSEBO</t>
        </is>
      </c>
      <c r="F5688" t="inlineStr">
        <is>
          <t>Kommuner</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5614-2024</t>
        </is>
      </c>
      <c r="B5689" s="1" t="n">
        <v>45334</v>
      </c>
      <c r="C5689" s="1" t="n">
        <v>46103</v>
      </c>
      <c r="D5689" t="inlineStr">
        <is>
          <t>KRONOBERGS LÄN</t>
        </is>
      </c>
      <c r="E5689" t="inlineStr">
        <is>
          <t>LJUNGBY</t>
        </is>
      </c>
      <c r="F5689" t="inlineStr">
        <is>
          <t>Kommuner</t>
        </is>
      </c>
      <c r="G5689" t="n">
        <v>6.5</v>
      </c>
      <c r="H5689" t="n">
        <v>0</v>
      </c>
      <c r="I5689" t="n">
        <v>0</v>
      </c>
      <c r="J5689" t="n">
        <v>0</v>
      </c>
      <c r="K5689" t="n">
        <v>0</v>
      </c>
      <c r="L5689" t="n">
        <v>0</v>
      </c>
      <c r="M5689" t="n">
        <v>0</v>
      </c>
      <c r="N5689" t="n">
        <v>0</v>
      </c>
      <c r="O5689" t="n">
        <v>0</v>
      </c>
      <c r="P5689" t="n">
        <v>0</v>
      </c>
      <c r="Q5689" t="n">
        <v>0</v>
      </c>
      <c r="R5689" s="2" t="inlineStr"/>
    </row>
    <row r="5690" ht="15" customHeight="1">
      <c r="A5690" t="inlineStr">
        <is>
          <t>A 14940-2024</t>
        </is>
      </c>
      <c r="B5690" s="1" t="n">
        <v>45398.68222222223</v>
      </c>
      <c r="C5690" s="1" t="n">
        <v>46103</v>
      </c>
      <c r="D5690" t="inlineStr">
        <is>
          <t>KRONOBERGS LÄN</t>
        </is>
      </c>
      <c r="E5690" t="inlineStr">
        <is>
          <t>LESSEBO</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43988-2022</t>
        </is>
      </c>
      <c r="B5691" s="1" t="n">
        <v>44838</v>
      </c>
      <c r="C5691" s="1" t="n">
        <v>46103</v>
      </c>
      <c r="D5691" t="inlineStr">
        <is>
          <t>KRONOBERGS LÄN</t>
        </is>
      </c>
      <c r="E5691" t="inlineStr">
        <is>
          <t>UPPVIDINGE</t>
        </is>
      </c>
      <c r="G5691" t="n">
        <v>12.2</v>
      </c>
      <c r="H5691" t="n">
        <v>0</v>
      </c>
      <c r="I5691" t="n">
        <v>0</v>
      </c>
      <c r="J5691" t="n">
        <v>0</v>
      </c>
      <c r="K5691" t="n">
        <v>0</v>
      </c>
      <c r="L5691" t="n">
        <v>0</v>
      </c>
      <c r="M5691" t="n">
        <v>0</v>
      </c>
      <c r="N5691" t="n">
        <v>0</v>
      </c>
      <c r="O5691" t="n">
        <v>0</v>
      </c>
      <c r="P5691" t="n">
        <v>0</v>
      </c>
      <c r="Q5691" t="n">
        <v>0</v>
      </c>
      <c r="R5691" s="2" t="inlineStr"/>
    </row>
    <row r="5692" ht="15" customHeight="1">
      <c r="A5692" t="inlineStr">
        <is>
          <t>A 8265-2024</t>
        </is>
      </c>
      <c r="B5692" s="1" t="n">
        <v>45352.31738425926</v>
      </c>
      <c r="C5692" s="1" t="n">
        <v>46103</v>
      </c>
      <c r="D5692" t="inlineStr">
        <is>
          <t>KRONOBERGS LÄN</t>
        </is>
      </c>
      <c r="E5692" t="inlineStr">
        <is>
          <t>ÄLMHULT</t>
        </is>
      </c>
      <c r="F5692" t="inlineStr">
        <is>
          <t>Sveaskog</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18575-2022</t>
        </is>
      </c>
      <c r="B5693" s="1" t="n">
        <v>44687.24572916667</v>
      </c>
      <c r="C5693" s="1" t="n">
        <v>46103</v>
      </c>
      <c r="D5693" t="inlineStr">
        <is>
          <t>KRONOBERGS LÄN</t>
        </is>
      </c>
      <c r="E5693" t="inlineStr">
        <is>
          <t>ÄLMHULT</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32162-2024</t>
        </is>
      </c>
      <c r="B5694" s="1" t="n">
        <v>45511.58850694444</v>
      </c>
      <c r="C5694" s="1" t="n">
        <v>46103</v>
      </c>
      <c r="D5694" t="inlineStr">
        <is>
          <t>KRONOBERGS LÄN</t>
        </is>
      </c>
      <c r="E5694" t="inlineStr">
        <is>
          <t>VÄXJÖ</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60770-2024</t>
        </is>
      </c>
      <c r="B5695" s="1" t="n">
        <v>45644.58094907407</v>
      </c>
      <c r="C5695" s="1" t="n">
        <v>46103</v>
      </c>
      <c r="D5695" t="inlineStr">
        <is>
          <t>KRONOBERGS LÄN</t>
        </is>
      </c>
      <c r="E5695" t="inlineStr">
        <is>
          <t>ALVESTA</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17286-2023</t>
        </is>
      </c>
      <c r="B5696" s="1" t="n">
        <v>45035</v>
      </c>
      <c r="C5696" s="1" t="n">
        <v>46103</v>
      </c>
      <c r="D5696" t="inlineStr">
        <is>
          <t>KRONOBERGS LÄN</t>
        </is>
      </c>
      <c r="E5696" t="inlineStr">
        <is>
          <t>LJUNGBY</t>
        </is>
      </c>
      <c r="G5696" t="n">
        <v>10.4</v>
      </c>
      <c r="H5696" t="n">
        <v>0</v>
      </c>
      <c r="I5696" t="n">
        <v>0</v>
      </c>
      <c r="J5696" t="n">
        <v>0</v>
      </c>
      <c r="K5696" t="n">
        <v>0</v>
      </c>
      <c r="L5696" t="n">
        <v>0</v>
      </c>
      <c r="M5696" t="n">
        <v>0</v>
      </c>
      <c r="N5696" t="n">
        <v>0</v>
      </c>
      <c r="O5696" t="n">
        <v>0</v>
      </c>
      <c r="P5696" t="n">
        <v>0</v>
      </c>
      <c r="Q5696" t="n">
        <v>0</v>
      </c>
      <c r="R5696" s="2" t="inlineStr"/>
    </row>
    <row r="5697" ht="15" customHeight="1">
      <c r="A5697" t="inlineStr">
        <is>
          <t>A 53256-2024</t>
        </is>
      </c>
      <c r="B5697" s="1" t="n">
        <v>45614.33466435185</v>
      </c>
      <c r="C5697" s="1" t="n">
        <v>46103</v>
      </c>
      <c r="D5697" t="inlineStr">
        <is>
          <t>KRONOBERGS LÄN</t>
        </is>
      </c>
      <c r="E5697" t="inlineStr">
        <is>
          <t>TINGSRYD</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53345-2024</t>
        </is>
      </c>
      <c r="B5698" s="1" t="n">
        <v>45614.44239583334</v>
      </c>
      <c r="C5698" s="1" t="n">
        <v>46103</v>
      </c>
      <c r="D5698" t="inlineStr">
        <is>
          <t>KRONOBERGS LÄN</t>
        </is>
      </c>
      <c r="E5698" t="inlineStr">
        <is>
          <t>LJUNGBY</t>
        </is>
      </c>
      <c r="G5698" t="n">
        <v>4.9</v>
      </c>
      <c r="H5698" t="n">
        <v>0</v>
      </c>
      <c r="I5698" t="n">
        <v>0</v>
      </c>
      <c r="J5698" t="n">
        <v>0</v>
      </c>
      <c r="K5698" t="n">
        <v>0</v>
      </c>
      <c r="L5698" t="n">
        <v>0</v>
      </c>
      <c r="M5698" t="n">
        <v>0</v>
      </c>
      <c r="N5698" t="n">
        <v>0</v>
      </c>
      <c r="O5698" t="n">
        <v>0</v>
      </c>
      <c r="P5698" t="n">
        <v>0</v>
      </c>
      <c r="Q5698" t="n">
        <v>0</v>
      </c>
      <c r="R5698" s="2" t="inlineStr"/>
    </row>
    <row r="5699" ht="15" customHeight="1">
      <c r="A5699" t="inlineStr">
        <is>
          <t>A 26181-2021</t>
        </is>
      </c>
      <c r="B5699" s="1" t="n">
        <v>44347.36586805555</v>
      </c>
      <c r="C5699" s="1" t="n">
        <v>46103</v>
      </c>
      <c r="D5699" t="inlineStr">
        <is>
          <t>KRONOBERGS LÄN</t>
        </is>
      </c>
      <c r="E5699" t="inlineStr">
        <is>
          <t>ÄLMHULT</t>
        </is>
      </c>
      <c r="G5699" t="n">
        <v>3.9</v>
      </c>
      <c r="H5699" t="n">
        <v>0</v>
      </c>
      <c r="I5699" t="n">
        <v>0</v>
      </c>
      <c r="J5699" t="n">
        <v>0</v>
      </c>
      <c r="K5699" t="n">
        <v>0</v>
      </c>
      <c r="L5699" t="n">
        <v>0</v>
      </c>
      <c r="M5699" t="n">
        <v>0</v>
      </c>
      <c r="N5699" t="n">
        <v>0</v>
      </c>
      <c r="O5699" t="n">
        <v>0</v>
      </c>
      <c r="P5699" t="n">
        <v>0</v>
      </c>
      <c r="Q5699" t="n">
        <v>0</v>
      </c>
      <c r="R5699" s="2" t="inlineStr"/>
    </row>
    <row r="5700" ht="15" customHeight="1">
      <c r="A5700" t="inlineStr">
        <is>
          <t>A 4165-2025</t>
        </is>
      </c>
      <c r="B5700" s="1" t="n">
        <v>45685.41125</v>
      </c>
      <c r="C5700" s="1" t="n">
        <v>46103</v>
      </c>
      <c r="D5700" t="inlineStr">
        <is>
          <t>KRONOBERGS LÄN</t>
        </is>
      </c>
      <c r="E5700" t="inlineStr">
        <is>
          <t>TINGSRYD</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16429-2024</t>
        </is>
      </c>
      <c r="B5701" s="1" t="n">
        <v>45407.67643518518</v>
      </c>
      <c r="C5701" s="1" t="n">
        <v>46103</v>
      </c>
      <c r="D5701" t="inlineStr">
        <is>
          <t>KRONOBERGS LÄN</t>
        </is>
      </c>
      <c r="E5701" t="inlineStr">
        <is>
          <t>MARKARYD</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62245-2022</t>
        </is>
      </c>
      <c r="B5702" s="1" t="n">
        <v>44922.87642361111</v>
      </c>
      <c r="C5702" s="1" t="n">
        <v>46103</v>
      </c>
      <c r="D5702" t="inlineStr">
        <is>
          <t>KRONOBERGS LÄN</t>
        </is>
      </c>
      <c r="E5702" t="inlineStr">
        <is>
          <t>VÄXJÖ</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25918-2024</t>
        </is>
      </c>
      <c r="B5703" s="1" t="n">
        <v>45467.60365740741</v>
      </c>
      <c r="C5703" s="1" t="n">
        <v>46103</v>
      </c>
      <c r="D5703" t="inlineStr">
        <is>
          <t>KRONOBERGS LÄN</t>
        </is>
      </c>
      <c r="E5703" t="inlineStr">
        <is>
          <t>ÄLMHULT</t>
        </is>
      </c>
      <c r="G5703" t="n">
        <v>3.6</v>
      </c>
      <c r="H5703" t="n">
        <v>0</v>
      </c>
      <c r="I5703" t="n">
        <v>0</v>
      </c>
      <c r="J5703" t="n">
        <v>0</v>
      </c>
      <c r="K5703" t="n">
        <v>0</v>
      </c>
      <c r="L5703" t="n">
        <v>0</v>
      </c>
      <c r="M5703" t="n">
        <v>0</v>
      </c>
      <c r="N5703" t="n">
        <v>0</v>
      </c>
      <c r="O5703" t="n">
        <v>0</v>
      </c>
      <c r="P5703" t="n">
        <v>0</v>
      </c>
      <c r="Q5703" t="n">
        <v>0</v>
      </c>
      <c r="R5703" s="2" t="inlineStr"/>
    </row>
    <row r="5704" ht="15" customHeight="1">
      <c r="A5704" t="inlineStr">
        <is>
          <t>A 19187-2023</t>
        </is>
      </c>
      <c r="B5704" s="1" t="n">
        <v>45048</v>
      </c>
      <c r="C5704" s="1" t="n">
        <v>46103</v>
      </c>
      <c r="D5704" t="inlineStr">
        <is>
          <t>KRONOBERGS LÄN</t>
        </is>
      </c>
      <c r="E5704" t="inlineStr">
        <is>
          <t>VÄXJÖ</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20001-2023</t>
        </is>
      </c>
      <c r="B5705" s="1" t="n">
        <v>45054</v>
      </c>
      <c r="C5705" s="1" t="n">
        <v>46103</v>
      </c>
      <c r="D5705" t="inlineStr">
        <is>
          <t>KRONOBERGS LÄN</t>
        </is>
      </c>
      <c r="E5705" t="inlineStr">
        <is>
          <t>MARKARYD</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22156-2023</t>
        </is>
      </c>
      <c r="B5706" s="1" t="n">
        <v>45069.6466087963</v>
      </c>
      <c r="C5706" s="1" t="n">
        <v>46103</v>
      </c>
      <c r="D5706" t="inlineStr">
        <is>
          <t>KRONOBERGS LÄN</t>
        </is>
      </c>
      <c r="E5706" t="inlineStr">
        <is>
          <t>MARKARYD</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48024-2023</t>
        </is>
      </c>
      <c r="B5707" s="1" t="n">
        <v>45204</v>
      </c>
      <c r="C5707" s="1" t="n">
        <v>46103</v>
      </c>
      <c r="D5707" t="inlineStr">
        <is>
          <t>KRONOBERGS LÄN</t>
        </is>
      </c>
      <c r="E5707" t="inlineStr">
        <is>
          <t>UPPVIDINGE</t>
        </is>
      </c>
      <c r="G5707" t="n">
        <v>3.7</v>
      </c>
      <c r="H5707" t="n">
        <v>0</v>
      </c>
      <c r="I5707" t="n">
        <v>0</v>
      </c>
      <c r="J5707" t="n">
        <v>0</v>
      </c>
      <c r="K5707" t="n">
        <v>0</v>
      </c>
      <c r="L5707" t="n">
        <v>0</v>
      </c>
      <c r="M5707" t="n">
        <v>0</v>
      </c>
      <c r="N5707" t="n">
        <v>0</v>
      </c>
      <c r="O5707" t="n">
        <v>0</v>
      </c>
      <c r="P5707" t="n">
        <v>0</v>
      </c>
      <c r="Q5707" t="n">
        <v>0</v>
      </c>
      <c r="R5707" s="2" t="inlineStr"/>
    </row>
    <row r="5708" ht="15" customHeight="1">
      <c r="A5708" t="inlineStr">
        <is>
          <t>A 8291-2025</t>
        </is>
      </c>
      <c r="B5708" s="1" t="n">
        <v>45708.57648148148</v>
      </c>
      <c r="C5708" s="1" t="n">
        <v>46103</v>
      </c>
      <c r="D5708" t="inlineStr">
        <is>
          <t>KRONOBERGS LÄN</t>
        </is>
      </c>
      <c r="E5708" t="inlineStr">
        <is>
          <t>ALVESTA</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49565-2023</t>
        </is>
      </c>
      <c r="B5709" s="1" t="n">
        <v>45211.64981481482</v>
      </c>
      <c r="C5709" s="1" t="n">
        <v>46103</v>
      </c>
      <c r="D5709" t="inlineStr">
        <is>
          <t>KRONOBERGS LÄN</t>
        </is>
      </c>
      <c r="E5709" t="inlineStr">
        <is>
          <t>ÄLMHULT</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48228-2023</t>
        </is>
      </c>
      <c r="B5710" s="1" t="n">
        <v>45205</v>
      </c>
      <c r="C5710" s="1" t="n">
        <v>46103</v>
      </c>
      <c r="D5710" t="inlineStr">
        <is>
          <t>KRONOBERGS LÄN</t>
        </is>
      </c>
      <c r="E5710" t="inlineStr">
        <is>
          <t>VÄXJÖ</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5274-2025</t>
        </is>
      </c>
      <c r="B5711" s="1" t="n">
        <v>45692.42515046296</v>
      </c>
      <c r="C5711" s="1" t="n">
        <v>46103</v>
      </c>
      <c r="D5711" t="inlineStr">
        <is>
          <t>KRONOBERGS LÄN</t>
        </is>
      </c>
      <c r="E5711" t="inlineStr">
        <is>
          <t>UPPVIDINGE</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43378-2024</t>
        </is>
      </c>
      <c r="B5712" s="1" t="n">
        <v>45568</v>
      </c>
      <c r="C5712" s="1" t="n">
        <v>46103</v>
      </c>
      <c r="D5712" t="inlineStr">
        <is>
          <t>KRONOBERGS LÄN</t>
        </is>
      </c>
      <c r="E5712" t="inlineStr">
        <is>
          <t>UPPVIDINGE</t>
        </is>
      </c>
      <c r="F5712" t="inlineStr">
        <is>
          <t>Kyrkan</t>
        </is>
      </c>
      <c r="G5712" t="n">
        <v>5.5</v>
      </c>
      <c r="H5712" t="n">
        <v>0</v>
      </c>
      <c r="I5712" t="n">
        <v>0</v>
      </c>
      <c r="J5712" t="n">
        <v>0</v>
      </c>
      <c r="K5712" t="n">
        <v>0</v>
      </c>
      <c r="L5712" t="n">
        <v>0</v>
      </c>
      <c r="M5712" t="n">
        <v>0</v>
      </c>
      <c r="N5712" t="n">
        <v>0</v>
      </c>
      <c r="O5712" t="n">
        <v>0</v>
      </c>
      <c r="P5712" t="n">
        <v>0</v>
      </c>
      <c r="Q5712" t="n">
        <v>0</v>
      </c>
      <c r="R5712" s="2" t="inlineStr"/>
    </row>
    <row r="5713" ht="15" customHeight="1">
      <c r="A5713" t="inlineStr">
        <is>
          <t>A 43405-2024</t>
        </is>
      </c>
      <c r="B5713" s="1" t="n">
        <v>45568</v>
      </c>
      <c r="C5713" s="1" t="n">
        <v>46103</v>
      </c>
      <c r="D5713" t="inlineStr">
        <is>
          <t>KRONOBERGS LÄN</t>
        </is>
      </c>
      <c r="E5713" t="inlineStr">
        <is>
          <t>UPPVIDINGE</t>
        </is>
      </c>
      <c r="F5713" t="inlineStr">
        <is>
          <t>Kyrkan</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46864-2022</t>
        </is>
      </c>
      <c r="B5714" s="1" t="n">
        <v>44851.60855324074</v>
      </c>
      <c r="C5714" s="1" t="n">
        <v>46103</v>
      </c>
      <c r="D5714" t="inlineStr">
        <is>
          <t>KRONOBERGS LÄN</t>
        </is>
      </c>
      <c r="E5714" t="inlineStr">
        <is>
          <t>LJUNGBY</t>
        </is>
      </c>
      <c r="F5714" t="inlineStr">
        <is>
          <t>Sveaskog</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61585-2021</t>
        </is>
      </c>
      <c r="B5715" s="1" t="n">
        <v>44501</v>
      </c>
      <c r="C5715" s="1" t="n">
        <v>46103</v>
      </c>
      <c r="D5715" t="inlineStr">
        <is>
          <t>KRONOBERGS LÄN</t>
        </is>
      </c>
      <c r="E5715" t="inlineStr">
        <is>
          <t>VÄXJÖ</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30008-2023</t>
        </is>
      </c>
      <c r="B5716" s="1" t="n">
        <v>45109.83387731481</v>
      </c>
      <c r="C5716" s="1" t="n">
        <v>46103</v>
      </c>
      <c r="D5716" t="inlineStr">
        <is>
          <t>KRONOBERGS LÄN</t>
        </is>
      </c>
      <c r="E5716" t="inlineStr">
        <is>
          <t>TINGSRYD</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43903-2023</t>
        </is>
      </c>
      <c r="B5717" s="1" t="n">
        <v>45187.68246527778</v>
      </c>
      <c r="C5717" s="1" t="n">
        <v>46103</v>
      </c>
      <c r="D5717" t="inlineStr">
        <is>
          <t>KRONOBERGS LÄN</t>
        </is>
      </c>
      <c r="E5717" t="inlineStr">
        <is>
          <t>ÄLMHULT</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30044-2023</t>
        </is>
      </c>
      <c r="B5718" s="1" t="n">
        <v>45110.37491898148</v>
      </c>
      <c r="C5718" s="1" t="n">
        <v>46103</v>
      </c>
      <c r="D5718" t="inlineStr">
        <is>
          <t>KRONOBERGS LÄN</t>
        </is>
      </c>
      <c r="E5718" t="inlineStr">
        <is>
          <t>TINGSRYD</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11937-2023</t>
        </is>
      </c>
      <c r="B5719" s="1" t="n">
        <v>44995.50556712963</v>
      </c>
      <c r="C5719" s="1" t="n">
        <v>46103</v>
      </c>
      <c r="D5719" t="inlineStr">
        <is>
          <t>KRONOBERGS LÄN</t>
        </is>
      </c>
      <c r="E5719" t="inlineStr">
        <is>
          <t>ALVESTA</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11977-2023</t>
        </is>
      </c>
      <c r="B5720" s="1" t="n">
        <v>44994</v>
      </c>
      <c r="C5720" s="1" t="n">
        <v>46103</v>
      </c>
      <c r="D5720" t="inlineStr">
        <is>
          <t>KRONOBERGS LÄN</t>
        </is>
      </c>
      <c r="E5720" t="inlineStr">
        <is>
          <t>TINGSRYD</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12015-2023</t>
        </is>
      </c>
      <c r="B5721" s="1" t="n">
        <v>44995</v>
      </c>
      <c r="C5721" s="1" t="n">
        <v>46103</v>
      </c>
      <c r="D5721" t="inlineStr">
        <is>
          <t>KRONOBERGS LÄN</t>
        </is>
      </c>
      <c r="E5721" t="inlineStr">
        <is>
          <t>VÄXJÖ</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23104-2024</t>
        </is>
      </c>
      <c r="B5722" s="1" t="n">
        <v>45450.54707175926</v>
      </c>
      <c r="C5722" s="1" t="n">
        <v>46103</v>
      </c>
      <c r="D5722" t="inlineStr">
        <is>
          <t>KRONOBERGS LÄN</t>
        </is>
      </c>
      <c r="E5722" t="inlineStr">
        <is>
          <t>ÄLMHULT</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26196-2023</t>
        </is>
      </c>
      <c r="B5723" s="1" t="n">
        <v>45091</v>
      </c>
      <c r="C5723" s="1" t="n">
        <v>46103</v>
      </c>
      <c r="D5723" t="inlineStr">
        <is>
          <t>KRONOBERGS LÄN</t>
        </is>
      </c>
      <c r="E5723" t="inlineStr">
        <is>
          <t>UPPVIDINGE</t>
        </is>
      </c>
      <c r="F5723" t="inlineStr">
        <is>
          <t>Sveaskog</t>
        </is>
      </c>
      <c r="G5723" t="n">
        <v>8.800000000000001</v>
      </c>
      <c r="H5723" t="n">
        <v>0</v>
      </c>
      <c r="I5723" t="n">
        <v>0</v>
      </c>
      <c r="J5723" t="n">
        <v>0</v>
      </c>
      <c r="K5723" t="n">
        <v>0</v>
      </c>
      <c r="L5723" t="n">
        <v>0</v>
      </c>
      <c r="M5723" t="n">
        <v>0</v>
      </c>
      <c r="N5723" t="n">
        <v>0</v>
      </c>
      <c r="O5723" t="n">
        <v>0</v>
      </c>
      <c r="P5723" t="n">
        <v>0</v>
      </c>
      <c r="Q5723" t="n">
        <v>0</v>
      </c>
      <c r="R5723" s="2" t="inlineStr"/>
    </row>
    <row r="5724" ht="15" customHeight="1">
      <c r="A5724" t="inlineStr">
        <is>
          <t>A 10221-2025</t>
        </is>
      </c>
      <c r="B5724" s="1" t="n">
        <v>45720.30268518518</v>
      </c>
      <c r="C5724" s="1" t="n">
        <v>46103</v>
      </c>
      <c r="D5724" t="inlineStr">
        <is>
          <t>KRONOBERGS LÄN</t>
        </is>
      </c>
      <c r="E5724" t="inlineStr">
        <is>
          <t>TINGSRYD</t>
        </is>
      </c>
      <c r="G5724" t="n">
        <v>4.1</v>
      </c>
      <c r="H5724" t="n">
        <v>0</v>
      </c>
      <c r="I5724" t="n">
        <v>0</v>
      </c>
      <c r="J5724" t="n">
        <v>0</v>
      </c>
      <c r="K5724" t="n">
        <v>0</v>
      </c>
      <c r="L5724" t="n">
        <v>0</v>
      </c>
      <c r="M5724" t="n">
        <v>0</v>
      </c>
      <c r="N5724" t="n">
        <v>0</v>
      </c>
      <c r="O5724" t="n">
        <v>0</v>
      </c>
      <c r="P5724" t="n">
        <v>0</v>
      </c>
      <c r="Q5724" t="n">
        <v>0</v>
      </c>
      <c r="R5724" s="2" t="inlineStr"/>
    </row>
    <row r="5725" ht="15" customHeight="1">
      <c r="A5725" t="inlineStr">
        <is>
          <t>A 10272-2025</t>
        </is>
      </c>
      <c r="B5725" s="1" t="n">
        <v>45720.39148148148</v>
      </c>
      <c r="C5725" s="1" t="n">
        <v>46103</v>
      </c>
      <c r="D5725" t="inlineStr">
        <is>
          <t>KRONOBERGS LÄN</t>
        </is>
      </c>
      <c r="E5725" t="inlineStr">
        <is>
          <t>ALVESTA</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10273-2025</t>
        </is>
      </c>
      <c r="B5726" s="1" t="n">
        <v>45720.39282407407</v>
      </c>
      <c r="C5726" s="1" t="n">
        <v>46103</v>
      </c>
      <c r="D5726" t="inlineStr">
        <is>
          <t>KRONOBERGS LÄN</t>
        </is>
      </c>
      <c r="E5726" t="inlineStr">
        <is>
          <t>ALVESTA</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53252-2022</t>
        </is>
      </c>
      <c r="B5727" s="1" t="n">
        <v>44876.69168981481</v>
      </c>
      <c r="C5727" s="1" t="n">
        <v>46103</v>
      </c>
      <c r="D5727" t="inlineStr">
        <is>
          <t>KRONOBERGS LÄN</t>
        </is>
      </c>
      <c r="E5727" t="inlineStr">
        <is>
          <t>VÄXJÖ</t>
        </is>
      </c>
      <c r="F5727" t="inlineStr">
        <is>
          <t>Sveaskog</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10675-2023</t>
        </is>
      </c>
      <c r="B5728" s="1" t="n">
        <v>44988</v>
      </c>
      <c r="C5728" s="1" t="n">
        <v>46103</v>
      </c>
      <c r="D5728" t="inlineStr">
        <is>
          <t>KRONOBERGS LÄN</t>
        </is>
      </c>
      <c r="E5728" t="inlineStr">
        <is>
          <t>LJUNGBY</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31767-2023</t>
        </is>
      </c>
      <c r="B5729" s="1" t="n">
        <v>45118</v>
      </c>
      <c r="C5729" s="1" t="n">
        <v>46103</v>
      </c>
      <c r="D5729" t="inlineStr">
        <is>
          <t>KRONOBERGS LÄN</t>
        </is>
      </c>
      <c r="E5729" t="inlineStr">
        <is>
          <t>UPPVIDINGE</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7597-2025</t>
        </is>
      </c>
      <c r="B5730" s="1" t="n">
        <v>45705.65206018519</v>
      </c>
      <c r="C5730" s="1" t="n">
        <v>46103</v>
      </c>
      <c r="D5730" t="inlineStr">
        <is>
          <t>KRONOBERGS LÄN</t>
        </is>
      </c>
      <c r="E5730" t="inlineStr">
        <is>
          <t>LJUNGBY</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59265-2023</t>
        </is>
      </c>
      <c r="B5731" s="1" t="n">
        <v>45253.55111111111</v>
      </c>
      <c r="C5731" s="1" t="n">
        <v>46103</v>
      </c>
      <c r="D5731" t="inlineStr">
        <is>
          <t>KRONOBERGS LÄN</t>
        </is>
      </c>
      <c r="E5731" t="inlineStr">
        <is>
          <t>ÄLMHULT</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30676-2024</t>
        </is>
      </c>
      <c r="B5732" s="1" t="n">
        <v>45495.89736111111</v>
      </c>
      <c r="C5732" s="1" t="n">
        <v>46103</v>
      </c>
      <c r="D5732" t="inlineStr">
        <is>
          <t>KRONOBERGS LÄN</t>
        </is>
      </c>
      <c r="E5732" t="inlineStr">
        <is>
          <t>VÄXJÖ</t>
        </is>
      </c>
      <c r="G5732" t="n">
        <v>0.4</v>
      </c>
      <c r="H5732" t="n">
        <v>0</v>
      </c>
      <c r="I5732" t="n">
        <v>0</v>
      </c>
      <c r="J5732" t="n">
        <v>0</v>
      </c>
      <c r="K5732" t="n">
        <v>0</v>
      </c>
      <c r="L5732" t="n">
        <v>0</v>
      </c>
      <c r="M5732" t="n">
        <v>0</v>
      </c>
      <c r="N5732" t="n">
        <v>0</v>
      </c>
      <c r="O5732" t="n">
        <v>0</v>
      </c>
      <c r="P5732" t="n">
        <v>0</v>
      </c>
      <c r="Q5732" t="n">
        <v>0</v>
      </c>
      <c r="R5732" s="2" t="inlineStr"/>
    </row>
    <row r="5733" ht="15" customHeight="1">
      <c r="A5733" t="inlineStr">
        <is>
          <t>A 49274-2023</t>
        </is>
      </c>
      <c r="B5733" s="1" t="n">
        <v>45210.69048611111</v>
      </c>
      <c r="C5733" s="1" t="n">
        <v>46103</v>
      </c>
      <c r="D5733" t="inlineStr">
        <is>
          <t>KRONOBERGS LÄN</t>
        </is>
      </c>
      <c r="E5733" t="inlineStr">
        <is>
          <t>MARKARYD</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13409-2023</t>
        </is>
      </c>
      <c r="B5734" s="1" t="n">
        <v>45005</v>
      </c>
      <c r="C5734" s="1" t="n">
        <v>46103</v>
      </c>
      <c r="D5734" t="inlineStr">
        <is>
          <t>KRONOBERGS LÄN</t>
        </is>
      </c>
      <c r="E5734" t="inlineStr">
        <is>
          <t>UPPVIDINGE</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5943-2023</t>
        </is>
      </c>
      <c r="B5735" s="1" t="n">
        <v>44963.87038194444</v>
      </c>
      <c r="C5735" s="1" t="n">
        <v>46103</v>
      </c>
      <c r="D5735" t="inlineStr">
        <is>
          <t>KRONOBERGS LÄN</t>
        </is>
      </c>
      <c r="E5735" t="inlineStr">
        <is>
          <t>VÄXJÖ</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5493-2025</t>
        </is>
      </c>
      <c r="B5736" s="1" t="n">
        <v>45692</v>
      </c>
      <c r="C5736" s="1" t="n">
        <v>46103</v>
      </c>
      <c r="D5736" t="inlineStr">
        <is>
          <t>KRONOBERGS LÄN</t>
        </is>
      </c>
      <c r="E5736" t="inlineStr">
        <is>
          <t>UPPVIDINGE</t>
        </is>
      </c>
      <c r="F5736" t="inlineStr">
        <is>
          <t>Kyrkan</t>
        </is>
      </c>
      <c r="G5736" t="n">
        <v>6.2</v>
      </c>
      <c r="H5736" t="n">
        <v>0</v>
      </c>
      <c r="I5736" t="n">
        <v>0</v>
      </c>
      <c r="J5736" t="n">
        <v>0</v>
      </c>
      <c r="K5736" t="n">
        <v>0</v>
      </c>
      <c r="L5736" t="n">
        <v>0</v>
      </c>
      <c r="M5736" t="n">
        <v>0</v>
      </c>
      <c r="N5736" t="n">
        <v>0</v>
      </c>
      <c r="O5736" t="n">
        <v>0</v>
      </c>
      <c r="P5736" t="n">
        <v>0</v>
      </c>
      <c r="Q5736" t="n">
        <v>0</v>
      </c>
      <c r="R5736" s="2" t="inlineStr"/>
    </row>
    <row r="5737" ht="15" customHeight="1">
      <c r="A5737" t="inlineStr">
        <is>
          <t>A 10009-2022</t>
        </is>
      </c>
      <c r="B5737" s="1" t="n">
        <v>44621.48859953704</v>
      </c>
      <c r="C5737" s="1" t="n">
        <v>46103</v>
      </c>
      <c r="D5737" t="inlineStr">
        <is>
          <t>KRONOBERGS LÄN</t>
        </is>
      </c>
      <c r="E5737" t="inlineStr">
        <is>
          <t>TINGSRYD</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7402-2025</t>
        </is>
      </c>
      <c r="B5738" s="1" t="n">
        <v>45705.35732638889</v>
      </c>
      <c r="C5738" s="1" t="n">
        <v>46103</v>
      </c>
      <c r="D5738" t="inlineStr">
        <is>
          <t>KRONOBERGS LÄN</t>
        </is>
      </c>
      <c r="E5738" t="inlineStr">
        <is>
          <t>UPPVIDINGE</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29477-2023</t>
        </is>
      </c>
      <c r="B5739" s="1" t="n">
        <v>45106.5721875</v>
      </c>
      <c r="C5739" s="1" t="n">
        <v>46103</v>
      </c>
      <c r="D5739" t="inlineStr">
        <is>
          <t>KRONOBERGS LÄN</t>
        </is>
      </c>
      <c r="E5739" t="inlineStr">
        <is>
          <t>VÄXJÖ</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58747-2022</t>
        </is>
      </c>
      <c r="B5740" s="1" t="n">
        <v>44903.32229166666</v>
      </c>
      <c r="C5740" s="1" t="n">
        <v>46103</v>
      </c>
      <c r="D5740" t="inlineStr">
        <is>
          <t>KRONOBERGS LÄN</t>
        </is>
      </c>
      <c r="E5740" t="inlineStr">
        <is>
          <t>TINGSRYD</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58641-2021</t>
        </is>
      </c>
      <c r="B5741" s="1" t="n">
        <v>44489.36054398148</v>
      </c>
      <c r="C5741" s="1" t="n">
        <v>46103</v>
      </c>
      <c r="D5741" t="inlineStr">
        <is>
          <t>KRONOBERGS LÄN</t>
        </is>
      </c>
      <c r="E5741" t="inlineStr">
        <is>
          <t>TINGSRYD</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13026-2024</t>
        </is>
      </c>
      <c r="B5742" s="1" t="n">
        <v>45385.58976851852</v>
      </c>
      <c r="C5742" s="1" t="n">
        <v>46103</v>
      </c>
      <c r="D5742" t="inlineStr">
        <is>
          <t>KRONOBERGS LÄN</t>
        </is>
      </c>
      <c r="E5742" t="inlineStr">
        <is>
          <t>VÄXJÖ</t>
        </is>
      </c>
      <c r="F5742" t="inlineStr">
        <is>
          <t>Sveaskog</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13028-2024</t>
        </is>
      </c>
      <c r="B5743" s="1" t="n">
        <v>45385.59068287037</v>
      </c>
      <c r="C5743" s="1" t="n">
        <v>46103</v>
      </c>
      <c r="D5743" t="inlineStr">
        <is>
          <t>KRONOBERGS LÄN</t>
        </is>
      </c>
      <c r="E5743" t="inlineStr">
        <is>
          <t>VÄXJÖ</t>
        </is>
      </c>
      <c r="F5743" t="inlineStr">
        <is>
          <t>Sveaskog</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25616-2023</t>
        </is>
      </c>
      <c r="B5744" s="1" t="n">
        <v>45089</v>
      </c>
      <c r="C5744" s="1" t="n">
        <v>46103</v>
      </c>
      <c r="D5744" t="inlineStr">
        <is>
          <t>KRONOBERGS LÄN</t>
        </is>
      </c>
      <c r="E5744" t="inlineStr">
        <is>
          <t>LJUNGBY</t>
        </is>
      </c>
      <c r="G5744" t="n">
        <v>6</v>
      </c>
      <c r="H5744" t="n">
        <v>0</v>
      </c>
      <c r="I5744" t="n">
        <v>0</v>
      </c>
      <c r="J5744" t="n">
        <v>0</v>
      </c>
      <c r="K5744" t="n">
        <v>0</v>
      </c>
      <c r="L5744" t="n">
        <v>0</v>
      </c>
      <c r="M5744" t="n">
        <v>0</v>
      </c>
      <c r="N5744" t="n">
        <v>0</v>
      </c>
      <c r="O5744" t="n">
        <v>0</v>
      </c>
      <c r="P5744" t="n">
        <v>0</v>
      </c>
      <c r="Q5744" t="n">
        <v>0</v>
      </c>
      <c r="R5744" s="2" t="inlineStr"/>
    </row>
    <row r="5745" ht="15" customHeight="1">
      <c r="A5745" t="inlineStr">
        <is>
          <t>A 11618-2023</t>
        </is>
      </c>
      <c r="B5745" s="1" t="n">
        <v>44994.42039351852</v>
      </c>
      <c r="C5745" s="1" t="n">
        <v>46103</v>
      </c>
      <c r="D5745" t="inlineStr">
        <is>
          <t>KRONOBERGS LÄN</t>
        </is>
      </c>
      <c r="E5745" t="inlineStr">
        <is>
          <t>ALVESTA</t>
        </is>
      </c>
      <c r="G5745" t="n">
        <v>3.9</v>
      </c>
      <c r="H5745" t="n">
        <v>0</v>
      </c>
      <c r="I5745" t="n">
        <v>0</v>
      </c>
      <c r="J5745" t="n">
        <v>0</v>
      </c>
      <c r="K5745" t="n">
        <v>0</v>
      </c>
      <c r="L5745" t="n">
        <v>0</v>
      </c>
      <c r="M5745" t="n">
        <v>0</v>
      </c>
      <c r="N5745" t="n">
        <v>0</v>
      </c>
      <c r="O5745" t="n">
        <v>0</v>
      </c>
      <c r="P5745" t="n">
        <v>0</v>
      </c>
      <c r="Q5745" t="n">
        <v>0</v>
      </c>
      <c r="R5745" s="2" t="inlineStr"/>
    </row>
    <row r="5746" ht="15" customHeight="1">
      <c r="A5746" t="inlineStr">
        <is>
          <t>A 11644-2023</t>
        </is>
      </c>
      <c r="B5746" s="1" t="n">
        <v>44994.45271990741</v>
      </c>
      <c r="C5746" s="1" t="n">
        <v>46103</v>
      </c>
      <c r="D5746" t="inlineStr">
        <is>
          <t>KRONOBERGS LÄN</t>
        </is>
      </c>
      <c r="E5746" t="inlineStr">
        <is>
          <t>UPPVIDINGE</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58020-2022</t>
        </is>
      </c>
      <c r="B5747" s="1" t="n">
        <v>44900.54149305556</v>
      </c>
      <c r="C5747" s="1" t="n">
        <v>46103</v>
      </c>
      <c r="D5747" t="inlineStr">
        <is>
          <t>KRONOBERGS LÄN</t>
        </is>
      </c>
      <c r="E5747" t="inlineStr">
        <is>
          <t>VÄXJÖ</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8835-2024</t>
        </is>
      </c>
      <c r="B5748" s="1" t="n">
        <v>45356.68585648148</v>
      </c>
      <c r="C5748" s="1" t="n">
        <v>46103</v>
      </c>
      <c r="D5748" t="inlineStr">
        <is>
          <t>KRONOBERGS LÄN</t>
        </is>
      </c>
      <c r="E5748" t="inlineStr">
        <is>
          <t>LJUNGBY</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54673-2021</t>
        </is>
      </c>
      <c r="B5749" s="1" t="n">
        <v>44473</v>
      </c>
      <c r="C5749" s="1" t="n">
        <v>46103</v>
      </c>
      <c r="D5749" t="inlineStr">
        <is>
          <t>KRONOBERGS LÄN</t>
        </is>
      </c>
      <c r="E5749" t="inlineStr">
        <is>
          <t>VÄXJÖ</t>
        </is>
      </c>
      <c r="G5749" t="n">
        <v>3.5</v>
      </c>
      <c r="H5749" t="n">
        <v>0</v>
      </c>
      <c r="I5749" t="n">
        <v>0</v>
      </c>
      <c r="J5749" t="n">
        <v>0</v>
      </c>
      <c r="K5749" t="n">
        <v>0</v>
      </c>
      <c r="L5749" t="n">
        <v>0</v>
      </c>
      <c r="M5749" t="n">
        <v>0</v>
      </c>
      <c r="N5749" t="n">
        <v>0</v>
      </c>
      <c r="O5749" t="n">
        <v>0</v>
      </c>
      <c r="P5749" t="n">
        <v>0</v>
      </c>
      <c r="Q5749" t="n">
        <v>0</v>
      </c>
      <c r="R5749" s="2" t="inlineStr"/>
    </row>
    <row r="5750" ht="15" customHeight="1">
      <c r="A5750" t="inlineStr">
        <is>
          <t>A 37251-2021</t>
        </is>
      </c>
      <c r="B5750" s="1" t="n">
        <v>44396</v>
      </c>
      <c r="C5750" s="1" t="n">
        <v>46103</v>
      </c>
      <c r="D5750" t="inlineStr">
        <is>
          <t>KRONOBERGS LÄN</t>
        </is>
      </c>
      <c r="E5750" t="inlineStr">
        <is>
          <t>UPPVIDINGE</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46830-2023</t>
        </is>
      </c>
      <c r="B5751" s="1" t="n">
        <v>45199</v>
      </c>
      <c r="C5751" s="1" t="n">
        <v>46103</v>
      </c>
      <c r="D5751" t="inlineStr">
        <is>
          <t>KRONOBERGS LÄN</t>
        </is>
      </c>
      <c r="E5751" t="inlineStr">
        <is>
          <t>VÄXJÖ</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51214-2023</t>
        </is>
      </c>
      <c r="B5752" s="1" t="n">
        <v>45219.44987268518</v>
      </c>
      <c r="C5752" s="1" t="n">
        <v>46103</v>
      </c>
      <c r="D5752" t="inlineStr">
        <is>
          <t>KRONOBERGS LÄN</t>
        </is>
      </c>
      <c r="E5752" t="inlineStr">
        <is>
          <t>UPPVIDINGE</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46981-2023</t>
        </is>
      </c>
      <c r="B5753" s="1" t="n">
        <v>45201</v>
      </c>
      <c r="C5753" s="1" t="n">
        <v>46103</v>
      </c>
      <c r="D5753" t="inlineStr">
        <is>
          <t>KRONOBERGS LÄN</t>
        </is>
      </c>
      <c r="E5753" t="inlineStr">
        <is>
          <t>TINGSRYD</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62147-2023</t>
        </is>
      </c>
      <c r="B5754" s="1" t="n">
        <v>45267.37840277778</v>
      </c>
      <c r="C5754" s="1" t="n">
        <v>46103</v>
      </c>
      <c r="D5754" t="inlineStr">
        <is>
          <t>KRONOBERGS LÄN</t>
        </is>
      </c>
      <c r="E5754" t="inlineStr">
        <is>
          <t>ALVESTA</t>
        </is>
      </c>
      <c r="G5754" t="n">
        <v>4.6</v>
      </c>
      <c r="H5754" t="n">
        <v>0</v>
      </c>
      <c r="I5754" t="n">
        <v>0</v>
      </c>
      <c r="J5754" t="n">
        <v>0</v>
      </c>
      <c r="K5754" t="n">
        <v>0</v>
      </c>
      <c r="L5754" t="n">
        <v>0</v>
      </c>
      <c r="M5754" t="n">
        <v>0</v>
      </c>
      <c r="N5754" t="n">
        <v>0</v>
      </c>
      <c r="O5754" t="n">
        <v>0</v>
      </c>
      <c r="P5754" t="n">
        <v>0</v>
      </c>
      <c r="Q5754" t="n">
        <v>0</v>
      </c>
      <c r="R5754" s="2" t="inlineStr"/>
    </row>
    <row r="5755" ht="15" customHeight="1">
      <c r="A5755" t="inlineStr">
        <is>
          <t>A 4413-2022</t>
        </is>
      </c>
      <c r="B5755" s="1" t="n">
        <v>44589</v>
      </c>
      <c r="C5755" s="1" t="n">
        <v>46103</v>
      </c>
      <c r="D5755" t="inlineStr">
        <is>
          <t>KRONOBERGS LÄN</t>
        </is>
      </c>
      <c r="E5755" t="inlineStr">
        <is>
          <t>LESSEBO</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4546-2022</t>
        </is>
      </c>
      <c r="B5756" s="1" t="n">
        <v>44590</v>
      </c>
      <c r="C5756" s="1" t="n">
        <v>46103</v>
      </c>
      <c r="D5756" t="inlineStr">
        <is>
          <t>KRONOBERGS LÄN</t>
        </is>
      </c>
      <c r="E5756" t="inlineStr">
        <is>
          <t>VÄXJÖ</t>
        </is>
      </c>
      <c r="F5756" t="inlineStr">
        <is>
          <t>Kommuner</t>
        </is>
      </c>
      <c r="G5756" t="n">
        <v>3.2</v>
      </c>
      <c r="H5756" t="n">
        <v>0</v>
      </c>
      <c r="I5756" t="n">
        <v>0</v>
      </c>
      <c r="J5756" t="n">
        <v>0</v>
      </c>
      <c r="K5756" t="n">
        <v>0</v>
      </c>
      <c r="L5756" t="n">
        <v>0</v>
      </c>
      <c r="M5756" t="n">
        <v>0</v>
      </c>
      <c r="N5756" t="n">
        <v>0</v>
      </c>
      <c r="O5756" t="n">
        <v>0</v>
      </c>
      <c r="P5756" t="n">
        <v>0</v>
      </c>
      <c r="Q5756" t="n">
        <v>0</v>
      </c>
      <c r="R5756" s="2" t="inlineStr"/>
    </row>
    <row r="5757" ht="15" customHeight="1">
      <c r="A5757" t="inlineStr">
        <is>
          <t>A 23353-2023</t>
        </is>
      </c>
      <c r="B5757" s="1" t="n">
        <v>45076.38233796296</v>
      </c>
      <c r="C5757" s="1" t="n">
        <v>46103</v>
      </c>
      <c r="D5757" t="inlineStr">
        <is>
          <t>KRONOBERGS LÄN</t>
        </is>
      </c>
      <c r="E5757" t="inlineStr">
        <is>
          <t>ALVESTA</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22242-2023</t>
        </is>
      </c>
      <c r="B5758" s="1" t="n">
        <v>45070.29798611111</v>
      </c>
      <c r="C5758" s="1" t="n">
        <v>46103</v>
      </c>
      <c r="D5758" t="inlineStr">
        <is>
          <t>KRONOBERGS LÄN</t>
        </is>
      </c>
      <c r="E5758" t="inlineStr">
        <is>
          <t>VÄXJÖ</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8824-2025</t>
        </is>
      </c>
      <c r="B5759" s="1" t="n">
        <v>45712</v>
      </c>
      <c r="C5759" s="1" t="n">
        <v>46103</v>
      </c>
      <c r="D5759" t="inlineStr">
        <is>
          <t>KRONOBERGS LÄN</t>
        </is>
      </c>
      <c r="E5759" t="inlineStr">
        <is>
          <t>LJUNGBY</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61598-2022</t>
        </is>
      </c>
      <c r="B5760" s="1" t="n">
        <v>44916</v>
      </c>
      <c r="C5760" s="1" t="n">
        <v>46103</v>
      </c>
      <c r="D5760" t="inlineStr">
        <is>
          <t>KRONOBERGS LÄN</t>
        </is>
      </c>
      <c r="E5760" t="inlineStr">
        <is>
          <t>LESSEBO</t>
        </is>
      </c>
      <c r="F5760" t="inlineStr">
        <is>
          <t>Kommuner</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59873-2021</t>
        </is>
      </c>
      <c r="B5761" s="1" t="n">
        <v>44494.60379629629</v>
      </c>
      <c r="C5761" s="1" t="n">
        <v>46103</v>
      </c>
      <c r="D5761" t="inlineStr">
        <is>
          <t>KRONOBERGS LÄN</t>
        </is>
      </c>
      <c r="E5761" t="inlineStr">
        <is>
          <t>VÄXJÖ</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19768-2023</t>
        </is>
      </c>
      <c r="B5762" s="1" t="n">
        <v>45051.61240740741</v>
      </c>
      <c r="C5762" s="1" t="n">
        <v>46103</v>
      </c>
      <c r="D5762" t="inlineStr">
        <is>
          <t>KRONOBERGS LÄN</t>
        </is>
      </c>
      <c r="E5762" t="inlineStr">
        <is>
          <t>ÄLMHULT</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50073-2023</t>
        </is>
      </c>
      <c r="B5763" s="1" t="n">
        <v>45215.55851851852</v>
      </c>
      <c r="C5763" s="1" t="n">
        <v>46103</v>
      </c>
      <c r="D5763" t="inlineStr">
        <is>
          <t>KRONOBERGS LÄN</t>
        </is>
      </c>
      <c r="E5763" t="inlineStr">
        <is>
          <t>ÄLMHULT</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16886-2025</t>
        </is>
      </c>
      <c r="B5764" s="1" t="n">
        <v>45755.30775462963</v>
      </c>
      <c r="C5764" s="1" t="n">
        <v>46103</v>
      </c>
      <c r="D5764" t="inlineStr">
        <is>
          <t>KRONOBERGS LÄN</t>
        </is>
      </c>
      <c r="E5764" t="inlineStr">
        <is>
          <t>LESSEBO</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11029-2024</t>
        </is>
      </c>
      <c r="B5765" s="1" t="n">
        <v>45370.64554398148</v>
      </c>
      <c r="C5765" s="1" t="n">
        <v>46103</v>
      </c>
      <c r="D5765" t="inlineStr">
        <is>
          <t>KRONOBERGS LÄN</t>
        </is>
      </c>
      <c r="E5765" t="inlineStr">
        <is>
          <t>UPPVIDINGE</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12743-2024</t>
        </is>
      </c>
      <c r="B5766" s="1" t="n">
        <v>45384.54092592592</v>
      </c>
      <c r="C5766" s="1" t="n">
        <v>46103</v>
      </c>
      <c r="D5766" t="inlineStr">
        <is>
          <t>KRONOBERGS LÄN</t>
        </is>
      </c>
      <c r="E5766" t="inlineStr">
        <is>
          <t>ÄLMHULT</t>
        </is>
      </c>
      <c r="F5766" t="inlineStr">
        <is>
          <t>Sveaskog</t>
        </is>
      </c>
      <c r="G5766" t="n">
        <v>6.3</v>
      </c>
      <c r="H5766" t="n">
        <v>0</v>
      </c>
      <c r="I5766" t="n">
        <v>0</v>
      </c>
      <c r="J5766" t="n">
        <v>0</v>
      </c>
      <c r="K5766" t="n">
        <v>0</v>
      </c>
      <c r="L5766" t="n">
        <v>0</v>
      </c>
      <c r="M5766" t="n">
        <v>0</v>
      </c>
      <c r="N5766" t="n">
        <v>0</v>
      </c>
      <c r="O5766" t="n">
        <v>0</v>
      </c>
      <c r="P5766" t="n">
        <v>0</v>
      </c>
      <c r="Q5766" t="n">
        <v>0</v>
      </c>
      <c r="R5766" s="2" t="inlineStr"/>
    </row>
    <row r="5767" ht="15" customHeight="1">
      <c r="A5767" t="inlineStr">
        <is>
          <t>A 4027-2024</t>
        </is>
      </c>
      <c r="B5767" s="1" t="n">
        <v>45323</v>
      </c>
      <c r="C5767" s="1" t="n">
        <v>46103</v>
      </c>
      <c r="D5767" t="inlineStr">
        <is>
          <t>KRONOBERGS LÄN</t>
        </is>
      </c>
      <c r="E5767" t="inlineStr">
        <is>
          <t>LJUNGBY</t>
        </is>
      </c>
      <c r="F5767" t="inlineStr">
        <is>
          <t>Kommuner</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7935-2025</t>
        </is>
      </c>
      <c r="B5768" s="1" t="n">
        <v>45707</v>
      </c>
      <c r="C5768" s="1" t="n">
        <v>46103</v>
      </c>
      <c r="D5768" t="inlineStr">
        <is>
          <t>KRONOBERGS LÄN</t>
        </is>
      </c>
      <c r="E5768" t="inlineStr">
        <is>
          <t>MARKARYD</t>
        </is>
      </c>
      <c r="G5768" t="n">
        <v>5.6</v>
      </c>
      <c r="H5768" t="n">
        <v>0</v>
      </c>
      <c r="I5768" t="n">
        <v>0</v>
      </c>
      <c r="J5768" t="n">
        <v>0</v>
      </c>
      <c r="K5768" t="n">
        <v>0</v>
      </c>
      <c r="L5768" t="n">
        <v>0</v>
      </c>
      <c r="M5768" t="n">
        <v>0</v>
      </c>
      <c r="N5768" t="n">
        <v>0</v>
      </c>
      <c r="O5768" t="n">
        <v>0</v>
      </c>
      <c r="P5768" t="n">
        <v>0</v>
      </c>
      <c r="Q5768" t="n">
        <v>0</v>
      </c>
      <c r="R5768" s="2" t="inlineStr"/>
    </row>
    <row r="5769" ht="15" customHeight="1">
      <c r="A5769" t="inlineStr">
        <is>
          <t>A 26573-2023</t>
        </is>
      </c>
      <c r="B5769" s="1" t="n">
        <v>45092.64133101852</v>
      </c>
      <c r="C5769" s="1" t="n">
        <v>46103</v>
      </c>
      <c r="D5769" t="inlineStr">
        <is>
          <t>KRONOBERGS LÄN</t>
        </is>
      </c>
      <c r="E5769" t="inlineStr">
        <is>
          <t>ALVESTA</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11686-2024</t>
        </is>
      </c>
      <c r="B5770" s="1" t="n">
        <v>45373.59099537037</v>
      </c>
      <c r="C5770" s="1" t="n">
        <v>46103</v>
      </c>
      <c r="D5770" t="inlineStr">
        <is>
          <t>KRONOBERGS LÄN</t>
        </is>
      </c>
      <c r="E5770" t="inlineStr">
        <is>
          <t>LJUNGBY</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20563-2024</t>
        </is>
      </c>
      <c r="B5771" s="1" t="n">
        <v>45436.36854166666</v>
      </c>
      <c r="C5771" s="1" t="n">
        <v>46103</v>
      </c>
      <c r="D5771" t="inlineStr">
        <is>
          <t>KRONOBERGS LÄN</t>
        </is>
      </c>
      <c r="E5771" t="inlineStr">
        <is>
          <t>TINGSRYD</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20131-2024</t>
        </is>
      </c>
      <c r="B5772" s="1" t="n">
        <v>45434.56020833334</v>
      </c>
      <c r="C5772" s="1" t="n">
        <v>46103</v>
      </c>
      <c r="D5772" t="inlineStr">
        <is>
          <t>KRONOBERGS LÄN</t>
        </is>
      </c>
      <c r="E5772" t="inlineStr">
        <is>
          <t>UPPVIDINGE</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64916-2023</t>
        </is>
      </c>
      <c r="B5773" s="1" t="n">
        <v>45282.66887731481</v>
      </c>
      <c r="C5773" s="1" t="n">
        <v>46103</v>
      </c>
      <c r="D5773" t="inlineStr">
        <is>
          <t>KRONOBERGS LÄN</t>
        </is>
      </c>
      <c r="E5773" t="inlineStr">
        <is>
          <t>MARKARYD</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2042-2024</t>
        </is>
      </c>
      <c r="B5774" s="1" t="n">
        <v>45308.83798611111</v>
      </c>
      <c r="C5774" s="1" t="n">
        <v>46103</v>
      </c>
      <c r="D5774" t="inlineStr">
        <is>
          <t>KRONOBERGS LÄN</t>
        </is>
      </c>
      <c r="E5774" t="inlineStr">
        <is>
          <t>ALVESTA</t>
        </is>
      </c>
      <c r="G5774" t="n">
        <v>5.2</v>
      </c>
      <c r="H5774" t="n">
        <v>0</v>
      </c>
      <c r="I5774" t="n">
        <v>0</v>
      </c>
      <c r="J5774" t="n">
        <v>0</v>
      </c>
      <c r="K5774" t="n">
        <v>0</v>
      </c>
      <c r="L5774" t="n">
        <v>0</v>
      </c>
      <c r="M5774" t="n">
        <v>0</v>
      </c>
      <c r="N5774" t="n">
        <v>0</v>
      </c>
      <c r="O5774" t="n">
        <v>0</v>
      </c>
      <c r="P5774" t="n">
        <v>0</v>
      </c>
      <c r="Q5774" t="n">
        <v>0</v>
      </c>
      <c r="R5774" s="2" t="inlineStr"/>
    </row>
    <row r="5775" ht="15" customHeight="1">
      <c r="A5775" t="inlineStr">
        <is>
          <t>A 16648-2025</t>
        </is>
      </c>
      <c r="B5775" s="1" t="n">
        <v>45754.38893518518</v>
      </c>
      <c r="C5775" s="1" t="n">
        <v>46103</v>
      </c>
      <c r="D5775" t="inlineStr">
        <is>
          <t>KRONOBERGS LÄN</t>
        </is>
      </c>
      <c r="E5775" t="inlineStr">
        <is>
          <t>LJUNGBY</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16767-2025</t>
        </is>
      </c>
      <c r="B5776" s="1" t="n">
        <v>45754</v>
      </c>
      <c r="C5776" s="1" t="n">
        <v>46103</v>
      </c>
      <c r="D5776" t="inlineStr">
        <is>
          <t>KRONOBERGS LÄN</t>
        </is>
      </c>
      <c r="E5776" t="inlineStr">
        <is>
          <t>VÄXJÖ</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52167-2023</t>
        </is>
      </c>
      <c r="B5777" s="1" t="n">
        <v>45224.33578703704</v>
      </c>
      <c r="C5777" s="1" t="n">
        <v>46103</v>
      </c>
      <c r="D5777" t="inlineStr">
        <is>
          <t>KRONOBERGS LÄN</t>
        </is>
      </c>
      <c r="E5777" t="inlineStr">
        <is>
          <t>VÄXJÖ</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13269-2024</t>
        </is>
      </c>
      <c r="B5778" s="1" t="n">
        <v>45386.59690972222</v>
      </c>
      <c r="C5778" s="1" t="n">
        <v>46103</v>
      </c>
      <c r="D5778" t="inlineStr">
        <is>
          <t>KRONOBERGS LÄN</t>
        </is>
      </c>
      <c r="E5778" t="inlineStr">
        <is>
          <t>TINGSRYD</t>
        </is>
      </c>
      <c r="G5778" t="n">
        <v>0.4</v>
      </c>
      <c r="H5778" t="n">
        <v>0</v>
      </c>
      <c r="I5778" t="n">
        <v>0</v>
      </c>
      <c r="J5778" t="n">
        <v>0</v>
      </c>
      <c r="K5778" t="n">
        <v>0</v>
      </c>
      <c r="L5778" t="n">
        <v>0</v>
      </c>
      <c r="M5778" t="n">
        <v>0</v>
      </c>
      <c r="N5778" t="n">
        <v>0</v>
      </c>
      <c r="O5778" t="n">
        <v>0</v>
      </c>
      <c r="P5778" t="n">
        <v>0</v>
      </c>
      <c r="Q5778" t="n">
        <v>0</v>
      </c>
      <c r="R5778" s="2" t="inlineStr"/>
    </row>
    <row r="5779" ht="15" customHeight="1">
      <c r="A5779" t="inlineStr">
        <is>
          <t>A 38880-2023</t>
        </is>
      </c>
      <c r="B5779" s="1" t="n">
        <v>45161</v>
      </c>
      <c r="C5779" s="1" t="n">
        <v>46103</v>
      </c>
      <c r="D5779" t="inlineStr">
        <is>
          <t>KRONOBERGS LÄN</t>
        </is>
      </c>
      <c r="E5779" t="inlineStr">
        <is>
          <t>VÄXJÖ</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38890-2023</t>
        </is>
      </c>
      <c r="B5780" s="1" t="n">
        <v>45161</v>
      </c>
      <c r="C5780" s="1" t="n">
        <v>46103</v>
      </c>
      <c r="D5780" t="inlineStr">
        <is>
          <t>KRONOBERGS LÄN</t>
        </is>
      </c>
      <c r="E5780" t="inlineStr">
        <is>
          <t>ALVESTA</t>
        </is>
      </c>
      <c r="G5780" t="n">
        <v>4.7</v>
      </c>
      <c r="H5780" t="n">
        <v>0</v>
      </c>
      <c r="I5780" t="n">
        <v>0</v>
      </c>
      <c r="J5780" t="n">
        <v>0</v>
      </c>
      <c r="K5780" t="n">
        <v>0</v>
      </c>
      <c r="L5780" t="n">
        <v>0</v>
      </c>
      <c r="M5780" t="n">
        <v>0</v>
      </c>
      <c r="N5780" t="n">
        <v>0</v>
      </c>
      <c r="O5780" t="n">
        <v>0</v>
      </c>
      <c r="P5780" t="n">
        <v>0</v>
      </c>
      <c r="Q5780" t="n">
        <v>0</v>
      </c>
      <c r="R5780" s="2" t="inlineStr"/>
    </row>
    <row r="5781" ht="15" customHeight="1">
      <c r="A5781" t="inlineStr">
        <is>
          <t>A 20892-2024</t>
        </is>
      </c>
      <c r="B5781" s="1" t="n">
        <v>45439.46385416666</v>
      </c>
      <c r="C5781" s="1" t="n">
        <v>46103</v>
      </c>
      <c r="D5781" t="inlineStr">
        <is>
          <t>KRONOBERGS LÄN</t>
        </is>
      </c>
      <c r="E5781" t="inlineStr">
        <is>
          <t>TINGSRYD</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11080-2022</t>
        </is>
      </c>
      <c r="B5782" s="1" t="n">
        <v>44628.67694444444</v>
      </c>
      <c r="C5782" s="1" t="n">
        <v>46103</v>
      </c>
      <c r="D5782" t="inlineStr">
        <is>
          <t>KRONOBERGS LÄN</t>
        </is>
      </c>
      <c r="E5782" t="inlineStr">
        <is>
          <t>TINGSRYD</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8789-2022</t>
        </is>
      </c>
      <c r="B5783" s="1" t="n">
        <v>44614.42685185185</v>
      </c>
      <c r="C5783" s="1" t="n">
        <v>46103</v>
      </c>
      <c r="D5783" t="inlineStr">
        <is>
          <t>KRONOBERGS LÄN</t>
        </is>
      </c>
      <c r="E5783" t="inlineStr">
        <is>
          <t>TINGSRYD</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24029-2023</t>
        </is>
      </c>
      <c r="B5784" s="1" t="n">
        <v>45078</v>
      </c>
      <c r="C5784" s="1" t="n">
        <v>46103</v>
      </c>
      <c r="D5784" t="inlineStr">
        <is>
          <t>KRONOBERGS LÄN</t>
        </is>
      </c>
      <c r="E5784" t="inlineStr">
        <is>
          <t>ÄLMHULT</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21872-2022</t>
        </is>
      </c>
      <c r="B5785" s="1" t="n">
        <v>44711.39636574074</v>
      </c>
      <c r="C5785" s="1" t="n">
        <v>46103</v>
      </c>
      <c r="D5785" t="inlineStr">
        <is>
          <t>KRONOBERGS LÄN</t>
        </is>
      </c>
      <c r="E5785" t="inlineStr">
        <is>
          <t>VÄXJÖ</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32466-2022</t>
        </is>
      </c>
      <c r="B5786" s="1" t="n">
        <v>44782</v>
      </c>
      <c r="C5786" s="1" t="n">
        <v>46103</v>
      </c>
      <c r="D5786" t="inlineStr">
        <is>
          <t>KRONOBERGS LÄN</t>
        </is>
      </c>
      <c r="E5786" t="inlineStr">
        <is>
          <t>VÄXJÖ</t>
        </is>
      </c>
      <c r="F5786" t="inlineStr">
        <is>
          <t>Kyrkan</t>
        </is>
      </c>
      <c r="G5786" t="n">
        <v>4.4</v>
      </c>
      <c r="H5786" t="n">
        <v>0</v>
      </c>
      <c r="I5786" t="n">
        <v>0</v>
      </c>
      <c r="J5786" t="n">
        <v>0</v>
      </c>
      <c r="K5786" t="n">
        <v>0</v>
      </c>
      <c r="L5786" t="n">
        <v>0</v>
      </c>
      <c r="M5786" t="n">
        <v>0</v>
      </c>
      <c r="N5786" t="n">
        <v>0</v>
      </c>
      <c r="O5786" t="n">
        <v>0</v>
      </c>
      <c r="P5786" t="n">
        <v>0</v>
      </c>
      <c r="Q5786" t="n">
        <v>0</v>
      </c>
      <c r="R5786" s="2" t="inlineStr"/>
    </row>
    <row r="5787" ht="15" customHeight="1">
      <c r="A5787" t="inlineStr">
        <is>
          <t>A 44175-2024</t>
        </is>
      </c>
      <c r="B5787" s="1" t="n">
        <v>45572</v>
      </c>
      <c r="C5787" s="1" t="n">
        <v>46103</v>
      </c>
      <c r="D5787" t="inlineStr">
        <is>
          <t>KRONOBERGS LÄN</t>
        </is>
      </c>
      <c r="E5787" t="inlineStr">
        <is>
          <t>VÄXJÖ</t>
        </is>
      </c>
      <c r="G5787" t="n">
        <v>4.6</v>
      </c>
      <c r="H5787" t="n">
        <v>0</v>
      </c>
      <c r="I5787" t="n">
        <v>0</v>
      </c>
      <c r="J5787" t="n">
        <v>0</v>
      </c>
      <c r="K5787" t="n">
        <v>0</v>
      </c>
      <c r="L5787" t="n">
        <v>0</v>
      </c>
      <c r="M5787" t="n">
        <v>0</v>
      </c>
      <c r="N5787" t="n">
        <v>0</v>
      </c>
      <c r="O5787" t="n">
        <v>0</v>
      </c>
      <c r="P5787" t="n">
        <v>0</v>
      </c>
      <c r="Q5787" t="n">
        <v>0</v>
      </c>
      <c r="R5787" s="2" t="inlineStr"/>
    </row>
    <row r="5788" ht="15" customHeight="1">
      <c r="A5788" t="inlineStr">
        <is>
          <t>A 8423-2025</t>
        </is>
      </c>
      <c r="B5788" s="1" t="n">
        <v>45709.40761574074</v>
      </c>
      <c r="C5788" s="1" t="n">
        <v>46103</v>
      </c>
      <c r="D5788" t="inlineStr">
        <is>
          <t>KRONOBERGS LÄN</t>
        </is>
      </c>
      <c r="E5788" t="inlineStr">
        <is>
          <t>UPPVIDINGE</t>
        </is>
      </c>
      <c r="F5788" t="inlineStr">
        <is>
          <t>Sveaskog</t>
        </is>
      </c>
      <c r="G5788" t="n">
        <v>5.9</v>
      </c>
      <c r="H5788" t="n">
        <v>0</v>
      </c>
      <c r="I5788" t="n">
        <v>0</v>
      </c>
      <c r="J5788" t="n">
        <v>0</v>
      </c>
      <c r="K5788" t="n">
        <v>0</v>
      </c>
      <c r="L5788" t="n">
        <v>0</v>
      </c>
      <c r="M5788" t="n">
        <v>0</v>
      </c>
      <c r="N5788" t="n">
        <v>0</v>
      </c>
      <c r="O5788" t="n">
        <v>0</v>
      </c>
      <c r="P5788" t="n">
        <v>0</v>
      </c>
      <c r="Q5788" t="n">
        <v>0</v>
      </c>
      <c r="R5788" s="2" t="inlineStr"/>
    </row>
    <row r="5789" ht="15" customHeight="1">
      <c r="A5789" t="inlineStr">
        <is>
          <t>A 32016-2023</t>
        </is>
      </c>
      <c r="B5789" s="1" t="n">
        <v>45119.4822337963</v>
      </c>
      <c r="C5789" s="1" t="n">
        <v>46103</v>
      </c>
      <c r="D5789" t="inlineStr">
        <is>
          <t>KRONOBERGS LÄN</t>
        </is>
      </c>
      <c r="E5789" t="inlineStr">
        <is>
          <t>TINGSRYD</t>
        </is>
      </c>
      <c r="G5789" t="n">
        <v>0.4</v>
      </c>
      <c r="H5789" t="n">
        <v>0</v>
      </c>
      <c r="I5789" t="n">
        <v>0</v>
      </c>
      <c r="J5789" t="n">
        <v>0</v>
      </c>
      <c r="K5789" t="n">
        <v>0</v>
      </c>
      <c r="L5789" t="n">
        <v>0</v>
      </c>
      <c r="M5789" t="n">
        <v>0</v>
      </c>
      <c r="N5789" t="n">
        <v>0</v>
      </c>
      <c r="O5789" t="n">
        <v>0</v>
      </c>
      <c r="P5789" t="n">
        <v>0</v>
      </c>
      <c r="Q5789" t="n">
        <v>0</v>
      </c>
      <c r="R5789" s="2" t="inlineStr"/>
    </row>
    <row r="5790" ht="15" customHeight="1">
      <c r="A5790" t="inlineStr">
        <is>
          <t>A 36337-2023</t>
        </is>
      </c>
      <c r="B5790" s="1" t="n">
        <v>45152</v>
      </c>
      <c r="C5790" s="1" t="n">
        <v>46103</v>
      </c>
      <c r="D5790" t="inlineStr">
        <is>
          <t>KRONOBERGS LÄN</t>
        </is>
      </c>
      <c r="E5790" t="inlineStr">
        <is>
          <t>TINGSRYD</t>
        </is>
      </c>
      <c r="G5790" t="n">
        <v>0.4</v>
      </c>
      <c r="H5790" t="n">
        <v>0</v>
      </c>
      <c r="I5790" t="n">
        <v>0</v>
      </c>
      <c r="J5790" t="n">
        <v>0</v>
      </c>
      <c r="K5790" t="n">
        <v>0</v>
      </c>
      <c r="L5790" t="n">
        <v>0</v>
      </c>
      <c r="M5790" t="n">
        <v>0</v>
      </c>
      <c r="N5790" t="n">
        <v>0</v>
      </c>
      <c r="O5790" t="n">
        <v>0</v>
      </c>
      <c r="P5790" t="n">
        <v>0</v>
      </c>
      <c r="Q5790" t="n">
        <v>0</v>
      </c>
      <c r="R5790" s="2" t="inlineStr"/>
    </row>
    <row r="5791" ht="15" customHeight="1">
      <c r="A5791" t="inlineStr">
        <is>
          <t>A 48860-2023</t>
        </is>
      </c>
      <c r="B5791" s="1" t="n">
        <v>45204</v>
      </c>
      <c r="C5791" s="1" t="n">
        <v>46103</v>
      </c>
      <c r="D5791" t="inlineStr">
        <is>
          <t>KRONOBERGS LÄN</t>
        </is>
      </c>
      <c r="E5791" t="inlineStr">
        <is>
          <t>VÄXJÖ</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19599-2025</t>
        </is>
      </c>
      <c r="B5792" s="1" t="n">
        <v>45770</v>
      </c>
      <c r="C5792" s="1" t="n">
        <v>46103</v>
      </c>
      <c r="D5792" t="inlineStr">
        <is>
          <t>KRONOBERGS LÄN</t>
        </is>
      </c>
      <c r="E5792" t="inlineStr">
        <is>
          <t>UPPVIDINGE</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3531-2025</t>
        </is>
      </c>
      <c r="B5793" s="1" t="n">
        <v>45680</v>
      </c>
      <c r="C5793" s="1" t="n">
        <v>46103</v>
      </c>
      <c r="D5793" t="inlineStr">
        <is>
          <t>KRONOBERGS LÄN</t>
        </is>
      </c>
      <c r="E5793" t="inlineStr">
        <is>
          <t>TINGSRYD</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51836-2023</t>
        </is>
      </c>
      <c r="B5794" s="1" t="n">
        <v>45223</v>
      </c>
      <c r="C5794" s="1" t="n">
        <v>46103</v>
      </c>
      <c r="D5794" t="inlineStr">
        <is>
          <t>KRONOBERGS LÄN</t>
        </is>
      </c>
      <c r="E5794" t="inlineStr">
        <is>
          <t>UPPVIDINGE</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62537-2022</t>
        </is>
      </c>
      <c r="B5795" s="1" t="n">
        <v>44924.66556712963</v>
      </c>
      <c r="C5795" s="1" t="n">
        <v>46103</v>
      </c>
      <c r="D5795" t="inlineStr">
        <is>
          <t>KRONOBERGS LÄN</t>
        </is>
      </c>
      <c r="E5795" t="inlineStr">
        <is>
          <t>LJUNGBY</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11424-2024</t>
        </is>
      </c>
      <c r="B5796" s="1" t="n">
        <v>45372.49736111111</v>
      </c>
      <c r="C5796" s="1" t="n">
        <v>46103</v>
      </c>
      <c r="D5796" t="inlineStr">
        <is>
          <t>KRONOBERGS LÄN</t>
        </is>
      </c>
      <c r="E5796" t="inlineStr">
        <is>
          <t>UPPVIDINGE</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44674-2024</t>
        </is>
      </c>
      <c r="B5797" s="1" t="n">
        <v>45574</v>
      </c>
      <c r="C5797" s="1" t="n">
        <v>46103</v>
      </c>
      <c r="D5797" t="inlineStr">
        <is>
          <t>KRONOBERGS LÄN</t>
        </is>
      </c>
      <c r="E5797" t="inlineStr">
        <is>
          <t>TINGSRYD</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11431-2024</t>
        </is>
      </c>
      <c r="B5798" s="1" t="n">
        <v>45372.51082175926</v>
      </c>
      <c r="C5798" s="1" t="n">
        <v>46103</v>
      </c>
      <c r="D5798" t="inlineStr">
        <is>
          <t>KRONOBERGS LÄN</t>
        </is>
      </c>
      <c r="E5798" t="inlineStr">
        <is>
          <t>TINGSRYD</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49987-2023</t>
        </is>
      </c>
      <c r="B5799" s="1" t="n">
        <v>45215</v>
      </c>
      <c r="C5799" s="1" t="n">
        <v>46103</v>
      </c>
      <c r="D5799" t="inlineStr">
        <is>
          <t>KRONOBERGS LÄN</t>
        </is>
      </c>
      <c r="E5799" t="inlineStr">
        <is>
          <t>TINGSRYD</t>
        </is>
      </c>
      <c r="G5799" t="n">
        <v>0</v>
      </c>
      <c r="H5799" t="n">
        <v>0</v>
      </c>
      <c r="I5799" t="n">
        <v>0</v>
      </c>
      <c r="J5799" t="n">
        <v>0</v>
      </c>
      <c r="K5799" t="n">
        <v>0</v>
      </c>
      <c r="L5799" t="n">
        <v>0</v>
      </c>
      <c r="M5799" t="n">
        <v>0</v>
      </c>
      <c r="N5799" t="n">
        <v>0</v>
      </c>
      <c r="O5799" t="n">
        <v>0</v>
      </c>
      <c r="P5799" t="n">
        <v>0</v>
      </c>
      <c r="Q5799" t="n">
        <v>0</v>
      </c>
      <c r="R5799" s="2" t="inlineStr"/>
    </row>
    <row r="5800" ht="15" customHeight="1">
      <c r="A5800" t="inlineStr">
        <is>
          <t>A 44445-2024</t>
        </is>
      </c>
      <c r="B5800" s="1" t="n">
        <v>45574.31337962963</v>
      </c>
      <c r="C5800" s="1" t="n">
        <v>46103</v>
      </c>
      <c r="D5800" t="inlineStr">
        <is>
          <t>KRONOBERGS LÄN</t>
        </is>
      </c>
      <c r="E5800" t="inlineStr">
        <is>
          <t>ÄLMHULT</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38856-2024</t>
        </is>
      </c>
      <c r="B5801" s="1" t="n">
        <v>45547.62553240741</v>
      </c>
      <c r="C5801" s="1" t="n">
        <v>46103</v>
      </c>
      <c r="D5801" t="inlineStr">
        <is>
          <t>KRONOBERGS LÄN</t>
        </is>
      </c>
      <c r="E5801" t="inlineStr">
        <is>
          <t>UPPVIDINGE</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38861-2024</t>
        </is>
      </c>
      <c r="B5802" s="1" t="n">
        <v>45547</v>
      </c>
      <c r="C5802" s="1" t="n">
        <v>46103</v>
      </c>
      <c r="D5802" t="inlineStr">
        <is>
          <t>KRONOBERGS LÄN</t>
        </is>
      </c>
      <c r="E5802" t="inlineStr">
        <is>
          <t>TINGSRYD</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35627-2024</t>
        </is>
      </c>
      <c r="B5803" s="1" t="n">
        <v>45531.74303240741</v>
      </c>
      <c r="C5803" s="1" t="n">
        <v>46103</v>
      </c>
      <c r="D5803" t="inlineStr">
        <is>
          <t>KRONOBERGS LÄN</t>
        </is>
      </c>
      <c r="E5803" t="inlineStr">
        <is>
          <t>ÄLMHULT</t>
        </is>
      </c>
      <c r="G5803" t="n">
        <v>6.9</v>
      </c>
      <c r="H5803" t="n">
        <v>0</v>
      </c>
      <c r="I5803" t="n">
        <v>0</v>
      </c>
      <c r="J5803" t="n">
        <v>0</v>
      </c>
      <c r="K5803" t="n">
        <v>0</v>
      </c>
      <c r="L5803" t="n">
        <v>0</v>
      </c>
      <c r="M5803" t="n">
        <v>0</v>
      </c>
      <c r="N5803" t="n">
        <v>0</v>
      </c>
      <c r="O5803" t="n">
        <v>0</v>
      </c>
      <c r="P5803" t="n">
        <v>0</v>
      </c>
      <c r="Q5803" t="n">
        <v>0</v>
      </c>
      <c r="R5803" s="2" t="inlineStr"/>
    </row>
    <row r="5804" ht="15" customHeight="1">
      <c r="A5804" t="inlineStr">
        <is>
          <t>A 48801-2024</t>
        </is>
      </c>
      <c r="B5804" s="1" t="n">
        <v>45593</v>
      </c>
      <c r="C5804" s="1" t="n">
        <v>46103</v>
      </c>
      <c r="D5804" t="inlineStr">
        <is>
          <t>KRONOBERGS LÄN</t>
        </is>
      </c>
      <c r="E5804" t="inlineStr">
        <is>
          <t>MARKARYD</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34761-2022</t>
        </is>
      </c>
      <c r="B5805" s="1" t="n">
        <v>44795</v>
      </c>
      <c r="C5805" s="1" t="n">
        <v>46103</v>
      </c>
      <c r="D5805" t="inlineStr">
        <is>
          <t>KRONOBERGS LÄN</t>
        </is>
      </c>
      <c r="E5805" t="inlineStr">
        <is>
          <t>TINGSRYD</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3605-2024</t>
        </is>
      </c>
      <c r="B5806" s="1" t="n">
        <v>45320.86557870371</v>
      </c>
      <c r="C5806" s="1" t="n">
        <v>46103</v>
      </c>
      <c r="D5806" t="inlineStr">
        <is>
          <t>KRONOBERGS LÄN</t>
        </is>
      </c>
      <c r="E5806" t="inlineStr">
        <is>
          <t>LESSEBO</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21990-2024</t>
        </is>
      </c>
      <c r="B5807" s="1" t="n">
        <v>45443.55731481482</v>
      </c>
      <c r="C5807" s="1" t="n">
        <v>46103</v>
      </c>
      <c r="D5807" t="inlineStr">
        <is>
          <t>KRONOBERGS LÄN</t>
        </is>
      </c>
      <c r="E5807" t="inlineStr">
        <is>
          <t>VÄXJÖ</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47015-2023</t>
        </is>
      </c>
      <c r="B5808" s="1" t="n">
        <v>45201.50586805555</v>
      </c>
      <c r="C5808" s="1" t="n">
        <v>46103</v>
      </c>
      <c r="D5808" t="inlineStr">
        <is>
          <t>KRONOBERGS LÄN</t>
        </is>
      </c>
      <c r="E5808" t="inlineStr">
        <is>
          <t>UPPVIDINGE</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11228-2025</t>
        </is>
      </c>
      <c r="B5809" s="1" t="n">
        <v>45726.34802083333</v>
      </c>
      <c r="C5809" s="1" t="n">
        <v>46103</v>
      </c>
      <c r="D5809" t="inlineStr">
        <is>
          <t>KRONOBERGS LÄN</t>
        </is>
      </c>
      <c r="E5809" t="inlineStr">
        <is>
          <t>VÄXJÖ</t>
        </is>
      </c>
      <c r="G5809" t="n">
        <v>5.2</v>
      </c>
      <c r="H5809" t="n">
        <v>0</v>
      </c>
      <c r="I5809" t="n">
        <v>0</v>
      </c>
      <c r="J5809" t="n">
        <v>0</v>
      </c>
      <c r="K5809" t="n">
        <v>0</v>
      </c>
      <c r="L5809" t="n">
        <v>0</v>
      </c>
      <c r="M5809" t="n">
        <v>0</v>
      </c>
      <c r="N5809" t="n">
        <v>0</v>
      </c>
      <c r="O5809" t="n">
        <v>0</v>
      </c>
      <c r="P5809" t="n">
        <v>0</v>
      </c>
      <c r="Q5809" t="n">
        <v>0</v>
      </c>
      <c r="R5809" s="2" t="inlineStr"/>
    </row>
    <row r="5810" ht="15" customHeight="1">
      <c r="A5810" t="inlineStr">
        <is>
          <t>A 34386-2023</t>
        </is>
      </c>
      <c r="B5810" s="1" t="n">
        <v>45139</v>
      </c>
      <c r="C5810" s="1" t="n">
        <v>46103</v>
      </c>
      <c r="D5810" t="inlineStr">
        <is>
          <t>KRONOBERGS LÄN</t>
        </is>
      </c>
      <c r="E5810" t="inlineStr">
        <is>
          <t>LESSEBO</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34464-2023</t>
        </is>
      </c>
      <c r="B5811" s="1" t="n">
        <v>45139.7190625</v>
      </c>
      <c r="C5811" s="1" t="n">
        <v>46103</v>
      </c>
      <c r="D5811" t="inlineStr">
        <is>
          <t>KRONOBERGS LÄN</t>
        </is>
      </c>
      <c r="E5811" t="inlineStr">
        <is>
          <t>VÄXJÖ</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69361-2021</t>
        </is>
      </c>
      <c r="B5812" s="1" t="n">
        <v>44531</v>
      </c>
      <c r="C5812" s="1" t="n">
        <v>46103</v>
      </c>
      <c r="D5812" t="inlineStr">
        <is>
          <t>KRONOBERGS LÄN</t>
        </is>
      </c>
      <c r="E5812" t="inlineStr">
        <is>
          <t>MARKARYD</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43500-2023</t>
        </is>
      </c>
      <c r="B5813" s="1" t="n">
        <v>45184.46447916667</v>
      </c>
      <c r="C5813" s="1" t="n">
        <v>46103</v>
      </c>
      <c r="D5813" t="inlineStr">
        <is>
          <t>KRONOBERGS LÄN</t>
        </is>
      </c>
      <c r="E5813" t="inlineStr">
        <is>
          <t>UPPVIDINGE</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55342-2024</t>
        </is>
      </c>
      <c r="B5814" s="1" t="n">
        <v>45621</v>
      </c>
      <c r="C5814" s="1" t="n">
        <v>46103</v>
      </c>
      <c r="D5814" t="inlineStr">
        <is>
          <t>KRONOBERGS LÄN</t>
        </is>
      </c>
      <c r="E5814" t="inlineStr">
        <is>
          <t>LJUNGBY</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11643-2024</t>
        </is>
      </c>
      <c r="B5815" s="1" t="n">
        <v>45373.49592592593</v>
      </c>
      <c r="C5815" s="1" t="n">
        <v>46103</v>
      </c>
      <c r="D5815" t="inlineStr">
        <is>
          <t>KRONOBERGS LÄN</t>
        </is>
      </c>
      <c r="E5815" t="inlineStr">
        <is>
          <t>VÄXJÖ</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61659-2024</t>
        </is>
      </c>
      <c r="B5816" s="1" t="n">
        <v>45646.8040625</v>
      </c>
      <c r="C5816" s="1" t="n">
        <v>46103</v>
      </c>
      <c r="D5816" t="inlineStr">
        <is>
          <t>KRONOBERGS LÄN</t>
        </is>
      </c>
      <c r="E5816" t="inlineStr">
        <is>
          <t>TINGSRYD</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11195-2023</t>
        </is>
      </c>
      <c r="B5817" s="1" t="n">
        <v>44992</v>
      </c>
      <c r="C5817" s="1" t="n">
        <v>46103</v>
      </c>
      <c r="D5817" t="inlineStr">
        <is>
          <t>KRONOBERGS LÄN</t>
        </is>
      </c>
      <c r="E5817" t="inlineStr">
        <is>
          <t>ÄLMHULT</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22969-2024</t>
        </is>
      </c>
      <c r="B5818" s="1" t="n">
        <v>45449.62283564815</v>
      </c>
      <c r="C5818" s="1" t="n">
        <v>46103</v>
      </c>
      <c r="D5818" t="inlineStr">
        <is>
          <t>KRONOBERGS LÄN</t>
        </is>
      </c>
      <c r="E5818" t="inlineStr">
        <is>
          <t>TINGSRYD</t>
        </is>
      </c>
      <c r="G5818" t="n">
        <v>0.3</v>
      </c>
      <c r="H5818" t="n">
        <v>0</v>
      </c>
      <c r="I5818" t="n">
        <v>0</v>
      </c>
      <c r="J5818" t="n">
        <v>0</v>
      </c>
      <c r="K5818" t="n">
        <v>0</v>
      </c>
      <c r="L5818" t="n">
        <v>0</v>
      </c>
      <c r="M5818" t="n">
        <v>0</v>
      </c>
      <c r="N5818" t="n">
        <v>0</v>
      </c>
      <c r="O5818" t="n">
        <v>0</v>
      </c>
      <c r="P5818" t="n">
        <v>0</v>
      </c>
      <c r="Q5818" t="n">
        <v>0</v>
      </c>
      <c r="R5818" s="2" t="inlineStr"/>
    </row>
    <row r="5819" ht="15" customHeight="1">
      <c r="A5819" t="inlineStr">
        <is>
          <t>A 22970-2024</t>
        </is>
      </c>
      <c r="B5819" s="1" t="n">
        <v>45449.62583333333</v>
      </c>
      <c r="C5819" s="1" t="n">
        <v>46103</v>
      </c>
      <c r="D5819" t="inlineStr">
        <is>
          <t>KRONOBERGS LÄN</t>
        </is>
      </c>
      <c r="E5819" t="inlineStr">
        <is>
          <t>TINGSRYD</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42947-2023</t>
        </is>
      </c>
      <c r="B5820" s="1" t="n">
        <v>45182</v>
      </c>
      <c r="C5820" s="1" t="n">
        <v>46103</v>
      </c>
      <c r="D5820" t="inlineStr">
        <is>
          <t>KRONOBERGS LÄN</t>
        </is>
      </c>
      <c r="E5820" t="inlineStr">
        <is>
          <t>TINGSRYD</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55973-2023</t>
        </is>
      </c>
      <c r="B5821" s="1" t="n">
        <v>45240.3635300926</v>
      </c>
      <c r="C5821" s="1" t="n">
        <v>46103</v>
      </c>
      <c r="D5821" t="inlineStr">
        <is>
          <t>KRONOBERGS LÄN</t>
        </is>
      </c>
      <c r="E5821" t="inlineStr">
        <is>
          <t>TINGSRYD</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56001-2023</t>
        </is>
      </c>
      <c r="B5822" s="1" t="n">
        <v>45240.39980324074</v>
      </c>
      <c r="C5822" s="1" t="n">
        <v>46103</v>
      </c>
      <c r="D5822" t="inlineStr">
        <is>
          <t>KRONOBERGS LÄN</t>
        </is>
      </c>
      <c r="E5822" t="inlineStr">
        <is>
          <t>TINGSRYD</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34214-2024</t>
        </is>
      </c>
      <c r="B5823" s="1" t="n">
        <v>45524</v>
      </c>
      <c r="C5823" s="1" t="n">
        <v>46103</v>
      </c>
      <c r="D5823" t="inlineStr">
        <is>
          <t>KRONOBERGS LÄN</t>
        </is>
      </c>
      <c r="E5823" t="inlineStr">
        <is>
          <t>ALVESTA</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39150-2023</t>
        </is>
      </c>
      <c r="B5824" s="1" t="n">
        <v>45166.33278935185</v>
      </c>
      <c r="C5824" s="1" t="n">
        <v>46103</v>
      </c>
      <c r="D5824" t="inlineStr">
        <is>
          <t>KRONOBERGS LÄN</t>
        </is>
      </c>
      <c r="E5824" t="inlineStr">
        <is>
          <t>TINGSRYD</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39151-2023</t>
        </is>
      </c>
      <c r="B5825" s="1" t="n">
        <v>45166.33351851852</v>
      </c>
      <c r="C5825" s="1" t="n">
        <v>46103</v>
      </c>
      <c r="D5825" t="inlineStr">
        <is>
          <t>KRONOBERGS LÄN</t>
        </is>
      </c>
      <c r="E5825" t="inlineStr">
        <is>
          <t>MARKARYD</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48472-2021</t>
        </is>
      </c>
      <c r="B5826" s="1" t="n">
        <v>44452.39638888889</v>
      </c>
      <c r="C5826" s="1" t="n">
        <v>46103</v>
      </c>
      <c r="D5826" t="inlineStr">
        <is>
          <t>KRONOBERGS LÄN</t>
        </is>
      </c>
      <c r="E5826" t="inlineStr">
        <is>
          <t>VÄXJÖ</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49373-2023</t>
        </is>
      </c>
      <c r="B5827" s="1" t="n">
        <v>45211</v>
      </c>
      <c r="C5827" s="1" t="n">
        <v>46103</v>
      </c>
      <c r="D5827" t="inlineStr">
        <is>
          <t>KRONOBERGS LÄN</t>
        </is>
      </c>
      <c r="E5827" t="inlineStr">
        <is>
          <t>UPPVIDINGE</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53917-2022</t>
        </is>
      </c>
      <c r="B5828" s="1" t="n">
        <v>44880.8781712963</v>
      </c>
      <c r="C5828" s="1" t="n">
        <v>46103</v>
      </c>
      <c r="D5828" t="inlineStr">
        <is>
          <t>KRONOBERGS LÄN</t>
        </is>
      </c>
      <c r="E5828" t="inlineStr">
        <is>
          <t>ALVESTA</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9826-2023</t>
        </is>
      </c>
      <c r="B5829" s="1" t="n">
        <v>44984</v>
      </c>
      <c r="C5829" s="1" t="n">
        <v>46103</v>
      </c>
      <c r="D5829" t="inlineStr">
        <is>
          <t>KRONOBERGS LÄN</t>
        </is>
      </c>
      <c r="E5829" t="inlineStr">
        <is>
          <t>TINGSRYD</t>
        </is>
      </c>
      <c r="G5829" t="n">
        <v>12.4</v>
      </c>
      <c r="H5829" t="n">
        <v>0</v>
      </c>
      <c r="I5829" t="n">
        <v>0</v>
      </c>
      <c r="J5829" t="n">
        <v>0</v>
      </c>
      <c r="K5829" t="n">
        <v>0</v>
      </c>
      <c r="L5829" t="n">
        <v>0</v>
      </c>
      <c r="M5829" t="n">
        <v>0</v>
      </c>
      <c r="N5829" t="n">
        <v>0</v>
      </c>
      <c r="O5829" t="n">
        <v>0</v>
      </c>
      <c r="P5829" t="n">
        <v>0</v>
      </c>
      <c r="Q5829" t="n">
        <v>0</v>
      </c>
      <c r="R5829" s="2" t="inlineStr"/>
    </row>
    <row r="5830" ht="15" customHeight="1">
      <c r="A5830" t="inlineStr">
        <is>
          <t>A 59492-2022</t>
        </is>
      </c>
      <c r="B5830" s="1" t="n">
        <v>44907.46900462963</v>
      </c>
      <c r="C5830" s="1" t="n">
        <v>46103</v>
      </c>
      <c r="D5830" t="inlineStr">
        <is>
          <t>KRONOBERGS LÄN</t>
        </is>
      </c>
      <c r="E5830" t="inlineStr">
        <is>
          <t>ALVESTA</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33114-2023</t>
        </is>
      </c>
      <c r="B5831" s="1" t="n">
        <v>45126</v>
      </c>
      <c r="C5831" s="1" t="n">
        <v>46103</v>
      </c>
      <c r="D5831" t="inlineStr">
        <is>
          <t>KRONOBERGS LÄN</t>
        </is>
      </c>
      <c r="E5831" t="inlineStr">
        <is>
          <t>LJUNGBY</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35797-2024</t>
        </is>
      </c>
      <c r="B5832" s="1" t="n">
        <v>45532.63335648148</v>
      </c>
      <c r="C5832" s="1" t="n">
        <v>46103</v>
      </c>
      <c r="D5832" t="inlineStr">
        <is>
          <t>KRONOBERGS LÄN</t>
        </is>
      </c>
      <c r="E5832" t="inlineStr">
        <is>
          <t>MARKARYD</t>
        </is>
      </c>
      <c r="G5832" t="n">
        <v>4.9</v>
      </c>
      <c r="H5832" t="n">
        <v>0</v>
      </c>
      <c r="I5832" t="n">
        <v>0</v>
      </c>
      <c r="J5832" t="n">
        <v>0</v>
      </c>
      <c r="K5832" t="n">
        <v>0</v>
      </c>
      <c r="L5832" t="n">
        <v>0</v>
      </c>
      <c r="M5832" t="n">
        <v>0</v>
      </c>
      <c r="N5832" t="n">
        <v>0</v>
      </c>
      <c r="O5832" t="n">
        <v>0</v>
      </c>
      <c r="P5832" t="n">
        <v>0</v>
      </c>
      <c r="Q5832" t="n">
        <v>0</v>
      </c>
      <c r="R5832" s="2" t="inlineStr"/>
    </row>
    <row r="5833" ht="15" customHeight="1">
      <c r="A5833" t="inlineStr">
        <is>
          <t>A 35902-2024</t>
        </is>
      </c>
      <c r="B5833" s="1" t="n">
        <v>45533.40498842593</v>
      </c>
      <c r="C5833" s="1" t="n">
        <v>46103</v>
      </c>
      <c r="D5833" t="inlineStr">
        <is>
          <t>KRONOBERGS LÄN</t>
        </is>
      </c>
      <c r="E5833" t="inlineStr">
        <is>
          <t>VÄXJÖ</t>
        </is>
      </c>
      <c r="G5833" t="n">
        <v>6.4</v>
      </c>
      <c r="H5833" t="n">
        <v>0</v>
      </c>
      <c r="I5833" t="n">
        <v>0</v>
      </c>
      <c r="J5833" t="n">
        <v>0</v>
      </c>
      <c r="K5833" t="n">
        <v>0</v>
      </c>
      <c r="L5833" t="n">
        <v>0</v>
      </c>
      <c r="M5833" t="n">
        <v>0</v>
      </c>
      <c r="N5833" t="n">
        <v>0</v>
      </c>
      <c r="O5833" t="n">
        <v>0</v>
      </c>
      <c r="P5833" t="n">
        <v>0</v>
      </c>
      <c r="Q5833" t="n">
        <v>0</v>
      </c>
      <c r="R5833" s="2" t="inlineStr"/>
    </row>
    <row r="5834" ht="15" customHeight="1">
      <c r="A5834" t="inlineStr">
        <is>
          <t>A 37126-2023</t>
        </is>
      </c>
      <c r="B5834" s="1" t="n">
        <v>45155.56731481481</v>
      </c>
      <c r="C5834" s="1" t="n">
        <v>46103</v>
      </c>
      <c r="D5834" t="inlineStr">
        <is>
          <t>KRONOBERGS LÄN</t>
        </is>
      </c>
      <c r="E5834" t="inlineStr">
        <is>
          <t>TINGSRYD</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59250-2023</t>
        </is>
      </c>
      <c r="B5835" s="1" t="n">
        <v>45253.54356481481</v>
      </c>
      <c r="C5835" s="1" t="n">
        <v>46103</v>
      </c>
      <c r="D5835" t="inlineStr">
        <is>
          <t>KRONOBERGS LÄN</t>
        </is>
      </c>
      <c r="E5835" t="inlineStr">
        <is>
          <t>LJUNGBY</t>
        </is>
      </c>
      <c r="G5835" t="n">
        <v>0.4</v>
      </c>
      <c r="H5835" t="n">
        <v>0</v>
      </c>
      <c r="I5835" t="n">
        <v>0</v>
      </c>
      <c r="J5835" t="n">
        <v>0</v>
      </c>
      <c r="K5835" t="n">
        <v>0</v>
      </c>
      <c r="L5835" t="n">
        <v>0</v>
      </c>
      <c r="M5835" t="n">
        <v>0</v>
      </c>
      <c r="N5835" t="n">
        <v>0</v>
      </c>
      <c r="O5835" t="n">
        <v>0</v>
      </c>
      <c r="P5835" t="n">
        <v>0</v>
      </c>
      <c r="Q5835" t="n">
        <v>0</v>
      </c>
      <c r="R5835" s="2" t="inlineStr"/>
    </row>
    <row r="5836" ht="15" customHeight="1">
      <c r="A5836" t="inlineStr">
        <is>
          <t>A 10795-2024</t>
        </is>
      </c>
      <c r="B5836" s="1" t="n">
        <v>45369.61829861111</v>
      </c>
      <c r="C5836" s="1" t="n">
        <v>46103</v>
      </c>
      <c r="D5836" t="inlineStr">
        <is>
          <t>KRONOBERGS LÄN</t>
        </is>
      </c>
      <c r="E5836" t="inlineStr">
        <is>
          <t>VÄXJÖ</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37721-2022</t>
        </is>
      </c>
      <c r="B5837" s="1" t="n">
        <v>44810.56070601852</v>
      </c>
      <c r="C5837" s="1" t="n">
        <v>46103</v>
      </c>
      <c r="D5837" t="inlineStr">
        <is>
          <t>KRONOBERGS LÄN</t>
        </is>
      </c>
      <c r="E5837" t="inlineStr">
        <is>
          <t>LJUNGBY</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62320-2022</t>
        </is>
      </c>
      <c r="B5838" s="1" t="n">
        <v>44923</v>
      </c>
      <c r="C5838" s="1" t="n">
        <v>46103</v>
      </c>
      <c r="D5838" t="inlineStr">
        <is>
          <t>KRONOBERGS LÄN</t>
        </is>
      </c>
      <c r="E5838" t="inlineStr">
        <is>
          <t>UPPVIDINGE</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62366-2022</t>
        </is>
      </c>
      <c r="B5839" s="1" t="n">
        <v>44923.65486111111</v>
      </c>
      <c r="C5839" s="1" t="n">
        <v>46103</v>
      </c>
      <c r="D5839" t="inlineStr">
        <is>
          <t>KRONOBERGS LÄN</t>
        </is>
      </c>
      <c r="E5839" t="inlineStr">
        <is>
          <t>LJUNGBY</t>
        </is>
      </c>
      <c r="G5839" t="n">
        <v>0</v>
      </c>
      <c r="H5839" t="n">
        <v>0</v>
      </c>
      <c r="I5839" t="n">
        <v>0</v>
      </c>
      <c r="J5839" t="n">
        <v>0</v>
      </c>
      <c r="K5839" t="n">
        <v>0</v>
      </c>
      <c r="L5839" t="n">
        <v>0</v>
      </c>
      <c r="M5839" t="n">
        <v>0</v>
      </c>
      <c r="N5839" t="n">
        <v>0</v>
      </c>
      <c r="O5839" t="n">
        <v>0</v>
      </c>
      <c r="P5839" t="n">
        <v>0</v>
      </c>
      <c r="Q5839" t="n">
        <v>0</v>
      </c>
      <c r="R5839" s="2" t="inlineStr"/>
    </row>
    <row r="5840" ht="15" customHeight="1">
      <c r="A5840" t="inlineStr">
        <is>
          <t>A 30678-2023</t>
        </is>
      </c>
      <c r="B5840" s="1" t="n">
        <v>45112.54576388889</v>
      </c>
      <c r="C5840" s="1" t="n">
        <v>46103</v>
      </c>
      <c r="D5840" t="inlineStr">
        <is>
          <t>KRONOBERGS LÄN</t>
        </is>
      </c>
      <c r="E5840" t="inlineStr">
        <is>
          <t>TINGSRYD</t>
        </is>
      </c>
      <c r="G5840" t="n">
        <v>4.5</v>
      </c>
      <c r="H5840" t="n">
        <v>0</v>
      </c>
      <c r="I5840" t="n">
        <v>0</v>
      </c>
      <c r="J5840" t="n">
        <v>0</v>
      </c>
      <c r="K5840" t="n">
        <v>0</v>
      </c>
      <c r="L5840" t="n">
        <v>0</v>
      </c>
      <c r="M5840" t="n">
        <v>0</v>
      </c>
      <c r="N5840" t="n">
        <v>0</v>
      </c>
      <c r="O5840" t="n">
        <v>0</v>
      </c>
      <c r="P5840" t="n">
        <v>0</v>
      </c>
      <c r="Q5840" t="n">
        <v>0</v>
      </c>
      <c r="R5840" s="2" t="inlineStr"/>
    </row>
    <row r="5841" ht="15" customHeight="1">
      <c r="A5841" t="inlineStr">
        <is>
          <t>A 33279-2023</t>
        </is>
      </c>
      <c r="B5841" s="1" t="n">
        <v>45127.60962962963</v>
      </c>
      <c r="C5841" s="1" t="n">
        <v>46103</v>
      </c>
      <c r="D5841" t="inlineStr">
        <is>
          <t>KRONOBERGS LÄN</t>
        </is>
      </c>
      <c r="E5841" t="inlineStr">
        <is>
          <t>VÄXJÖ</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33283-2023</t>
        </is>
      </c>
      <c r="B5842" s="1" t="n">
        <v>45127.61971064815</v>
      </c>
      <c r="C5842" s="1" t="n">
        <v>46103</v>
      </c>
      <c r="D5842" t="inlineStr">
        <is>
          <t>KRONOBERGS LÄN</t>
        </is>
      </c>
      <c r="E5842" t="inlineStr">
        <is>
          <t>VÄXJÖ</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21546-2023</t>
        </is>
      </c>
      <c r="B5843" s="1" t="n">
        <v>45063.56233796296</v>
      </c>
      <c r="C5843" s="1" t="n">
        <v>46103</v>
      </c>
      <c r="D5843" t="inlineStr">
        <is>
          <t>KRONOBERGS LÄN</t>
        </is>
      </c>
      <c r="E5843" t="inlineStr">
        <is>
          <t>LESSEBO</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42411-2023</t>
        </is>
      </c>
      <c r="B5844" s="1" t="n">
        <v>45180</v>
      </c>
      <c r="C5844" s="1" t="n">
        <v>46103</v>
      </c>
      <c r="D5844" t="inlineStr">
        <is>
          <t>KRONOBERGS LÄN</t>
        </is>
      </c>
      <c r="E5844" t="inlineStr">
        <is>
          <t>ALVESTA</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15864-2022</t>
        </is>
      </c>
      <c r="B5845" s="1" t="n">
        <v>44664.45688657407</v>
      </c>
      <c r="C5845" s="1" t="n">
        <v>46103</v>
      </c>
      <c r="D5845" t="inlineStr">
        <is>
          <t>KRONOBERGS LÄN</t>
        </is>
      </c>
      <c r="E5845" t="inlineStr">
        <is>
          <t>LESSEBO</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28445-2023</t>
        </is>
      </c>
      <c r="B5846" s="1" t="n">
        <v>45103</v>
      </c>
      <c r="C5846" s="1" t="n">
        <v>46103</v>
      </c>
      <c r="D5846" t="inlineStr">
        <is>
          <t>KRONOBERGS LÄN</t>
        </is>
      </c>
      <c r="E5846" t="inlineStr">
        <is>
          <t>UPPVIDINGE</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61100-2023</t>
        </is>
      </c>
      <c r="B5847" s="1" t="n">
        <v>45261</v>
      </c>
      <c r="C5847" s="1" t="n">
        <v>46103</v>
      </c>
      <c r="D5847" t="inlineStr">
        <is>
          <t>KRONOBERGS LÄN</t>
        </is>
      </c>
      <c r="E5847" t="inlineStr">
        <is>
          <t>UPPVIDINGE</t>
        </is>
      </c>
      <c r="F5847" t="inlineStr">
        <is>
          <t>Sveaskog</t>
        </is>
      </c>
      <c r="G5847" t="n">
        <v>5.7</v>
      </c>
      <c r="H5847" t="n">
        <v>0</v>
      </c>
      <c r="I5847" t="n">
        <v>0</v>
      </c>
      <c r="J5847" t="n">
        <v>0</v>
      </c>
      <c r="K5847" t="n">
        <v>0</v>
      </c>
      <c r="L5847" t="n">
        <v>0</v>
      </c>
      <c r="M5847" t="n">
        <v>0</v>
      </c>
      <c r="N5847" t="n">
        <v>0</v>
      </c>
      <c r="O5847" t="n">
        <v>0</v>
      </c>
      <c r="P5847" t="n">
        <v>0</v>
      </c>
      <c r="Q5847" t="n">
        <v>0</v>
      </c>
      <c r="R5847" s="2" t="inlineStr"/>
    </row>
    <row r="5848" ht="15" customHeight="1">
      <c r="A5848" t="inlineStr">
        <is>
          <t>A 20480-2025</t>
        </is>
      </c>
      <c r="B5848" s="1" t="n">
        <v>45775.55607638889</v>
      </c>
      <c r="C5848" s="1" t="n">
        <v>46103</v>
      </c>
      <c r="D5848" t="inlineStr">
        <is>
          <t>KRONOBERGS LÄN</t>
        </is>
      </c>
      <c r="E5848" t="inlineStr">
        <is>
          <t>LESSEBO</t>
        </is>
      </c>
      <c r="F5848" t="inlineStr">
        <is>
          <t>Sveaskog</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43757-2023</t>
        </is>
      </c>
      <c r="B5849" s="1" t="n">
        <v>45187.48282407408</v>
      </c>
      <c r="C5849" s="1" t="n">
        <v>46103</v>
      </c>
      <c r="D5849" t="inlineStr">
        <is>
          <t>KRONOBERGS LÄN</t>
        </is>
      </c>
      <c r="E5849" t="inlineStr">
        <is>
          <t>LJUNGBY</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11438-2024</t>
        </is>
      </c>
      <c r="B5850" s="1" t="n">
        <v>45372</v>
      </c>
      <c r="C5850" s="1" t="n">
        <v>46103</v>
      </c>
      <c r="D5850" t="inlineStr">
        <is>
          <t>KRONOBERGS LÄN</t>
        </is>
      </c>
      <c r="E5850" t="inlineStr">
        <is>
          <t>VÄXJÖ</t>
        </is>
      </c>
      <c r="G5850" t="n">
        <v>7.3</v>
      </c>
      <c r="H5850" t="n">
        <v>0</v>
      </c>
      <c r="I5850" t="n">
        <v>0</v>
      </c>
      <c r="J5850" t="n">
        <v>0</v>
      </c>
      <c r="K5850" t="n">
        <v>0</v>
      </c>
      <c r="L5850" t="n">
        <v>0</v>
      </c>
      <c r="M5850" t="n">
        <v>0</v>
      </c>
      <c r="N5850" t="n">
        <v>0</v>
      </c>
      <c r="O5850" t="n">
        <v>0</v>
      </c>
      <c r="P5850" t="n">
        <v>0</v>
      </c>
      <c r="Q5850" t="n">
        <v>0</v>
      </c>
      <c r="R5850" s="2" t="inlineStr"/>
    </row>
    <row r="5851" ht="15" customHeight="1">
      <c r="A5851" t="inlineStr">
        <is>
          <t>A 51394-2023</t>
        </is>
      </c>
      <c r="B5851" s="1" t="n">
        <v>45219</v>
      </c>
      <c r="C5851" s="1" t="n">
        <v>46103</v>
      </c>
      <c r="D5851" t="inlineStr">
        <is>
          <t>KRONOBERGS LÄN</t>
        </is>
      </c>
      <c r="E5851" t="inlineStr">
        <is>
          <t>VÄXJÖ</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49017-2024</t>
        </is>
      </c>
      <c r="B5852" s="1" t="n">
        <v>45594.50804398148</v>
      </c>
      <c r="C5852" s="1" t="n">
        <v>46103</v>
      </c>
      <c r="D5852" t="inlineStr">
        <is>
          <t>KRONOBERGS LÄN</t>
        </is>
      </c>
      <c r="E5852" t="inlineStr">
        <is>
          <t>VÄXJÖ</t>
        </is>
      </c>
      <c r="F5852" t="inlineStr">
        <is>
          <t>Sveaskog</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49021-2024</t>
        </is>
      </c>
      <c r="B5853" s="1" t="n">
        <v>45594.5128587963</v>
      </c>
      <c r="C5853" s="1" t="n">
        <v>46103</v>
      </c>
      <c r="D5853" t="inlineStr">
        <is>
          <t>KRONOBERGS LÄN</t>
        </is>
      </c>
      <c r="E5853" t="inlineStr">
        <is>
          <t>VÄXJÖ</t>
        </is>
      </c>
      <c r="F5853" t="inlineStr">
        <is>
          <t>Sveaskog</t>
        </is>
      </c>
      <c r="G5853" t="n">
        <v>3.6</v>
      </c>
      <c r="H5853" t="n">
        <v>0</v>
      </c>
      <c r="I5853" t="n">
        <v>0</v>
      </c>
      <c r="J5853" t="n">
        <v>0</v>
      </c>
      <c r="K5853" t="n">
        <v>0</v>
      </c>
      <c r="L5853" t="n">
        <v>0</v>
      </c>
      <c r="M5853" t="n">
        <v>0</v>
      </c>
      <c r="N5853" t="n">
        <v>0</v>
      </c>
      <c r="O5853" t="n">
        <v>0</v>
      </c>
      <c r="P5853" t="n">
        <v>0</v>
      </c>
      <c r="Q5853" t="n">
        <v>0</v>
      </c>
      <c r="R5853" s="2" t="inlineStr"/>
    </row>
    <row r="5854" ht="15" customHeight="1">
      <c r="A5854" t="inlineStr">
        <is>
          <t>A 23319-2023</t>
        </is>
      </c>
      <c r="B5854" s="1" t="n">
        <v>45076.30560185185</v>
      </c>
      <c r="C5854" s="1" t="n">
        <v>46103</v>
      </c>
      <c r="D5854" t="inlineStr">
        <is>
          <t>KRONOBERGS LÄN</t>
        </is>
      </c>
      <c r="E5854" t="inlineStr">
        <is>
          <t>LJUNGBY</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18823-2022</t>
        </is>
      </c>
      <c r="B5855" s="1" t="n">
        <v>44690.40230324074</v>
      </c>
      <c r="C5855" s="1" t="n">
        <v>46103</v>
      </c>
      <c r="D5855" t="inlineStr">
        <is>
          <t>KRONOBERGS LÄN</t>
        </is>
      </c>
      <c r="E5855" t="inlineStr">
        <is>
          <t>VÄXJÖ</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56853-2023</t>
        </is>
      </c>
      <c r="B5856" s="1" t="n">
        <v>45244.49783564815</v>
      </c>
      <c r="C5856" s="1" t="n">
        <v>46103</v>
      </c>
      <c r="D5856" t="inlineStr">
        <is>
          <t>KRONOBERGS LÄN</t>
        </is>
      </c>
      <c r="E5856" t="inlineStr">
        <is>
          <t>ÄLMHULT</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34209-2024</t>
        </is>
      </c>
      <c r="B5857" s="1" t="n">
        <v>45524.49138888889</v>
      </c>
      <c r="C5857" s="1" t="n">
        <v>46103</v>
      </c>
      <c r="D5857" t="inlineStr">
        <is>
          <t>KRONOBERGS LÄN</t>
        </is>
      </c>
      <c r="E5857" t="inlineStr">
        <is>
          <t>LJUNGBY</t>
        </is>
      </c>
      <c r="G5857" t="n">
        <v>12.1</v>
      </c>
      <c r="H5857" t="n">
        <v>0</v>
      </c>
      <c r="I5857" t="n">
        <v>0</v>
      </c>
      <c r="J5857" t="n">
        <v>0</v>
      </c>
      <c r="K5857" t="n">
        <v>0</v>
      </c>
      <c r="L5857" t="n">
        <v>0</v>
      </c>
      <c r="M5857" t="n">
        <v>0</v>
      </c>
      <c r="N5857" t="n">
        <v>0</v>
      </c>
      <c r="O5857" t="n">
        <v>0</v>
      </c>
      <c r="P5857" t="n">
        <v>0</v>
      </c>
      <c r="Q5857" t="n">
        <v>0</v>
      </c>
      <c r="R5857" s="2" t="inlineStr"/>
    </row>
    <row r="5858" ht="15" customHeight="1">
      <c r="A5858" t="inlineStr">
        <is>
          <t>A 57750-2023</t>
        </is>
      </c>
      <c r="B5858" s="1" t="n">
        <v>45246.77350694445</v>
      </c>
      <c r="C5858" s="1" t="n">
        <v>46103</v>
      </c>
      <c r="D5858" t="inlineStr">
        <is>
          <t>KRONOBERGS LÄN</t>
        </is>
      </c>
      <c r="E5858" t="inlineStr">
        <is>
          <t>LJUNGBY</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4557-2025</t>
        </is>
      </c>
      <c r="B5859" s="1" t="n">
        <v>45687.4494675926</v>
      </c>
      <c r="C5859" s="1" t="n">
        <v>46103</v>
      </c>
      <c r="D5859" t="inlineStr">
        <is>
          <t>KRONOBERGS LÄN</t>
        </is>
      </c>
      <c r="E5859" t="inlineStr">
        <is>
          <t>MARKARYD</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4577-2025</t>
        </is>
      </c>
      <c r="B5860" s="1" t="n">
        <v>45687.49402777778</v>
      </c>
      <c r="C5860" s="1" t="n">
        <v>46103</v>
      </c>
      <c r="D5860" t="inlineStr">
        <is>
          <t>KRONOBERGS LÄN</t>
        </is>
      </c>
      <c r="E5860" t="inlineStr">
        <is>
          <t>ÄLMHULT</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49078-2023</t>
        </is>
      </c>
      <c r="B5861" s="1" t="n">
        <v>45210.37579861111</v>
      </c>
      <c r="C5861" s="1" t="n">
        <v>46103</v>
      </c>
      <c r="D5861" t="inlineStr">
        <is>
          <t>KRONOBERGS LÄN</t>
        </is>
      </c>
      <c r="E5861" t="inlineStr">
        <is>
          <t>ALVESTA</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12981-2024</t>
        </is>
      </c>
      <c r="B5862" s="1" t="n">
        <v>45385</v>
      </c>
      <c r="C5862" s="1" t="n">
        <v>46103</v>
      </c>
      <c r="D5862" t="inlineStr">
        <is>
          <t>KRONOBERGS LÄN</t>
        </is>
      </c>
      <c r="E5862" t="inlineStr">
        <is>
          <t>ALVESTA</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5616-2023</t>
        </is>
      </c>
      <c r="B5863" s="1" t="n">
        <v>44960.56908564815</v>
      </c>
      <c r="C5863" s="1" t="n">
        <v>46103</v>
      </c>
      <c r="D5863" t="inlineStr">
        <is>
          <t>KRONOBERGS LÄN</t>
        </is>
      </c>
      <c r="E5863" t="inlineStr">
        <is>
          <t>TINGSRYD</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9244-2024</t>
        </is>
      </c>
      <c r="B5864" s="1" t="n">
        <v>45358</v>
      </c>
      <c r="C5864" s="1" t="n">
        <v>46103</v>
      </c>
      <c r="D5864" t="inlineStr">
        <is>
          <t>KRONOBERGS LÄN</t>
        </is>
      </c>
      <c r="E5864" t="inlineStr">
        <is>
          <t>ALVESTA</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9791-2022</t>
        </is>
      </c>
      <c r="B5865" s="1" t="n">
        <v>44620.35722222222</v>
      </c>
      <c r="C5865" s="1" t="n">
        <v>46103</v>
      </c>
      <c r="D5865" t="inlineStr">
        <is>
          <t>KRONOBERGS LÄN</t>
        </is>
      </c>
      <c r="E5865" t="inlineStr">
        <is>
          <t>TINGSRYD</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41421-2021</t>
        </is>
      </c>
      <c r="B5866" s="1" t="n">
        <v>44424</v>
      </c>
      <c r="C5866" s="1" t="n">
        <v>46103</v>
      </c>
      <c r="D5866" t="inlineStr">
        <is>
          <t>KRONOBERGS LÄN</t>
        </is>
      </c>
      <c r="E5866" t="inlineStr">
        <is>
          <t>LJUNGBY</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41144-2024</t>
        </is>
      </c>
      <c r="B5867" s="1" t="n">
        <v>45559</v>
      </c>
      <c r="C5867" s="1" t="n">
        <v>46103</v>
      </c>
      <c r="D5867" t="inlineStr">
        <is>
          <t>KRONOBERGS LÄN</t>
        </is>
      </c>
      <c r="E5867" t="inlineStr">
        <is>
          <t>TINGSRYD</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48282-2022</t>
        </is>
      </c>
      <c r="B5868" s="1" t="n">
        <v>44858</v>
      </c>
      <c r="C5868" s="1" t="n">
        <v>46103</v>
      </c>
      <c r="D5868" t="inlineStr">
        <is>
          <t>KRONOBERGS LÄN</t>
        </is>
      </c>
      <c r="E5868" t="inlineStr">
        <is>
          <t>ÄLMHULT</t>
        </is>
      </c>
      <c r="G5868" t="n">
        <v>14.2</v>
      </c>
      <c r="H5868" t="n">
        <v>0</v>
      </c>
      <c r="I5868" t="n">
        <v>0</v>
      </c>
      <c r="J5868" t="n">
        <v>0</v>
      </c>
      <c r="K5868" t="n">
        <v>0</v>
      </c>
      <c r="L5868" t="n">
        <v>0</v>
      </c>
      <c r="M5868" t="n">
        <v>0</v>
      </c>
      <c r="N5868" t="n">
        <v>0</v>
      </c>
      <c r="O5868" t="n">
        <v>0</v>
      </c>
      <c r="P5868" t="n">
        <v>0</v>
      </c>
      <c r="Q5868" t="n">
        <v>0</v>
      </c>
      <c r="R5868" s="2" t="inlineStr"/>
    </row>
    <row r="5869" ht="15" customHeight="1">
      <c r="A5869" t="inlineStr">
        <is>
          <t>A 50715-2022</t>
        </is>
      </c>
      <c r="B5869" s="1" t="n">
        <v>44867</v>
      </c>
      <c r="C5869" s="1" t="n">
        <v>46103</v>
      </c>
      <c r="D5869" t="inlineStr">
        <is>
          <t>KRONOBERGS LÄN</t>
        </is>
      </c>
      <c r="E5869" t="inlineStr">
        <is>
          <t>TINGSRYD</t>
        </is>
      </c>
      <c r="G5869" t="n">
        <v>3.6</v>
      </c>
      <c r="H5869" t="n">
        <v>0</v>
      </c>
      <c r="I5869" t="n">
        <v>0</v>
      </c>
      <c r="J5869" t="n">
        <v>0</v>
      </c>
      <c r="K5869" t="n">
        <v>0</v>
      </c>
      <c r="L5869" t="n">
        <v>0</v>
      </c>
      <c r="M5869" t="n">
        <v>0</v>
      </c>
      <c r="N5869" t="n">
        <v>0</v>
      </c>
      <c r="O5869" t="n">
        <v>0</v>
      </c>
      <c r="P5869" t="n">
        <v>0</v>
      </c>
      <c r="Q5869" t="n">
        <v>0</v>
      </c>
      <c r="R5869" s="2" t="inlineStr"/>
    </row>
    <row r="5870" ht="15" customHeight="1">
      <c r="A5870" t="inlineStr">
        <is>
          <t>A 44234-2023</t>
        </is>
      </c>
      <c r="B5870" s="1" t="n">
        <v>45188</v>
      </c>
      <c r="C5870" s="1" t="n">
        <v>46103</v>
      </c>
      <c r="D5870" t="inlineStr">
        <is>
          <t>KRONOBERGS LÄN</t>
        </is>
      </c>
      <c r="E5870" t="inlineStr">
        <is>
          <t>TINGSRYD</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28323-2023</t>
        </is>
      </c>
      <c r="B5871" s="1" t="n">
        <v>45099</v>
      </c>
      <c r="C5871" s="1" t="n">
        <v>46103</v>
      </c>
      <c r="D5871" t="inlineStr">
        <is>
          <t>KRONOBERGS LÄN</t>
        </is>
      </c>
      <c r="E5871" t="inlineStr">
        <is>
          <t>LJUNGBY</t>
        </is>
      </c>
      <c r="G5871" t="n">
        <v>5.9</v>
      </c>
      <c r="H5871" t="n">
        <v>0</v>
      </c>
      <c r="I5871" t="n">
        <v>0</v>
      </c>
      <c r="J5871" t="n">
        <v>0</v>
      </c>
      <c r="K5871" t="n">
        <v>0</v>
      </c>
      <c r="L5871" t="n">
        <v>0</v>
      </c>
      <c r="M5871" t="n">
        <v>0</v>
      </c>
      <c r="N5871" t="n">
        <v>0</v>
      </c>
      <c r="O5871" t="n">
        <v>0</v>
      </c>
      <c r="P5871" t="n">
        <v>0</v>
      </c>
      <c r="Q5871" t="n">
        <v>0</v>
      </c>
      <c r="R5871" s="2" t="inlineStr"/>
    </row>
    <row r="5872" ht="15" customHeight="1">
      <c r="A5872" t="inlineStr">
        <is>
          <t>A 13015-2024</t>
        </is>
      </c>
      <c r="B5872" s="1" t="n">
        <v>45385</v>
      </c>
      <c r="C5872" s="1" t="n">
        <v>46103</v>
      </c>
      <c r="D5872" t="inlineStr">
        <is>
          <t>KRONOBERGS LÄN</t>
        </is>
      </c>
      <c r="E5872" t="inlineStr">
        <is>
          <t>VÄXJÖ</t>
        </is>
      </c>
      <c r="F5872" t="inlineStr">
        <is>
          <t>Sveaskog</t>
        </is>
      </c>
      <c r="G5872" t="n">
        <v>3.6</v>
      </c>
      <c r="H5872" t="n">
        <v>0</v>
      </c>
      <c r="I5872" t="n">
        <v>0</v>
      </c>
      <c r="J5872" t="n">
        <v>0</v>
      </c>
      <c r="K5872" t="n">
        <v>0</v>
      </c>
      <c r="L5872" t="n">
        <v>0</v>
      </c>
      <c r="M5872" t="n">
        <v>0</v>
      </c>
      <c r="N5872" t="n">
        <v>0</v>
      </c>
      <c r="O5872" t="n">
        <v>0</v>
      </c>
      <c r="P5872" t="n">
        <v>0</v>
      </c>
      <c r="Q5872" t="n">
        <v>0</v>
      </c>
      <c r="R5872" s="2" t="inlineStr"/>
    </row>
    <row r="5873" ht="15" customHeight="1">
      <c r="A5873" t="inlineStr">
        <is>
          <t>A 10997-2022</t>
        </is>
      </c>
      <c r="B5873" s="1" t="n">
        <v>44628.47715277778</v>
      </c>
      <c r="C5873" s="1" t="n">
        <v>46103</v>
      </c>
      <c r="D5873" t="inlineStr">
        <is>
          <t>KRONOBERGS LÄN</t>
        </is>
      </c>
      <c r="E5873" t="inlineStr">
        <is>
          <t>LJUNGBY</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7299-2025</t>
        </is>
      </c>
      <c r="B5874" s="1" t="n">
        <v>45702.65407407407</v>
      </c>
      <c r="C5874" s="1" t="n">
        <v>46103</v>
      </c>
      <c r="D5874" t="inlineStr">
        <is>
          <t>KRONOBERGS LÄN</t>
        </is>
      </c>
      <c r="E5874" t="inlineStr">
        <is>
          <t>VÄXJÖ</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37064-2024</t>
        </is>
      </c>
      <c r="B5875" s="1" t="n">
        <v>45539.46086805555</v>
      </c>
      <c r="C5875" s="1" t="n">
        <v>46103</v>
      </c>
      <c r="D5875" t="inlineStr">
        <is>
          <t>KRONOBERGS LÄN</t>
        </is>
      </c>
      <c r="E5875" t="inlineStr">
        <is>
          <t>ÄLMHULT</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10932-2024</t>
        </is>
      </c>
      <c r="B5876" s="1" t="n">
        <v>45370.43637731481</v>
      </c>
      <c r="C5876" s="1" t="n">
        <v>46103</v>
      </c>
      <c r="D5876" t="inlineStr">
        <is>
          <t>KRONOBERGS LÄN</t>
        </is>
      </c>
      <c r="E5876" t="inlineStr">
        <is>
          <t>TINGSRYD</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47918-2023</t>
        </is>
      </c>
      <c r="B5877" s="1" t="n">
        <v>45204</v>
      </c>
      <c r="C5877" s="1" t="n">
        <v>46103</v>
      </c>
      <c r="D5877" t="inlineStr">
        <is>
          <t>KRONOBERGS LÄN</t>
        </is>
      </c>
      <c r="E5877" t="inlineStr">
        <is>
          <t>UPPVIDINGE</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12704-2023</t>
        </is>
      </c>
      <c r="B5878" s="1" t="n">
        <v>45000</v>
      </c>
      <c r="C5878" s="1" t="n">
        <v>46103</v>
      </c>
      <c r="D5878" t="inlineStr">
        <is>
          <t>KRONOBERGS LÄN</t>
        </is>
      </c>
      <c r="E5878" t="inlineStr">
        <is>
          <t>VÄXJÖ</t>
        </is>
      </c>
      <c r="G5878" t="n">
        <v>3</v>
      </c>
      <c r="H5878" t="n">
        <v>0</v>
      </c>
      <c r="I5878" t="n">
        <v>0</v>
      </c>
      <c r="J5878" t="n">
        <v>0</v>
      </c>
      <c r="K5878" t="n">
        <v>0</v>
      </c>
      <c r="L5878" t="n">
        <v>0</v>
      </c>
      <c r="M5878" t="n">
        <v>0</v>
      </c>
      <c r="N5878" t="n">
        <v>0</v>
      </c>
      <c r="O5878" t="n">
        <v>0</v>
      </c>
      <c r="P5878" t="n">
        <v>0</v>
      </c>
      <c r="Q5878" t="n">
        <v>0</v>
      </c>
      <c r="R5878" s="2" t="inlineStr"/>
    </row>
    <row r="5879" ht="15" customHeight="1">
      <c r="A5879" t="inlineStr">
        <is>
          <t>A 22221-2024</t>
        </is>
      </c>
      <c r="B5879" s="1" t="n">
        <v>45446.40025462963</v>
      </c>
      <c r="C5879" s="1" t="n">
        <v>46103</v>
      </c>
      <c r="D5879" t="inlineStr">
        <is>
          <t>KRONOBERGS LÄN</t>
        </is>
      </c>
      <c r="E5879" t="inlineStr">
        <is>
          <t>VÄXJÖ</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6323-2024</t>
        </is>
      </c>
      <c r="B5880" s="1" t="n">
        <v>45338</v>
      </c>
      <c r="C5880" s="1" t="n">
        <v>46103</v>
      </c>
      <c r="D5880" t="inlineStr">
        <is>
          <t>KRONOBERGS LÄN</t>
        </is>
      </c>
      <c r="E5880" t="inlineStr">
        <is>
          <t>UPPVIDINGE</t>
        </is>
      </c>
      <c r="F5880" t="inlineStr">
        <is>
          <t>Sveaskog</t>
        </is>
      </c>
      <c r="G5880" t="n">
        <v>4.5</v>
      </c>
      <c r="H5880" t="n">
        <v>0</v>
      </c>
      <c r="I5880" t="n">
        <v>0</v>
      </c>
      <c r="J5880" t="n">
        <v>0</v>
      </c>
      <c r="K5880" t="n">
        <v>0</v>
      </c>
      <c r="L5880" t="n">
        <v>0</v>
      </c>
      <c r="M5880" t="n">
        <v>0</v>
      </c>
      <c r="N5880" t="n">
        <v>0</v>
      </c>
      <c r="O5880" t="n">
        <v>0</v>
      </c>
      <c r="P5880" t="n">
        <v>0</v>
      </c>
      <c r="Q5880" t="n">
        <v>0</v>
      </c>
      <c r="R5880" s="2" t="inlineStr"/>
    </row>
    <row r="5881" ht="15" customHeight="1">
      <c r="A5881" t="inlineStr">
        <is>
          <t>A 32072-2023</t>
        </is>
      </c>
      <c r="B5881" s="1" t="n">
        <v>45119.57798611111</v>
      </c>
      <c r="C5881" s="1" t="n">
        <v>46103</v>
      </c>
      <c r="D5881" t="inlineStr">
        <is>
          <t>KRONOBERGS LÄN</t>
        </is>
      </c>
      <c r="E5881" t="inlineStr">
        <is>
          <t>LJUNGBY</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48268-2022</t>
        </is>
      </c>
      <c r="B5882" s="1" t="n">
        <v>44858</v>
      </c>
      <c r="C5882" s="1" t="n">
        <v>46103</v>
      </c>
      <c r="D5882" t="inlineStr">
        <is>
          <t>KRONOBERGS LÄN</t>
        </is>
      </c>
      <c r="E5882" t="inlineStr">
        <is>
          <t>VÄXJÖ</t>
        </is>
      </c>
      <c r="G5882" t="n">
        <v>3.7</v>
      </c>
      <c r="H5882" t="n">
        <v>0</v>
      </c>
      <c r="I5882" t="n">
        <v>0</v>
      </c>
      <c r="J5882" t="n">
        <v>0</v>
      </c>
      <c r="K5882" t="n">
        <v>0</v>
      </c>
      <c r="L5882" t="n">
        <v>0</v>
      </c>
      <c r="M5882" t="n">
        <v>0</v>
      </c>
      <c r="N5882" t="n">
        <v>0</v>
      </c>
      <c r="O5882" t="n">
        <v>0</v>
      </c>
      <c r="P5882" t="n">
        <v>0</v>
      </c>
      <c r="Q5882" t="n">
        <v>0</v>
      </c>
      <c r="R5882" s="2" t="inlineStr"/>
    </row>
    <row r="5883" ht="15" customHeight="1">
      <c r="A5883" t="inlineStr">
        <is>
          <t>A 16954-2024</t>
        </is>
      </c>
      <c r="B5883" s="1" t="n">
        <v>45411.88930555555</v>
      </c>
      <c r="C5883" s="1" t="n">
        <v>46103</v>
      </c>
      <c r="D5883" t="inlineStr">
        <is>
          <t>KRONOBERGS LÄN</t>
        </is>
      </c>
      <c r="E5883" t="inlineStr">
        <is>
          <t>TINGSRYD</t>
        </is>
      </c>
      <c r="F5883" t="inlineStr">
        <is>
          <t>Sveaskog</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45386-2022</t>
        </is>
      </c>
      <c r="B5884" s="1" t="n">
        <v>44844.66922453704</v>
      </c>
      <c r="C5884" s="1" t="n">
        <v>46103</v>
      </c>
      <c r="D5884" t="inlineStr">
        <is>
          <t>KRONOBERGS LÄN</t>
        </is>
      </c>
      <c r="E5884" t="inlineStr">
        <is>
          <t>MARKARYD</t>
        </is>
      </c>
      <c r="F5884" t="inlineStr">
        <is>
          <t>Sveaskog</t>
        </is>
      </c>
      <c r="G5884" t="n">
        <v>3.7</v>
      </c>
      <c r="H5884" t="n">
        <v>0</v>
      </c>
      <c r="I5884" t="n">
        <v>0</v>
      </c>
      <c r="J5884" t="n">
        <v>0</v>
      </c>
      <c r="K5884" t="n">
        <v>0</v>
      </c>
      <c r="L5884" t="n">
        <v>0</v>
      </c>
      <c r="M5884" t="n">
        <v>0</v>
      </c>
      <c r="N5884" t="n">
        <v>0</v>
      </c>
      <c r="O5884" t="n">
        <v>0</v>
      </c>
      <c r="P5884" t="n">
        <v>0</v>
      </c>
      <c r="Q5884" t="n">
        <v>0</v>
      </c>
      <c r="R5884" s="2" t="inlineStr"/>
    </row>
    <row r="5885" ht="15" customHeight="1">
      <c r="A5885" t="inlineStr">
        <is>
          <t>A 45387-2022</t>
        </is>
      </c>
      <c r="B5885" s="1" t="n">
        <v>44844.67142361111</v>
      </c>
      <c r="C5885" s="1" t="n">
        <v>46103</v>
      </c>
      <c r="D5885" t="inlineStr">
        <is>
          <t>KRONOBERGS LÄN</t>
        </is>
      </c>
      <c r="E5885" t="inlineStr">
        <is>
          <t>UPPVIDINGE</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11215-2024</t>
        </is>
      </c>
      <c r="B5886" s="1" t="n">
        <v>45371.58354166667</v>
      </c>
      <c r="C5886" s="1" t="n">
        <v>46103</v>
      </c>
      <c r="D5886" t="inlineStr">
        <is>
          <t>KRONOBERGS LÄN</t>
        </is>
      </c>
      <c r="E5886" t="inlineStr">
        <is>
          <t>MARKARYD</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52332-2024</t>
        </is>
      </c>
      <c r="B5887" s="1" t="n">
        <v>45609.32234953704</v>
      </c>
      <c r="C5887" s="1" t="n">
        <v>46103</v>
      </c>
      <c r="D5887" t="inlineStr">
        <is>
          <t>KRONOBERGS LÄN</t>
        </is>
      </c>
      <c r="E5887" t="inlineStr">
        <is>
          <t>ÄLMHULT</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69444-2021</t>
        </is>
      </c>
      <c r="B5888" s="1" t="n">
        <v>44531</v>
      </c>
      <c r="C5888" s="1" t="n">
        <v>46103</v>
      </c>
      <c r="D5888" t="inlineStr">
        <is>
          <t>KRONOBERGS LÄN</t>
        </is>
      </c>
      <c r="E5888" t="inlineStr">
        <is>
          <t>ÄLMHULT</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16917-2023</t>
        </is>
      </c>
      <c r="B5889" s="1" t="n">
        <v>45033</v>
      </c>
      <c r="C5889" s="1" t="n">
        <v>46103</v>
      </c>
      <c r="D5889" t="inlineStr">
        <is>
          <t>KRONOBERGS LÄN</t>
        </is>
      </c>
      <c r="E5889" t="inlineStr">
        <is>
          <t>LJUNGBY</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10755-2023</t>
        </is>
      </c>
      <c r="B5890" s="1" t="n">
        <v>44988.85038194444</v>
      </c>
      <c r="C5890" s="1" t="n">
        <v>46103</v>
      </c>
      <c r="D5890" t="inlineStr">
        <is>
          <t>KRONOBERGS LÄN</t>
        </is>
      </c>
      <c r="E5890" t="inlineStr">
        <is>
          <t>LJUNGBY</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41126-2024</t>
        </is>
      </c>
      <c r="B5891" s="1" t="n">
        <v>45559</v>
      </c>
      <c r="C5891" s="1" t="n">
        <v>46103</v>
      </c>
      <c r="D5891" t="inlineStr">
        <is>
          <t>KRONOBERGS LÄN</t>
        </is>
      </c>
      <c r="E5891" t="inlineStr">
        <is>
          <t>TINGSRYD</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12877-2025</t>
        </is>
      </c>
      <c r="B5892" s="1" t="n">
        <v>45733.6841087963</v>
      </c>
      <c r="C5892" s="1" t="n">
        <v>46103</v>
      </c>
      <c r="D5892" t="inlineStr">
        <is>
          <t>KRONOBERGS LÄN</t>
        </is>
      </c>
      <c r="E5892" t="inlineStr">
        <is>
          <t>ÄLMHULT</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38712-2022</t>
        </is>
      </c>
      <c r="B5893" s="1" t="n">
        <v>44814.81546296296</v>
      </c>
      <c r="C5893" s="1" t="n">
        <v>46103</v>
      </c>
      <c r="D5893" t="inlineStr">
        <is>
          <t>KRONOBERGS LÄN</t>
        </is>
      </c>
      <c r="E5893" t="inlineStr">
        <is>
          <t>LESSEBO</t>
        </is>
      </c>
      <c r="G5893" t="n">
        <v>0.4</v>
      </c>
      <c r="H5893" t="n">
        <v>0</v>
      </c>
      <c r="I5893" t="n">
        <v>0</v>
      </c>
      <c r="J5893" t="n">
        <v>0</v>
      </c>
      <c r="K5893" t="n">
        <v>0</v>
      </c>
      <c r="L5893" t="n">
        <v>0</v>
      </c>
      <c r="M5893" t="n">
        <v>0</v>
      </c>
      <c r="N5893" t="n">
        <v>0</v>
      </c>
      <c r="O5893" t="n">
        <v>0</v>
      </c>
      <c r="P5893" t="n">
        <v>0</v>
      </c>
      <c r="Q5893" t="n">
        <v>0</v>
      </c>
      <c r="R5893" s="2" t="inlineStr"/>
    </row>
    <row r="5894" ht="15" customHeight="1">
      <c r="A5894" t="inlineStr">
        <is>
          <t>A 48237-2024</t>
        </is>
      </c>
      <c r="B5894" s="1" t="n">
        <v>45590.38761574074</v>
      </c>
      <c r="C5894" s="1" t="n">
        <v>46103</v>
      </c>
      <c r="D5894" t="inlineStr">
        <is>
          <t>KRONOBERGS LÄN</t>
        </is>
      </c>
      <c r="E5894" t="inlineStr">
        <is>
          <t>UPPVIDINGE</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48996-2024</t>
        </is>
      </c>
      <c r="B5895" s="1" t="n">
        <v>45594.49064814814</v>
      </c>
      <c r="C5895" s="1" t="n">
        <v>46103</v>
      </c>
      <c r="D5895" t="inlineStr">
        <is>
          <t>KRONOBERGS LÄN</t>
        </is>
      </c>
      <c r="E5895" t="inlineStr">
        <is>
          <t>VÄXJÖ</t>
        </is>
      </c>
      <c r="F5895" t="inlineStr">
        <is>
          <t>Sveaskog</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49002-2024</t>
        </is>
      </c>
      <c r="B5896" s="1" t="n">
        <v>45594.49494212963</v>
      </c>
      <c r="C5896" s="1" t="n">
        <v>46103</v>
      </c>
      <c r="D5896" t="inlineStr">
        <is>
          <t>KRONOBERGS LÄN</t>
        </is>
      </c>
      <c r="E5896" t="inlineStr">
        <is>
          <t>VÄXJÖ</t>
        </is>
      </c>
      <c r="F5896" t="inlineStr">
        <is>
          <t>Sveaskog</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49004-2024</t>
        </is>
      </c>
      <c r="B5897" s="1" t="n">
        <v>45594.49597222222</v>
      </c>
      <c r="C5897" s="1" t="n">
        <v>46103</v>
      </c>
      <c r="D5897" t="inlineStr">
        <is>
          <t>KRONOBERGS LÄN</t>
        </is>
      </c>
      <c r="E5897" t="inlineStr">
        <is>
          <t>VÄXJÖ</t>
        </is>
      </c>
      <c r="F5897" t="inlineStr">
        <is>
          <t>Sveaskog</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49007-2024</t>
        </is>
      </c>
      <c r="B5898" s="1" t="n">
        <v>45594.49865740741</v>
      </c>
      <c r="C5898" s="1" t="n">
        <v>46103</v>
      </c>
      <c r="D5898" t="inlineStr">
        <is>
          <t>KRONOBERGS LÄN</t>
        </is>
      </c>
      <c r="E5898" t="inlineStr">
        <is>
          <t>VÄXJÖ</t>
        </is>
      </c>
      <c r="F5898" t="inlineStr">
        <is>
          <t>Sveaskog</t>
        </is>
      </c>
      <c r="G5898" t="n">
        <v>0.4</v>
      </c>
      <c r="H5898" t="n">
        <v>0</v>
      </c>
      <c r="I5898" t="n">
        <v>0</v>
      </c>
      <c r="J5898" t="n">
        <v>0</v>
      </c>
      <c r="K5898" t="n">
        <v>0</v>
      </c>
      <c r="L5898" t="n">
        <v>0</v>
      </c>
      <c r="M5898" t="n">
        <v>0</v>
      </c>
      <c r="N5898" t="n">
        <v>0</v>
      </c>
      <c r="O5898" t="n">
        <v>0</v>
      </c>
      <c r="P5898" t="n">
        <v>0</v>
      </c>
      <c r="Q5898" t="n">
        <v>0</v>
      </c>
      <c r="R5898" s="2" t="inlineStr"/>
    </row>
    <row r="5899" ht="15" customHeight="1">
      <c r="A5899" t="inlineStr">
        <is>
          <t>A 49022-2024</t>
        </is>
      </c>
      <c r="B5899" s="1" t="n">
        <v>45594.51395833334</v>
      </c>
      <c r="C5899" s="1" t="n">
        <v>46103</v>
      </c>
      <c r="D5899" t="inlineStr">
        <is>
          <t>KRONOBERGS LÄN</t>
        </is>
      </c>
      <c r="E5899" t="inlineStr">
        <is>
          <t>VÄXJÖ</t>
        </is>
      </c>
      <c r="F5899" t="inlineStr">
        <is>
          <t>Sveaskog</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49025-2024</t>
        </is>
      </c>
      <c r="B5900" s="1" t="n">
        <v>45594.51512731481</v>
      </c>
      <c r="C5900" s="1" t="n">
        <v>46103</v>
      </c>
      <c r="D5900" t="inlineStr">
        <is>
          <t>KRONOBERGS LÄN</t>
        </is>
      </c>
      <c r="E5900" t="inlineStr">
        <is>
          <t>VÄXJÖ</t>
        </is>
      </c>
      <c r="F5900" t="inlineStr">
        <is>
          <t>Sveaskog</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1251-2024</t>
        </is>
      </c>
      <c r="B5901" s="1" t="n">
        <v>45302.78386574074</v>
      </c>
      <c r="C5901" s="1" t="n">
        <v>46103</v>
      </c>
      <c r="D5901" t="inlineStr">
        <is>
          <t>KRONOBERGS LÄN</t>
        </is>
      </c>
      <c r="E5901" t="inlineStr">
        <is>
          <t>VÄXJÖ</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1252-2024</t>
        </is>
      </c>
      <c r="B5902" s="1" t="n">
        <v>45302.78486111111</v>
      </c>
      <c r="C5902" s="1" t="n">
        <v>46103</v>
      </c>
      <c r="D5902" t="inlineStr">
        <is>
          <t>KRONOBERGS LÄN</t>
        </is>
      </c>
      <c r="E5902" t="inlineStr">
        <is>
          <t>VÄXJÖ</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5276-2023</t>
        </is>
      </c>
      <c r="B5903" s="1" t="n">
        <v>44959.48619212963</v>
      </c>
      <c r="C5903" s="1" t="n">
        <v>46103</v>
      </c>
      <c r="D5903" t="inlineStr">
        <is>
          <t>KRONOBERGS LÄN</t>
        </is>
      </c>
      <c r="E5903" t="inlineStr">
        <is>
          <t>VÄXJÖ</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53742-2023</t>
        </is>
      </c>
      <c r="B5904" s="1" t="n">
        <v>45230.83997685185</v>
      </c>
      <c r="C5904" s="1" t="n">
        <v>46103</v>
      </c>
      <c r="D5904" t="inlineStr">
        <is>
          <t>KRONOBERGS LÄN</t>
        </is>
      </c>
      <c r="E5904" t="inlineStr">
        <is>
          <t>MARKARYD</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4878-2024</t>
        </is>
      </c>
      <c r="B5905" s="1" t="n">
        <v>45329</v>
      </c>
      <c r="C5905" s="1" t="n">
        <v>46103</v>
      </c>
      <c r="D5905" t="inlineStr">
        <is>
          <t>KRONOBERGS LÄN</t>
        </is>
      </c>
      <c r="E5905" t="inlineStr">
        <is>
          <t>TINGSRYD</t>
        </is>
      </c>
      <c r="F5905" t="inlineStr">
        <is>
          <t>Kommuner</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16144-2024</t>
        </is>
      </c>
      <c r="B5906" s="1" t="n">
        <v>45406.56274305555</v>
      </c>
      <c r="C5906" s="1" t="n">
        <v>46103</v>
      </c>
      <c r="D5906" t="inlineStr">
        <is>
          <t>KRONOBERGS LÄN</t>
        </is>
      </c>
      <c r="E5906" t="inlineStr">
        <is>
          <t>TINGSRYD</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56863-2022</t>
        </is>
      </c>
      <c r="B5907" s="1" t="n">
        <v>44894</v>
      </c>
      <c r="C5907" s="1" t="n">
        <v>46103</v>
      </c>
      <c r="D5907" t="inlineStr">
        <is>
          <t>KRONOBERGS LÄN</t>
        </is>
      </c>
      <c r="E5907" t="inlineStr">
        <is>
          <t>VÄXJÖ</t>
        </is>
      </c>
      <c r="G5907" t="n">
        <v>11.1</v>
      </c>
      <c r="H5907" t="n">
        <v>0</v>
      </c>
      <c r="I5907" t="n">
        <v>0</v>
      </c>
      <c r="J5907" t="n">
        <v>0</v>
      </c>
      <c r="K5907" t="n">
        <v>0</v>
      </c>
      <c r="L5907" t="n">
        <v>0</v>
      </c>
      <c r="M5907" t="n">
        <v>0</v>
      </c>
      <c r="N5907" t="n">
        <v>0</v>
      </c>
      <c r="O5907" t="n">
        <v>0</v>
      </c>
      <c r="P5907" t="n">
        <v>0</v>
      </c>
      <c r="Q5907" t="n">
        <v>0</v>
      </c>
      <c r="R5907" s="2" t="inlineStr"/>
    </row>
    <row r="5908" ht="15" customHeight="1">
      <c r="A5908" t="inlineStr">
        <is>
          <t>A 62643-2022</t>
        </is>
      </c>
      <c r="B5908" s="1" t="n">
        <v>44925</v>
      </c>
      <c r="C5908" s="1" t="n">
        <v>46103</v>
      </c>
      <c r="D5908" t="inlineStr">
        <is>
          <t>KRONOBERGS LÄN</t>
        </is>
      </c>
      <c r="E5908" t="inlineStr">
        <is>
          <t>ALVESTA</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62645-2022</t>
        </is>
      </c>
      <c r="B5909" s="1" t="n">
        <v>44925</v>
      </c>
      <c r="C5909" s="1" t="n">
        <v>46103</v>
      </c>
      <c r="D5909" t="inlineStr">
        <is>
          <t>KRONOBERGS LÄN</t>
        </is>
      </c>
      <c r="E5909" t="inlineStr">
        <is>
          <t>ALVESTA</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46927-2021</t>
        </is>
      </c>
      <c r="B5910" s="1" t="n">
        <v>44446.48659722223</v>
      </c>
      <c r="C5910" s="1" t="n">
        <v>46103</v>
      </c>
      <c r="D5910" t="inlineStr">
        <is>
          <t>KRONOBERGS LÄN</t>
        </is>
      </c>
      <c r="E5910" t="inlineStr">
        <is>
          <t>TINGSRYD</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25009-2024</t>
        </is>
      </c>
      <c r="B5911" s="1" t="n">
        <v>45461.85684027777</v>
      </c>
      <c r="C5911" s="1" t="n">
        <v>46103</v>
      </c>
      <c r="D5911" t="inlineStr">
        <is>
          <t>KRONOBERGS LÄN</t>
        </is>
      </c>
      <c r="E5911" t="inlineStr">
        <is>
          <t>TINGSRYD</t>
        </is>
      </c>
      <c r="F5911" t="inlineStr">
        <is>
          <t>Övriga Aktiebolag</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19295-2023</t>
        </is>
      </c>
      <c r="B5912" s="1" t="n">
        <v>45049</v>
      </c>
      <c r="C5912" s="1" t="n">
        <v>46103</v>
      </c>
      <c r="D5912" t="inlineStr">
        <is>
          <t>KRONOBERGS LÄN</t>
        </is>
      </c>
      <c r="E5912" t="inlineStr">
        <is>
          <t>ÄLMHULT</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62244-2023</t>
        </is>
      </c>
      <c r="B5913" s="1" t="n">
        <v>45267.60236111111</v>
      </c>
      <c r="C5913" s="1" t="n">
        <v>46103</v>
      </c>
      <c r="D5913" t="inlineStr">
        <is>
          <t>KRONOBERGS LÄN</t>
        </is>
      </c>
      <c r="E5913" t="inlineStr">
        <is>
          <t>VÄXJÖ</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51047-2023</t>
        </is>
      </c>
      <c r="B5914" s="1" t="n">
        <v>45218</v>
      </c>
      <c r="C5914" s="1" t="n">
        <v>46103</v>
      </c>
      <c r="D5914" t="inlineStr">
        <is>
          <t>KRONOBERGS LÄN</t>
        </is>
      </c>
      <c r="E5914" t="inlineStr">
        <is>
          <t>UPPVIDINGE</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16348-2023</t>
        </is>
      </c>
      <c r="B5915" s="1" t="n">
        <v>45028</v>
      </c>
      <c r="C5915" s="1" t="n">
        <v>46103</v>
      </c>
      <c r="D5915" t="inlineStr">
        <is>
          <t>KRONOBERGS LÄN</t>
        </is>
      </c>
      <c r="E5915" t="inlineStr">
        <is>
          <t>UPPVIDINGE</t>
        </is>
      </c>
      <c r="F5915" t="inlineStr">
        <is>
          <t>Sveaskog</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3444-2025</t>
        </is>
      </c>
      <c r="B5916" s="1" t="n">
        <v>45679</v>
      </c>
      <c r="C5916" s="1" t="n">
        <v>46103</v>
      </c>
      <c r="D5916" t="inlineStr">
        <is>
          <t>KRONOBERGS LÄN</t>
        </is>
      </c>
      <c r="E5916" t="inlineStr">
        <is>
          <t>ÄLMHULT</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3488-2025</t>
        </is>
      </c>
      <c r="B5917" s="1" t="n">
        <v>45680.54928240741</v>
      </c>
      <c r="C5917" s="1" t="n">
        <v>46103</v>
      </c>
      <c r="D5917" t="inlineStr">
        <is>
          <t>KRONOBERGS LÄN</t>
        </is>
      </c>
      <c r="E5917" t="inlineStr">
        <is>
          <t>MARKARYD</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47868-2023</t>
        </is>
      </c>
      <c r="B5918" s="1" t="n">
        <v>45198</v>
      </c>
      <c r="C5918" s="1" t="n">
        <v>46103</v>
      </c>
      <c r="D5918" t="inlineStr">
        <is>
          <t>KRONOBERGS LÄN</t>
        </is>
      </c>
      <c r="E5918" t="inlineStr">
        <is>
          <t>VÄXJÖ</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48559-2022</t>
        </is>
      </c>
      <c r="B5919" s="1" t="n">
        <v>44859.32368055556</v>
      </c>
      <c r="C5919" s="1" t="n">
        <v>46103</v>
      </c>
      <c r="D5919" t="inlineStr">
        <is>
          <t>KRONOBERGS LÄN</t>
        </is>
      </c>
      <c r="E5919" t="inlineStr">
        <is>
          <t>ÄLMHULT</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69454-2021</t>
        </is>
      </c>
      <c r="B5920" s="1" t="n">
        <v>44531.66638888889</v>
      </c>
      <c r="C5920" s="1" t="n">
        <v>46103</v>
      </c>
      <c r="D5920" t="inlineStr">
        <is>
          <t>KRONOBERGS LÄN</t>
        </is>
      </c>
      <c r="E5920" t="inlineStr">
        <is>
          <t>ÄLMHULT</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14172-2022</t>
        </is>
      </c>
      <c r="B5921" s="1" t="n">
        <v>44651</v>
      </c>
      <c r="C5921" s="1" t="n">
        <v>46103</v>
      </c>
      <c r="D5921" t="inlineStr">
        <is>
          <t>KRONOBERGS LÄN</t>
        </is>
      </c>
      <c r="E5921" t="inlineStr">
        <is>
          <t>VÄXJÖ</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56385-2022</t>
        </is>
      </c>
      <c r="B5922" s="1" t="n">
        <v>44887</v>
      </c>
      <c r="C5922" s="1" t="n">
        <v>46103</v>
      </c>
      <c r="D5922" t="inlineStr">
        <is>
          <t>KRONOBERGS LÄN</t>
        </is>
      </c>
      <c r="E5922" t="inlineStr">
        <is>
          <t>LJUNGBY</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19786-2024</t>
        </is>
      </c>
      <c r="B5923" s="1" t="n">
        <v>45432</v>
      </c>
      <c r="C5923" s="1" t="n">
        <v>46103</v>
      </c>
      <c r="D5923" t="inlineStr">
        <is>
          <t>KRONOBERGS LÄN</t>
        </is>
      </c>
      <c r="E5923" t="inlineStr">
        <is>
          <t>TINGSRYD</t>
        </is>
      </c>
      <c r="F5923" t="inlineStr">
        <is>
          <t>Sveaskog</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29160-2023</t>
        </is>
      </c>
      <c r="B5924" s="1" t="n">
        <v>45105.48627314815</v>
      </c>
      <c r="C5924" s="1" t="n">
        <v>46103</v>
      </c>
      <c r="D5924" t="inlineStr">
        <is>
          <t>KRONOBERGS LÄN</t>
        </is>
      </c>
      <c r="E5924" t="inlineStr">
        <is>
          <t>UPPVIDINGE</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51172-2022</t>
        </is>
      </c>
      <c r="B5925" s="1" t="n">
        <v>44868.56361111111</v>
      </c>
      <c r="C5925" s="1" t="n">
        <v>46103</v>
      </c>
      <c r="D5925" t="inlineStr">
        <is>
          <t>KRONOBERGS LÄN</t>
        </is>
      </c>
      <c r="E5925" t="inlineStr">
        <is>
          <t>LJUNGBY</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26183-2023</t>
        </is>
      </c>
      <c r="B5926" s="1" t="n">
        <v>45091</v>
      </c>
      <c r="C5926" s="1" t="n">
        <v>46103</v>
      </c>
      <c r="D5926" t="inlineStr">
        <is>
          <t>KRONOBERGS LÄN</t>
        </is>
      </c>
      <c r="E5926" t="inlineStr">
        <is>
          <t>TINGSRYD</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44169-2023</t>
        </is>
      </c>
      <c r="B5927" s="1" t="n">
        <v>45188.49987268518</v>
      </c>
      <c r="C5927" s="1" t="n">
        <v>46103</v>
      </c>
      <c r="D5927" t="inlineStr">
        <is>
          <t>KRONOBERGS LÄN</t>
        </is>
      </c>
      <c r="E5927" t="inlineStr">
        <is>
          <t>LJUNGBY</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13147-2024</t>
        </is>
      </c>
      <c r="B5928" s="1" t="n">
        <v>45386.35322916666</v>
      </c>
      <c r="C5928" s="1" t="n">
        <v>46103</v>
      </c>
      <c r="D5928" t="inlineStr">
        <is>
          <t>KRONOBERGS LÄN</t>
        </is>
      </c>
      <c r="E5928" t="inlineStr">
        <is>
          <t>UPPVIDINGE</t>
        </is>
      </c>
      <c r="F5928" t="inlineStr">
        <is>
          <t>Sveaskog</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38595-2024</t>
        </is>
      </c>
      <c r="B5929" s="1" t="n">
        <v>45546.66178240741</v>
      </c>
      <c r="C5929" s="1" t="n">
        <v>46103</v>
      </c>
      <c r="D5929" t="inlineStr">
        <is>
          <t>KRONOBERGS LÄN</t>
        </is>
      </c>
      <c r="E5929" t="inlineStr">
        <is>
          <t>TINGSRYD</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4797-2025</t>
        </is>
      </c>
      <c r="B5930" s="1" t="n">
        <v>45688.58667824074</v>
      </c>
      <c r="C5930" s="1" t="n">
        <v>46103</v>
      </c>
      <c r="D5930" t="inlineStr">
        <is>
          <t>KRONOBERGS LÄN</t>
        </is>
      </c>
      <c r="E5930" t="inlineStr">
        <is>
          <t>UPPVIDINGE</t>
        </is>
      </c>
      <c r="F5930" t="inlineStr">
        <is>
          <t>Sveaskog</t>
        </is>
      </c>
      <c r="G5930" t="n">
        <v>20.5</v>
      </c>
      <c r="H5930" t="n">
        <v>0</v>
      </c>
      <c r="I5930" t="n">
        <v>0</v>
      </c>
      <c r="J5930" t="n">
        <v>0</v>
      </c>
      <c r="K5930" t="n">
        <v>0</v>
      </c>
      <c r="L5930" t="n">
        <v>0</v>
      </c>
      <c r="M5930" t="n">
        <v>0</v>
      </c>
      <c r="N5930" t="n">
        <v>0</v>
      </c>
      <c r="O5930" t="n">
        <v>0</v>
      </c>
      <c r="P5930" t="n">
        <v>0</v>
      </c>
      <c r="Q5930" t="n">
        <v>0</v>
      </c>
      <c r="R5930" s="2" t="inlineStr"/>
    </row>
    <row r="5931" ht="15" customHeight="1">
      <c r="A5931" t="inlineStr">
        <is>
          <t>A 1093-2024</t>
        </is>
      </c>
      <c r="B5931" s="1" t="n">
        <v>45302.37436342592</v>
      </c>
      <c r="C5931" s="1" t="n">
        <v>46103</v>
      </c>
      <c r="D5931" t="inlineStr">
        <is>
          <t>KRONOBERGS LÄN</t>
        </is>
      </c>
      <c r="E5931" t="inlineStr">
        <is>
          <t>ALVESTA</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59985-2023</t>
        </is>
      </c>
      <c r="B5932" s="1" t="n">
        <v>45257</v>
      </c>
      <c r="C5932" s="1" t="n">
        <v>46103</v>
      </c>
      <c r="D5932" t="inlineStr">
        <is>
          <t>KRONOBERGS LÄN</t>
        </is>
      </c>
      <c r="E5932" t="inlineStr">
        <is>
          <t>MARKARYD</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64278-2023</t>
        </is>
      </c>
      <c r="B5933" s="1" t="n">
        <v>45280</v>
      </c>
      <c r="C5933" s="1" t="n">
        <v>46103</v>
      </c>
      <c r="D5933" t="inlineStr">
        <is>
          <t>KRONOBERGS LÄN</t>
        </is>
      </c>
      <c r="E5933" t="inlineStr">
        <is>
          <t>VÄXJÖ</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15479-2025</t>
        </is>
      </c>
      <c r="B5934" s="1" t="n">
        <v>45747</v>
      </c>
      <c r="C5934" s="1" t="n">
        <v>46103</v>
      </c>
      <c r="D5934" t="inlineStr">
        <is>
          <t>KRONOBERGS LÄN</t>
        </is>
      </c>
      <c r="E5934" t="inlineStr">
        <is>
          <t>ÄLMHULT</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33075-2023</t>
        </is>
      </c>
      <c r="B5935" s="1" t="n">
        <v>45126</v>
      </c>
      <c r="C5935" s="1" t="n">
        <v>46103</v>
      </c>
      <c r="D5935" t="inlineStr">
        <is>
          <t>KRONOBERGS LÄN</t>
        </is>
      </c>
      <c r="E5935" t="inlineStr">
        <is>
          <t>LJUNGBY</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323-2022</t>
        </is>
      </c>
      <c r="B5936" s="1" t="n">
        <v>44565.57157407407</v>
      </c>
      <c r="C5936" s="1" t="n">
        <v>46103</v>
      </c>
      <c r="D5936" t="inlineStr">
        <is>
          <t>KRONOBERGS LÄN</t>
        </is>
      </c>
      <c r="E5936" t="inlineStr">
        <is>
          <t>LJUNGBY</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37823-2024</t>
        </is>
      </c>
      <c r="B5937" s="1" t="n">
        <v>45544.33987268519</v>
      </c>
      <c r="C5937" s="1" t="n">
        <v>46103</v>
      </c>
      <c r="D5937" t="inlineStr">
        <is>
          <t>KRONOBERGS LÄN</t>
        </is>
      </c>
      <c r="E5937" t="inlineStr">
        <is>
          <t>UPPVIDINGE</t>
        </is>
      </c>
      <c r="G5937" t="n">
        <v>3.1</v>
      </c>
      <c r="H5937" t="n">
        <v>0</v>
      </c>
      <c r="I5937" t="n">
        <v>0</v>
      </c>
      <c r="J5937" t="n">
        <v>0</v>
      </c>
      <c r="K5937" t="n">
        <v>0</v>
      </c>
      <c r="L5937" t="n">
        <v>0</v>
      </c>
      <c r="M5937" t="n">
        <v>0</v>
      </c>
      <c r="N5937" t="n">
        <v>0</v>
      </c>
      <c r="O5937" t="n">
        <v>0</v>
      </c>
      <c r="P5937" t="n">
        <v>0</v>
      </c>
      <c r="Q5937" t="n">
        <v>0</v>
      </c>
      <c r="R5937" s="2" t="inlineStr"/>
    </row>
    <row r="5938" ht="15" customHeight="1">
      <c r="A5938" t="inlineStr">
        <is>
          <t>A 61447-2023</t>
        </is>
      </c>
      <c r="B5938" s="1" t="n">
        <v>45264.80734953703</v>
      </c>
      <c r="C5938" s="1" t="n">
        <v>46103</v>
      </c>
      <c r="D5938" t="inlineStr">
        <is>
          <t>KRONOBERGS LÄN</t>
        </is>
      </c>
      <c r="E5938" t="inlineStr">
        <is>
          <t>TINGSRYD</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37839-2024</t>
        </is>
      </c>
      <c r="B5939" s="1" t="n">
        <v>45544.36388888889</v>
      </c>
      <c r="C5939" s="1" t="n">
        <v>46103</v>
      </c>
      <c r="D5939" t="inlineStr">
        <is>
          <t>KRONOBERGS LÄN</t>
        </is>
      </c>
      <c r="E5939" t="inlineStr">
        <is>
          <t>ALVESTA</t>
        </is>
      </c>
      <c r="G5939" t="n">
        <v>3.1</v>
      </c>
      <c r="H5939" t="n">
        <v>0</v>
      </c>
      <c r="I5939" t="n">
        <v>0</v>
      </c>
      <c r="J5939" t="n">
        <v>0</v>
      </c>
      <c r="K5939" t="n">
        <v>0</v>
      </c>
      <c r="L5939" t="n">
        <v>0</v>
      </c>
      <c r="M5939" t="n">
        <v>0</v>
      </c>
      <c r="N5939" t="n">
        <v>0</v>
      </c>
      <c r="O5939" t="n">
        <v>0</v>
      </c>
      <c r="P5939" t="n">
        <v>0</v>
      </c>
      <c r="Q5939" t="n">
        <v>0</v>
      </c>
      <c r="R5939" s="2" t="inlineStr"/>
    </row>
    <row r="5940" ht="15" customHeight="1">
      <c r="A5940" t="inlineStr">
        <is>
          <t>A 44276-2023</t>
        </is>
      </c>
      <c r="B5940" s="1" t="n">
        <v>45188.61378472222</v>
      </c>
      <c r="C5940" s="1" t="n">
        <v>46103</v>
      </c>
      <c r="D5940" t="inlineStr">
        <is>
          <t>KRONOBERGS LÄN</t>
        </is>
      </c>
      <c r="E5940" t="inlineStr">
        <is>
          <t>LJUNGBY</t>
        </is>
      </c>
      <c r="G5940" t="n">
        <v>3.1</v>
      </c>
      <c r="H5940" t="n">
        <v>0</v>
      </c>
      <c r="I5940" t="n">
        <v>0</v>
      </c>
      <c r="J5940" t="n">
        <v>0</v>
      </c>
      <c r="K5940" t="n">
        <v>0</v>
      </c>
      <c r="L5940" t="n">
        <v>0</v>
      </c>
      <c r="M5940" t="n">
        <v>0</v>
      </c>
      <c r="N5940" t="n">
        <v>0</v>
      </c>
      <c r="O5940" t="n">
        <v>0</v>
      </c>
      <c r="P5940" t="n">
        <v>0</v>
      </c>
      <c r="Q5940" t="n">
        <v>0</v>
      </c>
      <c r="R5940" s="2" t="inlineStr"/>
    </row>
    <row r="5941" ht="15" customHeight="1">
      <c r="A5941" t="inlineStr">
        <is>
          <t>A 16781-2023</t>
        </is>
      </c>
      <c r="B5941" s="1" t="n">
        <v>45032.88966435185</v>
      </c>
      <c r="C5941" s="1" t="n">
        <v>46103</v>
      </c>
      <c r="D5941" t="inlineStr">
        <is>
          <t>KRONOBERGS LÄN</t>
        </is>
      </c>
      <c r="E5941" t="inlineStr">
        <is>
          <t>ALVESTA</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31753-2024</t>
        </is>
      </c>
      <c r="B5942" s="1" t="n">
        <v>45509</v>
      </c>
      <c r="C5942" s="1" t="n">
        <v>46103</v>
      </c>
      <c r="D5942" t="inlineStr">
        <is>
          <t>KRONOBERGS LÄN</t>
        </is>
      </c>
      <c r="E5942" t="inlineStr">
        <is>
          <t>VÄXJÖ</t>
        </is>
      </c>
      <c r="G5942" t="n">
        <v>3.4</v>
      </c>
      <c r="H5942" t="n">
        <v>0</v>
      </c>
      <c r="I5942" t="n">
        <v>0</v>
      </c>
      <c r="J5942" t="n">
        <v>0</v>
      </c>
      <c r="K5942" t="n">
        <v>0</v>
      </c>
      <c r="L5942" t="n">
        <v>0</v>
      </c>
      <c r="M5942" t="n">
        <v>0</v>
      </c>
      <c r="N5942" t="n">
        <v>0</v>
      </c>
      <c r="O5942" t="n">
        <v>0</v>
      </c>
      <c r="P5942" t="n">
        <v>0</v>
      </c>
      <c r="Q5942" t="n">
        <v>0</v>
      </c>
      <c r="R5942" s="2" t="inlineStr"/>
    </row>
    <row r="5943" ht="15" customHeight="1">
      <c r="A5943" t="inlineStr">
        <is>
          <t>A 39573-2023</t>
        </is>
      </c>
      <c r="B5943" s="1" t="n">
        <v>45167.41748842593</v>
      </c>
      <c r="C5943" s="1" t="n">
        <v>46103</v>
      </c>
      <c r="D5943" t="inlineStr">
        <is>
          <t>KRONOBERGS LÄN</t>
        </is>
      </c>
      <c r="E5943" t="inlineStr">
        <is>
          <t>ÄLMHULT</t>
        </is>
      </c>
      <c r="G5943" t="n">
        <v>4.5</v>
      </c>
      <c r="H5943" t="n">
        <v>0</v>
      </c>
      <c r="I5943" t="n">
        <v>0</v>
      </c>
      <c r="J5943" t="n">
        <v>0</v>
      </c>
      <c r="K5943" t="n">
        <v>0</v>
      </c>
      <c r="L5943" t="n">
        <v>0</v>
      </c>
      <c r="M5943" t="n">
        <v>0</v>
      </c>
      <c r="N5943" t="n">
        <v>0</v>
      </c>
      <c r="O5943" t="n">
        <v>0</v>
      </c>
      <c r="P5943" t="n">
        <v>0</v>
      </c>
      <c r="Q5943" t="n">
        <v>0</v>
      </c>
      <c r="R5943" s="2" t="inlineStr"/>
    </row>
    <row r="5944" ht="15" customHeight="1">
      <c r="A5944" t="inlineStr">
        <is>
          <t>A 10820-2024</t>
        </is>
      </c>
      <c r="B5944" s="1" t="n">
        <v>45369.66939814815</v>
      </c>
      <c r="C5944" s="1" t="n">
        <v>46103</v>
      </c>
      <c r="D5944" t="inlineStr">
        <is>
          <t>KRONOBERGS LÄN</t>
        </is>
      </c>
      <c r="E5944" t="inlineStr">
        <is>
          <t>VÄXJÖ</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37040-2023</t>
        </is>
      </c>
      <c r="B5945" s="1" t="n">
        <v>45155</v>
      </c>
      <c r="C5945" s="1" t="n">
        <v>46103</v>
      </c>
      <c r="D5945" t="inlineStr">
        <is>
          <t>KRONOBERGS LÄN</t>
        </is>
      </c>
      <c r="E5945" t="inlineStr">
        <is>
          <t>UPPVIDINGE</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25957-2023</t>
        </is>
      </c>
      <c r="B5946" s="1" t="n">
        <v>45090</v>
      </c>
      <c r="C5946" s="1" t="n">
        <v>46103</v>
      </c>
      <c r="D5946" t="inlineStr">
        <is>
          <t>KRONOBERGS LÄN</t>
        </is>
      </c>
      <c r="E5946" t="inlineStr">
        <is>
          <t>MARKARYD</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9790-2025</t>
        </is>
      </c>
      <c r="B5947" s="1" t="n">
        <v>45715</v>
      </c>
      <c r="C5947" s="1" t="n">
        <v>46103</v>
      </c>
      <c r="D5947" t="inlineStr">
        <is>
          <t>KRONOBERGS LÄN</t>
        </is>
      </c>
      <c r="E5947" t="inlineStr">
        <is>
          <t>MARKARYD</t>
        </is>
      </c>
      <c r="F5947" t="inlineStr">
        <is>
          <t>Kyrkan</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13072-2025</t>
        </is>
      </c>
      <c r="B5948" s="1" t="n">
        <v>45734</v>
      </c>
      <c r="C5948" s="1" t="n">
        <v>46103</v>
      </c>
      <c r="D5948" t="inlineStr">
        <is>
          <t>KRONOBERGS LÄN</t>
        </is>
      </c>
      <c r="E5948" t="inlineStr">
        <is>
          <t>ÄLMHULT</t>
        </is>
      </c>
      <c r="G5948" t="n">
        <v>3.4</v>
      </c>
      <c r="H5948" t="n">
        <v>0</v>
      </c>
      <c r="I5948" t="n">
        <v>0</v>
      </c>
      <c r="J5948" t="n">
        <v>0</v>
      </c>
      <c r="K5948" t="n">
        <v>0</v>
      </c>
      <c r="L5948" t="n">
        <v>0</v>
      </c>
      <c r="M5948" t="n">
        <v>0</v>
      </c>
      <c r="N5948" t="n">
        <v>0</v>
      </c>
      <c r="O5948" t="n">
        <v>0</v>
      </c>
      <c r="P5948" t="n">
        <v>0</v>
      </c>
      <c r="Q5948" t="n">
        <v>0</v>
      </c>
      <c r="R5948" s="2" t="inlineStr"/>
    </row>
    <row r="5949" ht="15" customHeight="1">
      <c r="A5949" t="inlineStr">
        <is>
          <t>A 22415-2024</t>
        </is>
      </c>
      <c r="B5949" s="1" t="n">
        <v>45446</v>
      </c>
      <c r="C5949" s="1" t="n">
        <v>46103</v>
      </c>
      <c r="D5949" t="inlineStr">
        <is>
          <t>KRONOBERGS LÄN</t>
        </is>
      </c>
      <c r="E5949" t="inlineStr">
        <is>
          <t>ÄLMHULT</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22500-2024</t>
        </is>
      </c>
      <c r="B5950" s="1" t="n">
        <v>45447.35372685185</v>
      </c>
      <c r="C5950" s="1" t="n">
        <v>46103</v>
      </c>
      <c r="D5950" t="inlineStr">
        <is>
          <t>KRONOBERGS LÄN</t>
        </is>
      </c>
      <c r="E5950" t="inlineStr">
        <is>
          <t>VÄXJÖ</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38656-2024</t>
        </is>
      </c>
      <c r="B5951" s="1" t="n">
        <v>45546</v>
      </c>
      <c r="C5951" s="1" t="n">
        <v>46103</v>
      </c>
      <c r="D5951" t="inlineStr">
        <is>
          <t>KRONOBERGS LÄN</t>
        </is>
      </c>
      <c r="E5951" t="inlineStr">
        <is>
          <t>LJUNGBY</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22432-2023</t>
        </is>
      </c>
      <c r="B5952" s="1" t="n">
        <v>45070</v>
      </c>
      <c r="C5952" s="1" t="n">
        <v>46103</v>
      </c>
      <c r="D5952" t="inlineStr">
        <is>
          <t>KRONOBERGS LÄN</t>
        </is>
      </c>
      <c r="E5952" t="inlineStr">
        <is>
          <t>LESSEBO</t>
        </is>
      </c>
      <c r="F5952" t="inlineStr">
        <is>
          <t>Kommuner</t>
        </is>
      </c>
      <c r="G5952" t="n">
        <v>2.9</v>
      </c>
      <c r="H5952" t="n">
        <v>0</v>
      </c>
      <c r="I5952" t="n">
        <v>0</v>
      </c>
      <c r="J5952" t="n">
        <v>0</v>
      </c>
      <c r="K5952" t="n">
        <v>0</v>
      </c>
      <c r="L5952" t="n">
        <v>0</v>
      </c>
      <c r="M5952" t="n">
        <v>0</v>
      </c>
      <c r="N5952" t="n">
        <v>0</v>
      </c>
      <c r="O5952" t="n">
        <v>0</v>
      </c>
      <c r="P5952" t="n">
        <v>0</v>
      </c>
      <c r="Q5952" t="n">
        <v>0</v>
      </c>
      <c r="R5952" s="2" t="inlineStr"/>
    </row>
    <row r="5953" ht="15" customHeight="1">
      <c r="A5953" t="inlineStr">
        <is>
          <t>A 20130-2022</t>
        </is>
      </c>
      <c r="B5953" s="1" t="n">
        <v>44698</v>
      </c>
      <c r="C5953" s="1" t="n">
        <v>46103</v>
      </c>
      <c r="D5953" t="inlineStr">
        <is>
          <t>KRONOBERGS LÄN</t>
        </is>
      </c>
      <c r="E5953" t="inlineStr">
        <is>
          <t>TINGSRYD</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56529-2022</t>
        </is>
      </c>
      <c r="B5954" s="1" t="n">
        <v>44893.46648148148</v>
      </c>
      <c r="C5954" s="1" t="n">
        <v>46103</v>
      </c>
      <c r="D5954" t="inlineStr">
        <is>
          <t>KRONOBERGS LÄN</t>
        </is>
      </c>
      <c r="E5954" t="inlineStr">
        <is>
          <t>LESSEBO</t>
        </is>
      </c>
      <c r="G5954" t="n">
        <v>9</v>
      </c>
      <c r="H5954" t="n">
        <v>0</v>
      </c>
      <c r="I5954" t="n">
        <v>0</v>
      </c>
      <c r="J5954" t="n">
        <v>0</v>
      </c>
      <c r="K5954" t="n">
        <v>0</v>
      </c>
      <c r="L5954" t="n">
        <v>0</v>
      </c>
      <c r="M5954" t="n">
        <v>0</v>
      </c>
      <c r="N5954" t="n">
        <v>0</v>
      </c>
      <c r="O5954" t="n">
        <v>0</v>
      </c>
      <c r="P5954" t="n">
        <v>0</v>
      </c>
      <c r="Q5954" t="n">
        <v>0</v>
      </c>
      <c r="R5954" s="2" t="inlineStr"/>
    </row>
    <row r="5955" ht="15" customHeight="1">
      <c r="A5955" t="inlineStr">
        <is>
          <t>A 54105-2024</t>
        </is>
      </c>
      <c r="B5955" s="1" t="n">
        <v>45616.53173611111</v>
      </c>
      <c r="C5955" s="1" t="n">
        <v>46103</v>
      </c>
      <c r="D5955" t="inlineStr">
        <is>
          <t>KRONOBERGS LÄN</t>
        </is>
      </c>
      <c r="E5955" t="inlineStr">
        <is>
          <t>ÄLMHULT</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14230-2022</t>
        </is>
      </c>
      <c r="B5956" s="1" t="n">
        <v>44651</v>
      </c>
      <c r="C5956" s="1" t="n">
        <v>46103</v>
      </c>
      <c r="D5956" t="inlineStr">
        <is>
          <t>KRONOBERGS LÄN</t>
        </is>
      </c>
      <c r="E5956" t="inlineStr">
        <is>
          <t>LJUNGBY</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50613-2023</t>
        </is>
      </c>
      <c r="B5957" s="1" t="n">
        <v>45217</v>
      </c>
      <c r="C5957" s="1" t="n">
        <v>46103</v>
      </c>
      <c r="D5957" t="inlineStr">
        <is>
          <t>KRONOBERGS LÄN</t>
        </is>
      </c>
      <c r="E5957" t="inlineStr">
        <is>
          <t>MARKARYD</t>
        </is>
      </c>
      <c r="G5957" t="n">
        <v>6.9</v>
      </c>
      <c r="H5957" t="n">
        <v>0</v>
      </c>
      <c r="I5957" t="n">
        <v>0</v>
      </c>
      <c r="J5957" t="n">
        <v>0</v>
      </c>
      <c r="K5957" t="n">
        <v>0</v>
      </c>
      <c r="L5957" t="n">
        <v>0</v>
      </c>
      <c r="M5957" t="n">
        <v>0</v>
      </c>
      <c r="N5957" t="n">
        <v>0</v>
      </c>
      <c r="O5957" t="n">
        <v>0</v>
      </c>
      <c r="P5957" t="n">
        <v>0</v>
      </c>
      <c r="Q5957" t="n">
        <v>0</v>
      </c>
      <c r="R5957" s="2" t="inlineStr"/>
    </row>
    <row r="5958" ht="15" customHeight="1">
      <c r="A5958" t="inlineStr">
        <is>
          <t>A 10744-2025</t>
        </is>
      </c>
      <c r="B5958" s="1" t="n">
        <v>45722.42119212963</v>
      </c>
      <c r="C5958" s="1" t="n">
        <v>46103</v>
      </c>
      <c r="D5958" t="inlineStr">
        <is>
          <t>KRONOBERGS LÄN</t>
        </is>
      </c>
      <c r="E5958" t="inlineStr">
        <is>
          <t>ÄLMHULT</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10881-2022</t>
        </is>
      </c>
      <c r="B5959" s="1" t="n">
        <v>44627.6955787037</v>
      </c>
      <c r="C5959" s="1" t="n">
        <v>46103</v>
      </c>
      <c r="D5959" t="inlineStr">
        <is>
          <t>KRONOBERGS LÄN</t>
        </is>
      </c>
      <c r="E5959" t="inlineStr">
        <is>
          <t>TINGSRYD</t>
        </is>
      </c>
      <c r="G5959" t="n">
        <v>6.1</v>
      </c>
      <c r="H5959" t="n">
        <v>0</v>
      </c>
      <c r="I5959" t="n">
        <v>0</v>
      </c>
      <c r="J5959" t="n">
        <v>0</v>
      </c>
      <c r="K5959" t="n">
        <v>0</v>
      </c>
      <c r="L5959" t="n">
        <v>0</v>
      </c>
      <c r="M5959" t="n">
        <v>0</v>
      </c>
      <c r="N5959" t="n">
        <v>0</v>
      </c>
      <c r="O5959" t="n">
        <v>0</v>
      </c>
      <c r="P5959" t="n">
        <v>0</v>
      </c>
      <c r="Q5959" t="n">
        <v>0</v>
      </c>
      <c r="R5959" s="2" t="inlineStr"/>
    </row>
    <row r="5960" ht="15" customHeight="1">
      <c r="A5960" t="inlineStr">
        <is>
          <t>A 16263-2025</t>
        </is>
      </c>
      <c r="B5960" s="1" t="n">
        <v>45749</v>
      </c>
      <c r="C5960" s="1" t="n">
        <v>46103</v>
      </c>
      <c r="D5960" t="inlineStr">
        <is>
          <t>KRONOBERGS LÄN</t>
        </is>
      </c>
      <c r="E5960" t="inlineStr">
        <is>
          <t>UPPVIDINGE</t>
        </is>
      </c>
      <c r="F5960" t="inlineStr">
        <is>
          <t>Kyrkan</t>
        </is>
      </c>
      <c r="G5960" t="n">
        <v>3.2</v>
      </c>
      <c r="H5960" t="n">
        <v>0</v>
      </c>
      <c r="I5960" t="n">
        <v>0</v>
      </c>
      <c r="J5960" t="n">
        <v>0</v>
      </c>
      <c r="K5960" t="n">
        <v>0</v>
      </c>
      <c r="L5960" t="n">
        <v>0</v>
      </c>
      <c r="M5960" t="n">
        <v>0</v>
      </c>
      <c r="N5960" t="n">
        <v>0</v>
      </c>
      <c r="O5960" t="n">
        <v>0</v>
      </c>
      <c r="P5960" t="n">
        <v>0</v>
      </c>
      <c r="Q5960" t="n">
        <v>0</v>
      </c>
      <c r="R5960" s="2" t="inlineStr"/>
    </row>
    <row r="5961" ht="15" customHeight="1">
      <c r="A5961" t="inlineStr">
        <is>
          <t>A 50703-2023</t>
        </is>
      </c>
      <c r="B5961" s="1" t="n">
        <v>45217.55627314815</v>
      </c>
      <c r="C5961" s="1" t="n">
        <v>46103</v>
      </c>
      <c r="D5961" t="inlineStr">
        <is>
          <t>KRONOBERGS LÄN</t>
        </is>
      </c>
      <c r="E5961" t="inlineStr">
        <is>
          <t>ALVESTA</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12445-2024</t>
        </is>
      </c>
      <c r="B5962" s="1" t="n">
        <v>45378</v>
      </c>
      <c r="C5962" s="1" t="n">
        <v>46103</v>
      </c>
      <c r="D5962" t="inlineStr">
        <is>
          <t>KRONOBERGS LÄN</t>
        </is>
      </c>
      <c r="E5962" t="inlineStr">
        <is>
          <t>VÄXJÖ</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8372-2025</t>
        </is>
      </c>
      <c r="B5963" s="1" t="n">
        <v>45709.32859953704</v>
      </c>
      <c r="C5963" s="1" t="n">
        <v>46103</v>
      </c>
      <c r="D5963" t="inlineStr">
        <is>
          <t>KRONOBERGS LÄN</t>
        </is>
      </c>
      <c r="E5963" t="inlineStr">
        <is>
          <t>UPPVIDINGE</t>
        </is>
      </c>
      <c r="F5963" t="inlineStr">
        <is>
          <t>Sveaskog</t>
        </is>
      </c>
      <c r="G5963" t="n">
        <v>5.5</v>
      </c>
      <c r="H5963" t="n">
        <v>0</v>
      </c>
      <c r="I5963" t="n">
        <v>0</v>
      </c>
      <c r="J5963" t="n">
        <v>0</v>
      </c>
      <c r="K5963" t="n">
        <v>0</v>
      </c>
      <c r="L5963" t="n">
        <v>0</v>
      </c>
      <c r="M5963" t="n">
        <v>0</v>
      </c>
      <c r="N5963" t="n">
        <v>0</v>
      </c>
      <c r="O5963" t="n">
        <v>0</v>
      </c>
      <c r="P5963" t="n">
        <v>0</v>
      </c>
      <c r="Q5963" t="n">
        <v>0</v>
      </c>
      <c r="R5963" s="2" t="inlineStr"/>
    </row>
    <row r="5964" ht="15" customHeight="1">
      <c r="A5964" t="inlineStr">
        <is>
          <t>A 30665-2024</t>
        </is>
      </c>
      <c r="B5964" s="1" t="n">
        <v>45495.70517361111</v>
      </c>
      <c r="C5964" s="1" t="n">
        <v>46103</v>
      </c>
      <c r="D5964" t="inlineStr">
        <is>
          <t>KRONOBERGS LÄN</t>
        </is>
      </c>
      <c r="E5964" t="inlineStr">
        <is>
          <t>VÄXJÖ</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22213-2024</t>
        </is>
      </c>
      <c r="B5965" s="1" t="n">
        <v>45446.39304398148</v>
      </c>
      <c r="C5965" s="1" t="n">
        <v>46103</v>
      </c>
      <c r="D5965" t="inlineStr">
        <is>
          <t>KRONOBERGS LÄN</t>
        </is>
      </c>
      <c r="E5965" t="inlineStr">
        <is>
          <t>VÄXJÖ</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50040-2024</t>
        </is>
      </c>
      <c r="B5966" s="1" t="n">
        <v>45600.29040509259</v>
      </c>
      <c r="C5966" s="1" t="n">
        <v>46103</v>
      </c>
      <c r="D5966" t="inlineStr">
        <is>
          <t>KRONOBERGS LÄN</t>
        </is>
      </c>
      <c r="E5966" t="inlineStr">
        <is>
          <t>ÄLMHULT</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13993-2023</t>
        </is>
      </c>
      <c r="B5967" s="1" t="n">
        <v>45008.52043981481</v>
      </c>
      <c r="C5967" s="1" t="n">
        <v>46103</v>
      </c>
      <c r="D5967" t="inlineStr">
        <is>
          <t>KRONOBERGS LÄN</t>
        </is>
      </c>
      <c r="E5967" t="inlineStr">
        <is>
          <t>VÄXJÖ</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26645-2022</t>
        </is>
      </c>
      <c r="B5968" s="1" t="n">
        <v>44739.6016087963</v>
      </c>
      <c r="C5968" s="1" t="n">
        <v>46103</v>
      </c>
      <c r="D5968" t="inlineStr">
        <is>
          <t>KRONOBERGS LÄN</t>
        </is>
      </c>
      <c r="E5968" t="inlineStr">
        <is>
          <t>VÄXJÖ</t>
        </is>
      </c>
      <c r="G5968" t="n">
        <v>0.4</v>
      </c>
      <c r="H5968" t="n">
        <v>0</v>
      </c>
      <c r="I5968" t="n">
        <v>0</v>
      </c>
      <c r="J5968" t="n">
        <v>0</v>
      </c>
      <c r="K5968" t="n">
        <v>0</v>
      </c>
      <c r="L5968" t="n">
        <v>0</v>
      </c>
      <c r="M5968" t="n">
        <v>0</v>
      </c>
      <c r="N5968" t="n">
        <v>0</v>
      </c>
      <c r="O5968" t="n">
        <v>0</v>
      </c>
      <c r="P5968" t="n">
        <v>0</v>
      </c>
      <c r="Q5968" t="n">
        <v>0</v>
      </c>
      <c r="R5968" s="2" t="inlineStr"/>
    </row>
    <row r="5969" ht="15" customHeight="1">
      <c r="A5969" t="inlineStr">
        <is>
          <t>A 34267-2023</t>
        </is>
      </c>
      <c r="B5969" s="1" t="n">
        <v>45128</v>
      </c>
      <c r="C5969" s="1" t="n">
        <v>46103</v>
      </c>
      <c r="D5969" t="inlineStr">
        <is>
          <t>KRONOBERGS LÄN</t>
        </is>
      </c>
      <c r="E5969" t="inlineStr">
        <is>
          <t>ALVESTA</t>
        </is>
      </c>
      <c r="G5969" t="n">
        <v>3</v>
      </c>
      <c r="H5969" t="n">
        <v>0</v>
      </c>
      <c r="I5969" t="n">
        <v>0</v>
      </c>
      <c r="J5969" t="n">
        <v>0</v>
      </c>
      <c r="K5969" t="n">
        <v>0</v>
      </c>
      <c r="L5969" t="n">
        <v>0</v>
      </c>
      <c r="M5969" t="n">
        <v>0</v>
      </c>
      <c r="N5969" t="n">
        <v>0</v>
      </c>
      <c r="O5969" t="n">
        <v>0</v>
      </c>
      <c r="P5969" t="n">
        <v>0</v>
      </c>
      <c r="Q5969" t="n">
        <v>0</v>
      </c>
      <c r="R5969" s="2" t="inlineStr"/>
    </row>
    <row r="5970" ht="15" customHeight="1">
      <c r="A5970" t="inlineStr">
        <is>
          <t>A 23844-2021</t>
        </is>
      </c>
      <c r="B5970" s="1" t="n">
        <v>44335</v>
      </c>
      <c r="C5970" s="1" t="n">
        <v>46103</v>
      </c>
      <c r="D5970" t="inlineStr">
        <is>
          <t>KRONOBERGS LÄN</t>
        </is>
      </c>
      <c r="E5970" t="inlineStr">
        <is>
          <t>ÄLMHULT</t>
        </is>
      </c>
      <c r="F5970" t="inlineStr">
        <is>
          <t>Kommuner</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57308-2023</t>
        </is>
      </c>
      <c r="B5971" s="1" t="n">
        <v>45240</v>
      </c>
      <c r="C5971" s="1" t="n">
        <v>46103</v>
      </c>
      <c r="D5971" t="inlineStr">
        <is>
          <t>KRONOBERGS LÄN</t>
        </is>
      </c>
      <c r="E5971" t="inlineStr">
        <is>
          <t>ÄLMHULT</t>
        </is>
      </c>
      <c r="F5971" t="inlineStr">
        <is>
          <t>Kyrkan</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33340-2024</t>
        </is>
      </c>
      <c r="B5972" s="1" t="n">
        <v>45519.33865740741</v>
      </c>
      <c r="C5972" s="1" t="n">
        <v>46103</v>
      </c>
      <c r="D5972" t="inlineStr">
        <is>
          <t>KRONOBERGS LÄN</t>
        </is>
      </c>
      <c r="E5972" t="inlineStr">
        <is>
          <t>VÄXJÖ</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8449-2024</t>
        </is>
      </c>
      <c r="B5973" s="1" t="n">
        <v>45354.72975694444</v>
      </c>
      <c r="C5973" s="1" t="n">
        <v>46103</v>
      </c>
      <c r="D5973" t="inlineStr">
        <is>
          <t>KRONOBERGS LÄN</t>
        </is>
      </c>
      <c r="E5973" t="inlineStr">
        <is>
          <t>UPPVIDINGE</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37899-2024</t>
        </is>
      </c>
      <c r="B5974" s="1" t="n">
        <v>45544</v>
      </c>
      <c r="C5974" s="1" t="n">
        <v>46103</v>
      </c>
      <c r="D5974" t="inlineStr">
        <is>
          <t>KRONOBERGS LÄN</t>
        </is>
      </c>
      <c r="E5974" t="inlineStr">
        <is>
          <t>VÄXJÖ</t>
        </is>
      </c>
      <c r="G5974" t="n">
        <v>6.7</v>
      </c>
      <c r="H5974" t="n">
        <v>0</v>
      </c>
      <c r="I5974" t="n">
        <v>0</v>
      </c>
      <c r="J5974" t="n">
        <v>0</v>
      </c>
      <c r="K5974" t="n">
        <v>0</v>
      </c>
      <c r="L5974" t="n">
        <v>0</v>
      </c>
      <c r="M5974" t="n">
        <v>0</v>
      </c>
      <c r="N5974" t="n">
        <v>0</v>
      </c>
      <c r="O5974" t="n">
        <v>0</v>
      </c>
      <c r="P5974" t="n">
        <v>0</v>
      </c>
      <c r="Q5974" t="n">
        <v>0</v>
      </c>
      <c r="R5974" s="2" t="inlineStr"/>
    </row>
    <row r="5975" ht="15" customHeight="1">
      <c r="A5975" t="inlineStr">
        <is>
          <t>A 4017-2024</t>
        </is>
      </c>
      <c r="B5975" s="1" t="n">
        <v>45323</v>
      </c>
      <c r="C5975" s="1" t="n">
        <v>46103</v>
      </c>
      <c r="D5975" t="inlineStr">
        <is>
          <t>KRONOBERGS LÄN</t>
        </is>
      </c>
      <c r="E5975" t="inlineStr">
        <is>
          <t>LJUNGBY</t>
        </is>
      </c>
      <c r="F5975" t="inlineStr">
        <is>
          <t>Kommuner</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56363-2023</t>
        </is>
      </c>
      <c r="B5976" s="1" t="n">
        <v>45243</v>
      </c>
      <c r="C5976" s="1" t="n">
        <v>46103</v>
      </c>
      <c r="D5976" t="inlineStr">
        <is>
          <t>KRONOBERGS LÄN</t>
        </is>
      </c>
      <c r="E5976" t="inlineStr">
        <is>
          <t>UPPVIDINGE</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6930-2022</t>
        </is>
      </c>
      <c r="B5977" s="1" t="n">
        <v>44602</v>
      </c>
      <c r="C5977" s="1" t="n">
        <v>46103</v>
      </c>
      <c r="D5977" t="inlineStr">
        <is>
          <t>KRONOBERGS LÄN</t>
        </is>
      </c>
      <c r="E5977" t="inlineStr">
        <is>
          <t>TINGSRYD</t>
        </is>
      </c>
      <c r="G5977" t="n">
        <v>6</v>
      </c>
      <c r="H5977" t="n">
        <v>0</v>
      </c>
      <c r="I5977" t="n">
        <v>0</v>
      </c>
      <c r="J5977" t="n">
        <v>0</v>
      </c>
      <c r="K5977" t="n">
        <v>0</v>
      </c>
      <c r="L5977" t="n">
        <v>0</v>
      </c>
      <c r="M5977" t="n">
        <v>0</v>
      </c>
      <c r="N5977" t="n">
        <v>0</v>
      </c>
      <c r="O5977" t="n">
        <v>0</v>
      </c>
      <c r="P5977" t="n">
        <v>0</v>
      </c>
      <c r="Q5977" t="n">
        <v>0</v>
      </c>
      <c r="R5977" s="2" t="inlineStr"/>
    </row>
    <row r="5978" ht="15" customHeight="1">
      <c r="A5978" t="inlineStr">
        <is>
          <t>A 41823-2023</t>
        </is>
      </c>
      <c r="B5978" s="1" t="n">
        <v>45176.58175925926</v>
      </c>
      <c r="C5978" s="1" t="n">
        <v>46103</v>
      </c>
      <c r="D5978" t="inlineStr">
        <is>
          <t>KRONOBERGS LÄN</t>
        </is>
      </c>
      <c r="E5978" t="inlineStr">
        <is>
          <t>VÄXJÖ</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41826-2023</t>
        </is>
      </c>
      <c r="B5979" s="1" t="n">
        <v>45176.58371527777</v>
      </c>
      <c r="C5979" s="1" t="n">
        <v>46103</v>
      </c>
      <c r="D5979" t="inlineStr">
        <is>
          <t>KRONOBERGS LÄN</t>
        </is>
      </c>
      <c r="E5979" t="inlineStr">
        <is>
          <t>VÄXJÖ</t>
        </is>
      </c>
      <c r="G5979" t="n">
        <v>6</v>
      </c>
      <c r="H5979" t="n">
        <v>0</v>
      </c>
      <c r="I5979" t="n">
        <v>0</v>
      </c>
      <c r="J5979" t="n">
        <v>0</v>
      </c>
      <c r="K5979" t="n">
        <v>0</v>
      </c>
      <c r="L5979" t="n">
        <v>0</v>
      </c>
      <c r="M5979" t="n">
        <v>0</v>
      </c>
      <c r="N5979" t="n">
        <v>0</v>
      </c>
      <c r="O5979" t="n">
        <v>0</v>
      </c>
      <c r="P5979" t="n">
        <v>0</v>
      </c>
      <c r="Q5979" t="n">
        <v>0</v>
      </c>
      <c r="R5979" s="2" t="inlineStr"/>
    </row>
    <row r="5980" ht="15" customHeight="1">
      <c r="A5980" t="inlineStr">
        <is>
          <t>A 45388-2022</t>
        </is>
      </c>
      <c r="B5980" s="1" t="n">
        <v>44844</v>
      </c>
      <c r="C5980" s="1" t="n">
        <v>46103</v>
      </c>
      <c r="D5980" t="inlineStr">
        <is>
          <t>KRONOBERGS LÄN</t>
        </is>
      </c>
      <c r="E5980" t="inlineStr">
        <is>
          <t>UPPVIDINGE</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38968-2024</t>
        </is>
      </c>
      <c r="B5981" s="1" t="n">
        <v>45548.37193287037</v>
      </c>
      <c r="C5981" s="1" t="n">
        <v>46103</v>
      </c>
      <c r="D5981" t="inlineStr">
        <is>
          <t>KRONOBERGS LÄN</t>
        </is>
      </c>
      <c r="E5981" t="inlineStr">
        <is>
          <t>TINGSRYD</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41768-2023</t>
        </is>
      </c>
      <c r="B5982" s="1" t="n">
        <v>45176.46045138889</v>
      </c>
      <c r="C5982" s="1" t="n">
        <v>46103</v>
      </c>
      <c r="D5982" t="inlineStr">
        <is>
          <t>KRONOBERGS LÄN</t>
        </is>
      </c>
      <c r="E5982" t="inlineStr">
        <is>
          <t>TINGSRYD</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59169-2022</t>
        </is>
      </c>
      <c r="B5983" s="1" t="n">
        <v>44904.48119212963</v>
      </c>
      <c r="C5983" s="1" t="n">
        <v>46103</v>
      </c>
      <c r="D5983" t="inlineStr">
        <is>
          <t>KRONOBERGS LÄN</t>
        </is>
      </c>
      <c r="E5983" t="inlineStr">
        <is>
          <t>TINGSRYD</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19765-2023</t>
        </is>
      </c>
      <c r="B5984" s="1" t="n">
        <v>45051</v>
      </c>
      <c r="C5984" s="1" t="n">
        <v>46103</v>
      </c>
      <c r="D5984" t="inlineStr">
        <is>
          <t>KRONOBERGS LÄN</t>
        </is>
      </c>
      <c r="E5984" t="inlineStr">
        <is>
          <t>TINGSRYD</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11497-2024</t>
        </is>
      </c>
      <c r="B5985" s="1" t="n">
        <v>45372.65918981482</v>
      </c>
      <c r="C5985" s="1" t="n">
        <v>46103</v>
      </c>
      <c r="D5985" t="inlineStr">
        <is>
          <t>KRONOBERGS LÄN</t>
        </is>
      </c>
      <c r="E5985" t="inlineStr">
        <is>
          <t>MARKARYD</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3810-2022</t>
        </is>
      </c>
      <c r="B5986" s="1" t="n">
        <v>44587</v>
      </c>
      <c r="C5986" s="1" t="n">
        <v>46103</v>
      </c>
      <c r="D5986" t="inlineStr">
        <is>
          <t>KRONOBERGS LÄN</t>
        </is>
      </c>
      <c r="E5986" t="inlineStr">
        <is>
          <t>ÄLMHULT</t>
        </is>
      </c>
      <c r="G5986" t="n">
        <v>5.5</v>
      </c>
      <c r="H5986" t="n">
        <v>0</v>
      </c>
      <c r="I5986" t="n">
        <v>0</v>
      </c>
      <c r="J5986" t="n">
        <v>0</v>
      </c>
      <c r="K5986" t="n">
        <v>0</v>
      </c>
      <c r="L5986" t="n">
        <v>0</v>
      </c>
      <c r="M5986" t="n">
        <v>0</v>
      </c>
      <c r="N5986" t="n">
        <v>0</v>
      </c>
      <c r="O5986" t="n">
        <v>0</v>
      </c>
      <c r="P5986" t="n">
        <v>0</v>
      </c>
      <c r="Q5986" t="n">
        <v>0</v>
      </c>
      <c r="R5986" s="2" t="inlineStr"/>
    </row>
    <row r="5987" ht="15" customHeight="1">
      <c r="A5987" t="inlineStr">
        <is>
          <t>A 43114-2024</t>
        </is>
      </c>
      <c r="B5987" s="1" t="n">
        <v>45567</v>
      </c>
      <c r="C5987" s="1" t="n">
        <v>46103</v>
      </c>
      <c r="D5987" t="inlineStr">
        <is>
          <t>KRONOBERGS LÄN</t>
        </is>
      </c>
      <c r="E5987" t="inlineStr">
        <is>
          <t>LESSEBO</t>
        </is>
      </c>
      <c r="F5987" t="inlineStr">
        <is>
          <t>Sveaskog</t>
        </is>
      </c>
      <c r="G5987" t="n">
        <v>4.6</v>
      </c>
      <c r="H5987" t="n">
        <v>0</v>
      </c>
      <c r="I5987" t="n">
        <v>0</v>
      </c>
      <c r="J5987" t="n">
        <v>0</v>
      </c>
      <c r="K5987" t="n">
        <v>0</v>
      </c>
      <c r="L5987" t="n">
        <v>0</v>
      </c>
      <c r="M5987" t="n">
        <v>0</v>
      </c>
      <c r="N5987" t="n">
        <v>0</v>
      </c>
      <c r="O5987" t="n">
        <v>0</v>
      </c>
      <c r="P5987" t="n">
        <v>0</v>
      </c>
      <c r="Q5987" t="n">
        <v>0</v>
      </c>
      <c r="R5987" s="2" t="inlineStr"/>
    </row>
    <row r="5988" ht="15" customHeight="1">
      <c r="A5988" t="inlineStr">
        <is>
          <t>A 38334-2021</t>
        </is>
      </c>
      <c r="B5988" s="1" t="n">
        <v>44406</v>
      </c>
      <c r="C5988" s="1" t="n">
        <v>46103</v>
      </c>
      <c r="D5988" t="inlineStr">
        <is>
          <t>KRONOBERGS LÄN</t>
        </is>
      </c>
      <c r="E5988" t="inlineStr">
        <is>
          <t>UPPVIDINGE</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19538-2025</t>
        </is>
      </c>
      <c r="B5989" s="1" t="n">
        <v>45770.48070601852</v>
      </c>
      <c r="C5989" s="1" t="n">
        <v>46103</v>
      </c>
      <c r="D5989" t="inlineStr">
        <is>
          <t>KRONOBERGS LÄN</t>
        </is>
      </c>
      <c r="E5989" t="inlineStr">
        <is>
          <t>ÄLMHULT</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3034-2022</t>
        </is>
      </c>
      <c r="B5990" s="1" t="n">
        <v>44582.30452546296</v>
      </c>
      <c r="C5990" s="1" t="n">
        <v>46103</v>
      </c>
      <c r="D5990" t="inlineStr">
        <is>
          <t>KRONOBERGS LÄN</t>
        </is>
      </c>
      <c r="E5990" t="inlineStr">
        <is>
          <t>ÄLMHULT</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14476-2023</t>
        </is>
      </c>
      <c r="B5991" s="1" t="n">
        <v>45012</v>
      </c>
      <c r="C5991" s="1" t="n">
        <v>46103</v>
      </c>
      <c r="D5991" t="inlineStr">
        <is>
          <t>KRONOBERGS LÄN</t>
        </is>
      </c>
      <c r="E5991" t="inlineStr">
        <is>
          <t>LJUNGBY</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15171-2025</t>
        </is>
      </c>
      <c r="B5992" s="1" t="n">
        <v>45744.50616898148</v>
      </c>
      <c r="C5992" s="1" t="n">
        <v>46103</v>
      </c>
      <c r="D5992" t="inlineStr">
        <is>
          <t>KRONOBERGS LÄN</t>
        </is>
      </c>
      <c r="E5992" t="inlineStr">
        <is>
          <t>ALVESTA</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56938-2021</t>
        </is>
      </c>
      <c r="B5993" s="1" t="n">
        <v>44482.3475</v>
      </c>
      <c r="C5993" s="1" t="n">
        <v>46103</v>
      </c>
      <c r="D5993" t="inlineStr">
        <is>
          <t>KRONOBERGS LÄN</t>
        </is>
      </c>
      <c r="E5993" t="inlineStr">
        <is>
          <t>ÄLMHULT</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17927-2025</t>
        </is>
      </c>
      <c r="B5994" s="1" t="n">
        <v>45759.41274305555</v>
      </c>
      <c r="C5994" s="1" t="n">
        <v>46103</v>
      </c>
      <c r="D5994" t="inlineStr">
        <is>
          <t>KRONOBERGS LÄN</t>
        </is>
      </c>
      <c r="E5994" t="inlineStr">
        <is>
          <t>ÄLMHULT</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11552-2025</t>
        </is>
      </c>
      <c r="B5995" s="1" t="n">
        <v>45727.34787037037</v>
      </c>
      <c r="C5995" s="1" t="n">
        <v>46103</v>
      </c>
      <c r="D5995" t="inlineStr">
        <is>
          <t>KRONOBERGS LÄN</t>
        </is>
      </c>
      <c r="E5995" t="inlineStr">
        <is>
          <t>LJUNGBY</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42686-2023</t>
        </is>
      </c>
      <c r="B5996" s="1" t="n">
        <v>45181.58791666666</v>
      </c>
      <c r="C5996" s="1" t="n">
        <v>46103</v>
      </c>
      <c r="D5996" t="inlineStr">
        <is>
          <t>KRONOBERGS LÄN</t>
        </is>
      </c>
      <c r="E5996" t="inlineStr">
        <is>
          <t>LJUNGBY</t>
        </is>
      </c>
      <c r="G5996" t="n">
        <v>3.4</v>
      </c>
      <c r="H5996" t="n">
        <v>0</v>
      </c>
      <c r="I5996" t="n">
        <v>0</v>
      </c>
      <c r="J5996" t="n">
        <v>0</v>
      </c>
      <c r="K5996" t="n">
        <v>0</v>
      </c>
      <c r="L5996" t="n">
        <v>0</v>
      </c>
      <c r="M5996" t="n">
        <v>0</v>
      </c>
      <c r="N5996" t="n">
        <v>0</v>
      </c>
      <c r="O5996" t="n">
        <v>0</v>
      </c>
      <c r="P5996" t="n">
        <v>0</v>
      </c>
      <c r="Q5996" t="n">
        <v>0</v>
      </c>
      <c r="R5996" s="2" t="inlineStr"/>
    </row>
    <row r="5997" ht="15" customHeight="1">
      <c r="A5997" t="inlineStr">
        <is>
          <t>A 60815-2024</t>
        </is>
      </c>
      <c r="B5997" s="1" t="n">
        <v>45644.62018518519</v>
      </c>
      <c r="C5997" s="1" t="n">
        <v>46103</v>
      </c>
      <c r="D5997" t="inlineStr">
        <is>
          <t>KRONOBERGS LÄN</t>
        </is>
      </c>
      <c r="E5997" t="inlineStr">
        <is>
          <t>VÄXJÖ</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28336-2022</t>
        </is>
      </c>
      <c r="B5998" s="1" t="n">
        <v>44747</v>
      </c>
      <c r="C5998" s="1" t="n">
        <v>46103</v>
      </c>
      <c r="D5998" t="inlineStr">
        <is>
          <t>KRONOBERGS LÄN</t>
        </is>
      </c>
      <c r="E5998" t="inlineStr">
        <is>
          <t>ALVESTA</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35481-2024</t>
        </is>
      </c>
      <c r="B5999" s="1" t="n">
        <v>45531.48230324074</v>
      </c>
      <c r="C5999" s="1" t="n">
        <v>46103</v>
      </c>
      <c r="D5999" t="inlineStr">
        <is>
          <t>KRONOBERGS LÄN</t>
        </is>
      </c>
      <c r="E5999" t="inlineStr">
        <is>
          <t>ÄLMHULT</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38390-2022</t>
        </is>
      </c>
      <c r="B6000" s="1" t="n">
        <v>44812</v>
      </c>
      <c r="C6000" s="1" t="n">
        <v>46103</v>
      </c>
      <c r="D6000" t="inlineStr">
        <is>
          <t>KRONOBERGS LÄN</t>
        </is>
      </c>
      <c r="E6000" t="inlineStr">
        <is>
          <t>VÄXJÖ</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38407-2022</t>
        </is>
      </c>
      <c r="B6001" s="1" t="n">
        <v>44812</v>
      </c>
      <c r="C6001" s="1" t="n">
        <v>46103</v>
      </c>
      <c r="D6001" t="inlineStr">
        <is>
          <t>KRONOBERGS LÄN</t>
        </is>
      </c>
      <c r="E6001" t="inlineStr">
        <is>
          <t>LJUNGBY</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11271-2023</t>
        </is>
      </c>
      <c r="B6002" s="1" t="n">
        <v>44992</v>
      </c>
      <c r="C6002" s="1" t="n">
        <v>46103</v>
      </c>
      <c r="D6002" t="inlineStr">
        <is>
          <t>KRONOBERGS LÄN</t>
        </is>
      </c>
      <c r="E6002" t="inlineStr">
        <is>
          <t>VÄXJÖ</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61134-2022</t>
        </is>
      </c>
      <c r="B6003" s="1" t="n">
        <v>44908</v>
      </c>
      <c r="C6003" s="1" t="n">
        <v>46103</v>
      </c>
      <c r="D6003" t="inlineStr">
        <is>
          <t>KRONOBERGS LÄN</t>
        </is>
      </c>
      <c r="E6003" t="inlineStr">
        <is>
          <t>UPPVIDINGE</t>
        </is>
      </c>
      <c r="F6003" t="inlineStr">
        <is>
          <t>Kyrkan</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3517-2025</t>
        </is>
      </c>
      <c r="B6004" s="1" t="n">
        <v>45680.59917824074</v>
      </c>
      <c r="C6004" s="1" t="n">
        <v>46103</v>
      </c>
      <c r="D6004" t="inlineStr">
        <is>
          <t>KRONOBERGS LÄN</t>
        </is>
      </c>
      <c r="E6004" t="inlineStr">
        <is>
          <t>ÄLMHULT</t>
        </is>
      </c>
      <c r="F6004" t="inlineStr">
        <is>
          <t>Sveaskog</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3142-2025</t>
        </is>
      </c>
      <c r="B6005" s="1" t="n">
        <v>45678.76413194444</v>
      </c>
      <c r="C6005" s="1" t="n">
        <v>46103</v>
      </c>
      <c r="D6005" t="inlineStr">
        <is>
          <t>KRONOBERGS LÄN</t>
        </is>
      </c>
      <c r="E6005" t="inlineStr">
        <is>
          <t>MARKARYD</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34456-2023</t>
        </is>
      </c>
      <c r="B6006" s="1" t="n">
        <v>45139.69394675926</v>
      </c>
      <c r="C6006" s="1" t="n">
        <v>46103</v>
      </c>
      <c r="D6006" t="inlineStr">
        <is>
          <t>KRONOBERGS LÄN</t>
        </is>
      </c>
      <c r="E6006" t="inlineStr">
        <is>
          <t>VÄXJÖ</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48243-2023</t>
        </is>
      </c>
      <c r="B6007" s="1" t="n">
        <v>45205</v>
      </c>
      <c r="C6007" s="1" t="n">
        <v>46103</v>
      </c>
      <c r="D6007" t="inlineStr">
        <is>
          <t>KRONOBERGS LÄN</t>
        </is>
      </c>
      <c r="E6007" t="inlineStr">
        <is>
          <t>LJUNGBY</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8781-2023</t>
        </is>
      </c>
      <c r="B6008" s="1" t="n">
        <v>44978.57898148148</v>
      </c>
      <c r="C6008" s="1" t="n">
        <v>46103</v>
      </c>
      <c r="D6008" t="inlineStr">
        <is>
          <t>KRONOBERGS LÄN</t>
        </is>
      </c>
      <c r="E6008" t="inlineStr">
        <is>
          <t>ALVESTA</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59114-2022</t>
        </is>
      </c>
      <c r="B6009" s="1" t="n">
        <v>44897</v>
      </c>
      <c r="C6009" s="1" t="n">
        <v>46103</v>
      </c>
      <c r="D6009" t="inlineStr">
        <is>
          <t>KRONOBERGS LÄN</t>
        </is>
      </c>
      <c r="E6009" t="inlineStr">
        <is>
          <t>ÄLMHULT</t>
        </is>
      </c>
      <c r="G6009" t="n">
        <v>2.8</v>
      </c>
      <c r="H6009" t="n">
        <v>0</v>
      </c>
      <c r="I6009" t="n">
        <v>0</v>
      </c>
      <c r="J6009" t="n">
        <v>0</v>
      </c>
      <c r="K6009" t="n">
        <v>0</v>
      </c>
      <c r="L6009" t="n">
        <v>0</v>
      </c>
      <c r="M6009" t="n">
        <v>0</v>
      </c>
      <c r="N6009" t="n">
        <v>0</v>
      </c>
      <c r="O6009" t="n">
        <v>0</v>
      </c>
      <c r="P6009" t="n">
        <v>0</v>
      </c>
      <c r="Q6009" t="n">
        <v>0</v>
      </c>
      <c r="R6009" s="2" t="inlineStr"/>
    </row>
    <row r="6010" ht="15" customHeight="1">
      <c r="A6010" t="inlineStr">
        <is>
          <t>A 48145-2021</t>
        </is>
      </c>
      <c r="B6010" s="1" t="n">
        <v>44449</v>
      </c>
      <c r="C6010" s="1" t="n">
        <v>46103</v>
      </c>
      <c r="D6010" t="inlineStr">
        <is>
          <t>KRONOBERGS LÄN</t>
        </is>
      </c>
      <c r="E6010" t="inlineStr">
        <is>
          <t>ÄLMHULT</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14796-2025</t>
        </is>
      </c>
      <c r="B6011" s="1" t="n">
        <v>45742.89054398148</v>
      </c>
      <c r="C6011" s="1" t="n">
        <v>46103</v>
      </c>
      <c r="D6011" t="inlineStr">
        <is>
          <t>KRONOBERGS LÄN</t>
        </is>
      </c>
      <c r="E6011" t="inlineStr">
        <is>
          <t>LJUNGBY</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11422-2024</t>
        </is>
      </c>
      <c r="B6012" s="1" t="n">
        <v>45372.49458333333</v>
      </c>
      <c r="C6012" s="1" t="n">
        <v>46103</v>
      </c>
      <c r="D6012" t="inlineStr">
        <is>
          <t>KRONOBERGS LÄN</t>
        </is>
      </c>
      <c r="E6012" t="inlineStr">
        <is>
          <t>UPPVIDINGE</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18432-2022</t>
        </is>
      </c>
      <c r="B6013" s="1" t="n">
        <v>44685</v>
      </c>
      <c r="C6013" s="1" t="n">
        <v>46103</v>
      </c>
      <c r="D6013" t="inlineStr">
        <is>
          <t>KRONOBERGS LÄN</t>
        </is>
      </c>
      <c r="E6013" t="inlineStr">
        <is>
          <t>TINGSRYD</t>
        </is>
      </c>
      <c r="G6013" t="n">
        <v>4.7</v>
      </c>
      <c r="H6013" t="n">
        <v>0</v>
      </c>
      <c r="I6013" t="n">
        <v>0</v>
      </c>
      <c r="J6013" t="n">
        <v>0</v>
      </c>
      <c r="K6013" t="n">
        <v>0</v>
      </c>
      <c r="L6013" t="n">
        <v>0</v>
      </c>
      <c r="M6013" t="n">
        <v>0</v>
      </c>
      <c r="N6013" t="n">
        <v>0</v>
      </c>
      <c r="O6013" t="n">
        <v>0</v>
      </c>
      <c r="P6013" t="n">
        <v>0</v>
      </c>
      <c r="Q6013" t="n">
        <v>0</v>
      </c>
      <c r="R6013" s="2" t="inlineStr"/>
    </row>
    <row r="6014" ht="15" customHeight="1">
      <c r="A6014" t="inlineStr">
        <is>
          <t>A 18435-2022</t>
        </is>
      </c>
      <c r="B6014" s="1" t="n">
        <v>44685</v>
      </c>
      <c r="C6014" s="1" t="n">
        <v>46103</v>
      </c>
      <c r="D6014" t="inlineStr">
        <is>
          <t>KRONOBERGS LÄN</t>
        </is>
      </c>
      <c r="E6014" t="inlineStr">
        <is>
          <t>TINGSRYD</t>
        </is>
      </c>
      <c r="G6014" t="n">
        <v>4.2</v>
      </c>
      <c r="H6014" t="n">
        <v>0</v>
      </c>
      <c r="I6014" t="n">
        <v>0</v>
      </c>
      <c r="J6014" t="n">
        <v>0</v>
      </c>
      <c r="K6014" t="n">
        <v>0</v>
      </c>
      <c r="L6014" t="n">
        <v>0</v>
      </c>
      <c r="M6014" t="n">
        <v>0</v>
      </c>
      <c r="N6014" t="n">
        <v>0</v>
      </c>
      <c r="O6014" t="n">
        <v>0</v>
      </c>
      <c r="P6014" t="n">
        <v>0</v>
      </c>
      <c r="Q6014" t="n">
        <v>0</v>
      </c>
      <c r="R6014" s="2" t="inlineStr"/>
    </row>
    <row r="6015" ht="15" customHeight="1">
      <c r="A6015" t="inlineStr">
        <is>
          <t>A 2833-2022</t>
        </is>
      </c>
      <c r="B6015" s="1" t="n">
        <v>44581.43471064815</v>
      </c>
      <c r="C6015" s="1" t="n">
        <v>46103</v>
      </c>
      <c r="D6015" t="inlineStr">
        <is>
          <t>KRONOBERGS LÄN</t>
        </is>
      </c>
      <c r="E6015" t="inlineStr">
        <is>
          <t>MARKARYD</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2847-2022</t>
        </is>
      </c>
      <c r="B6016" s="1" t="n">
        <v>44581.4650925926</v>
      </c>
      <c r="C6016" s="1" t="n">
        <v>46103</v>
      </c>
      <c r="D6016" t="inlineStr">
        <is>
          <t>KRONOBERGS LÄN</t>
        </is>
      </c>
      <c r="E6016" t="inlineStr">
        <is>
          <t>ALVESTA</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73861-2021</t>
        </is>
      </c>
      <c r="B6017" s="1" t="n">
        <v>44553.3641087963</v>
      </c>
      <c r="C6017" s="1" t="n">
        <v>46103</v>
      </c>
      <c r="D6017" t="inlineStr">
        <is>
          <t>KRONOBERGS LÄN</t>
        </is>
      </c>
      <c r="E6017" t="inlineStr">
        <is>
          <t>MARKARYD</t>
        </is>
      </c>
      <c r="G6017" t="n">
        <v>3.4</v>
      </c>
      <c r="H6017" t="n">
        <v>0</v>
      </c>
      <c r="I6017" t="n">
        <v>0</v>
      </c>
      <c r="J6017" t="n">
        <v>0</v>
      </c>
      <c r="K6017" t="n">
        <v>0</v>
      </c>
      <c r="L6017" t="n">
        <v>0</v>
      </c>
      <c r="M6017" t="n">
        <v>0</v>
      </c>
      <c r="N6017" t="n">
        <v>0</v>
      </c>
      <c r="O6017" t="n">
        <v>0</v>
      </c>
      <c r="P6017" t="n">
        <v>0</v>
      </c>
      <c r="Q6017" t="n">
        <v>0</v>
      </c>
      <c r="R6017" s="2" t="inlineStr"/>
    </row>
    <row r="6018" ht="15" customHeight="1">
      <c r="A6018" t="inlineStr">
        <is>
          <t>A 46076-2023</t>
        </is>
      </c>
      <c r="B6018" s="1" t="n">
        <v>45196.47457175926</v>
      </c>
      <c r="C6018" s="1" t="n">
        <v>46103</v>
      </c>
      <c r="D6018" t="inlineStr">
        <is>
          <t>KRONOBERGS LÄN</t>
        </is>
      </c>
      <c r="E6018" t="inlineStr">
        <is>
          <t>UPPVIDINGE</t>
        </is>
      </c>
      <c r="G6018" t="n">
        <v>5</v>
      </c>
      <c r="H6018" t="n">
        <v>0</v>
      </c>
      <c r="I6018" t="n">
        <v>0</v>
      </c>
      <c r="J6018" t="n">
        <v>0</v>
      </c>
      <c r="K6018" t="n">
        <v>0</v>
      </c>
      <c r="L6018" t="n">
        <v>0</v>
      </c>
      <c r="M6018" t="n">
        <v>0</v>
      </c>
      <c r="N6018" t="n">
        <v>0</v>
      </c>
      <c r="O6018" t="n">
        <v>0</v>
      </c>
      <c r="P6018" t="n">
        <v>0</v>
      </c>
      <c r="Q6018" t="n">
        <v>0</v>
      </c>
      <c r="R6018" s="2" t="inlineStr"/>
    </row>
    <row r="6019" ht="15" customHeight="1">
      <c r="A6019" t="inlineStr">
        <is>
          <t>A 46740-2024</t>
        </is>
      </c>
      <c r="B6019" s="1" t="n">
        <v>45583.47490740741</v>
      </c>
      <c r="C6019" s="1" t="n">
        <v>46103</v>
      </c>
      <c r="D6019" t="inlineStr">
        <is>
          <t>KRONOBERGS LÄN</t>
        </is>
      </c>
      <c r="E6019" t="inlineStr">
        <is>
          <t>ÄLMHULT</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16944-2025</t>
        </is>
      </c>
      <c r="B6020" s="1" t="n">
        <v>45755</v>
      </c>
      <c r="C6020" s="1" t="n">
        <v>46103</v>
      </c>
      <c r="D6020" t="inlineStr">
        <is>
          <t>KRONOBERGS LÄN</t>
        </is>
      </c>
      <c r="E6020" t="inlineStr">
        <is>
          <t>UPPVIDINGE</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9288-2023</t>
        </is>
      </c>
      <c r="B6021" s="1" t="n">
        <v>44980.62431712963</v>
      </c>
      <c r="C6021" s="1" t="n">
        <v>46103</v>
      </c>
      <c r="D6021" t="inlineStr">
        <is>
          <t>KRONOBERGS LÄN</t>
        </is>
      </c>
      <c r="E6021" t="inlineStr">
        <is>
          <t>LJUNGBY</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16955-2025</t>
        </is>
      </c>
      <c r="B6022" s="1" t="n">
        <v>45755</v>
      </c>
      <c r="C6022" s="1" t="n">
        <v>46103</v>
      </c>
      <c r="D6022" t="inlineStr">
        <is>
          <t>KRONOBERGS LÄN</t>
        </is>
      </c>
      <c r="E6022" t="inlineStr">
        <is>
          <t>TINGSRYD</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37843-2024</t>
        </is>
      </c>
      <c r="B6023" s="1" t="n">
        <v>45544.36585648148</v>
      </c>
      <c r="C6023" s="1" t="n">
        <v>46103</v>
      </c>
      <c r="D6023" t="inlineStr">
        <is>
          <t>KRONOBERGS LÄN</t>
        </is>
      </c>
      <c r="E6023" t="inlineStr">
        <is>
          <t>ALVESTA</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37648-2022</t>
        </is>
      </c>
      <c r="B6024" s="1" t="n">
        <v>44810</v>
      </c>
      <c r="C6024" s="1" t="n">
        <v>46103</v>
      </c>
      <c r="D6024" t="inlineStr">
        <is>
          <t>KRONOBERGS LÄN</t>
        </is>
      </c>
      <c r="E6024" t="inlineStr">
        <is>
          <t>LJUNGBY</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42940-2022</t>
        </is>
      </c>
      <c r="B6025" s="1" t="n">
        <v>44833</v>
      </c>
      <c r="C6025" s="1" t="n">
        <v>46103</v>
      </c>
      <c r="D6025" t="inlineStr">
        <is>
          <t>KRONOBERGS LÄN</t>
        </is>
      </c>
      <c r="E6025" t="inlineStr">
        <is>
          <t>UPPVIDINGE</t>
        </is>
      </c>
      <c r="F6025" t="inlineStr">
        <is>
          <t>Sveaskog</t>
        </is>
      </c>
      <c r="G6025" t="n">
        <v>3.7</v>
      </c>
      <c r="H6025" t="n">
        <v>0</v>
      </c>
      <c r="I6025" t="n">
        <v>0</v>
      </c>
      <c r="J6025" t="n">
        <v>0</v>
      </c>
      <c r="K6025" t="n">
        <v>0</v>
      </c>
      <c r="L6025" t="n">
        <v>0</v>
      </c>
      <c r="M6025" t="n">
        <v>0</v>
      </c>
      <c r="N6025" t="n">
        <v>0</v>
      </c>
      <c r="O6025" t="n">
        <v>0</v>
      </c>
      <c r="P6025" t="n">
        <v>0</v>
      </c>
      <c r="Q6025" t="n">
        <v>0</v>
      </c>
      <c r="R6025" s="2" t="inlineStr"/>
    </row>
    <row r="6026" ht="15" customHeight="1">
      <c r="A6026" t="inlineStr">
        <is>
          <t>A 1286-2024</t>
        </is>
      </c>
      <c r="B6026" s="1" t="n">
        <v>45303</v>
      </c>
      <c r="C6026" s="1" t="n">
        <v>46103</v>
      </c>
      <c r="D6026" t="inlineStr">
        <is>
          <t>KRONOBERGS LÄN</t>
        </is>
      </c>
      <c r="E6026" t="inlineStr">
        <is>
          <t>ÄLMHULT</t>
        </is>
      </c>
      <c r="G6026" t="n">
        <v>5.5</v>
      </c>
      <c r="H6026" t="n">
        <v>0</v>
      </c>
      <c r="I6026" t="n">
        <v>0</v>
      </c>
      <c r="J6026" t="n">
        <v>0</v>
      </c>
      <c r="K6026" t="n">
        <v>0</v>
      </c>
      <c r="L6026" t="n">
        <v>0</v>
      </c>
      <c r="M6026" t="n">
        <v>0</v>
      </c>
      <c r="N6026" t="n">
        <v>0</v>
      </c>
      <c r="O6026" t="n">
        <v>0</v>
      </c>
      <c r="P6026" t="n">
        <v>0</v>
      </c>
      <c r="Q6026" t="n">
        <v>0</v>
      </c>
      <c r="R6026" s="2" t="inlineStr"/>
    </row>
    <row r="6027" ht="15" customHeight="1">
      <c r="A6027" t="inlineStr">
        <is>
          <t>A 17403-2025</t>
        </is>
      </c>
      <c r="B6027" s="1" t="n">
        <v>45757.35355324074</v>
      </c>
      <c r="C6027" s="1" t="n">
        <v>46103</v>
      </c>
      <c r="D6027" t="inlineStr">
        <is>
          <t>KRONOBERGS LÄN</t>
        </is>
      </c>
      <c r="E6027" t="inlineStr">
        <is>
          <t>LESSEBO</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57032-2023</t>
        </is>
      </c>
      <c r="B6028" s="1" t="n">
        <v>45244.86136574074</v>
      </c>
      <c r="C6028" s="1" t="n">
        <v>46103</v>
      </c>
      <c r="D6028" t="inlineStr">
        <is>
          <t>KRONOBERGS LÄN</t>
        </is>
      </c>
      <c r="E6028" t="inlineStr">
        <is>
          <t>UPPVIDINGE</t>
        </is>
      </c>
      <c r="G6028" t="n">
        <v>3.6</v>
      </c>
      <c r="H6028" t="n">
        <v>0</v>
      </c>
      <c r="I6028" t="n">
        <v>0</v>
      </c>
      <c r="J6028" t="n">
        <v>0</v>
      </c>
      <c r="K6028" t="n">
        <v>0</v>
      </c>
      <c r="L6028" t="n">
        <v>0</v>
      </c>
      <c r="M6028" t="n">
        <v>0</v>
      </c>
      <c r="N6028" t="n">
        <v>0</v>
      </c>
      <c r="O6028" t="n">
        <v>0</v>
      </c>
      <c r="P6028" t="n">
        <v>0</v>
      </c>
      <c r="Q6028" t="n">
        <v>0</v>
      </c>
      <c r="R6028" s="2" t="inlineStr"/>
    </row>
    <row r="6029" ht="15" customHeight="1">
      <c r="A6029" t="inlineStr">
        <is>
          <t>A 57041-2023</t>
        </is>
      </c>
      <c r="B6029" s="1" t="n">
        <v>45244</v>
      </c>
      <c r="C6029" s="1" t="n">
        <v>46103</v>
      </c>
      <c r="D6029" t="inlineStr">
        <is>
          <t>KRONOBERGS LÄN</t>
        </is>
      </c>
      <c r="E6029" t="inlineStr">
        <is>
          <t>VÄXJÖ</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53865-2023</t>
        </is>
      </c>
      <c r="B6030" s="1" t="n">
        <v>45231</v>
      </c>
      <c r="C6030" s="1" t="n">
        <v>46103</v>
      </c>
      <c r="D6030" t="inlineStr">
        <is>
          <t>KRONOBERGS LÄN</t>
        </is>
      </c>
      <c r="E6030" t="inlineStr">
        <is>
          <t>LJUNGBY</t>
        </is>
      </c>
      <c r="G6030" t="n">
        <v>6.6</v>
      </c>
      <c r="H6030" t="n">
        <v>0</v>
      </c>
      <c r="I6030" t="n">
        <v>0</v>
      </c>
      <c r="J6030" t="n">
        <v>0</v>
      </c>
      <c r="K6030" t="n">
        <v>0</v>
      </c>
      <c r="L6030" t="n">
        <v>0</v>
      </c>
      <c r="M6030" t="n">
        <v>0</v>
      </c>
      <c r="N6030" t="n">
        <v>0</v>
      </c>
      <c r="O6030" t="n">
        <v>0</v>
      </c>
      <c r="P6030" t="n">
        <v>0</v>
      </c>
      <c r="Q6030" t="n">
        <v>0</v>
      </c>
      <c r="R6030" s="2" t="inlineStr"/>
    </row>
    <row r="6031" ht="15" customHeight="1">
      <c r="A6031" t="inlineStr">
        <is>
          <t>A 17298-2023</t>
        </is>
      </c>
      <c r="B6031" s="1" t="n">
        <v>45035</v>
      </c>
      <c r="C6031" s="1" t="n">
        <v>46103</v>
      </c>
      <c r="D6031" t="inlineStr">
        <is>
          <t>KRONOBERGS LÄN</t>
        </is>
      </c>
      <c r="E6031" t="inlineStr">
        <is>
          <t>LJUNGBY</t>
        </is>
      </c>
      <c r="G6031" t="n">
        <v>4.8</v>
      </c>
      <c r="H6031" t="n">
        <v>0</v>
      </c>
      <c r="I6031" t="n">
        <v>0</v>
      </c>
      <c r="J6031" t="n">
        <v>0</v>
      </c>
      <c r="K6031" t="n">
        <v>0</v>
      </c>
      <c r="L6031" t="n">
        <v>0</v>
      </c>
      <c r="M6031" t="n">
        <v>0</v>
      </c>
      <c r="N6031" t="n">
        <v>0</v>
      </c>
      <c r="O6031" t="n">
        <v>0</v>
      </c>
      <c r="P6031" t="n">
        <v>0</v>
      </c>
      <c r="Q6031" t="n">
        <v>0</v>
      </c>
      <c r="R6031" s="2" t="inlineStr"/>
    </row>
    <row r="6032" ht="15" customHeight="1">
      <c r="A6032" t="inlineStr">
        <is>
          <t>A 17333-2023</t>
        </is>
      </c>
      <c r="B6032" s="1" t="n">
        <v>45035.56302083333</v>
      </c>
      <c r="C6032" s="1" t="n">
        <v>46103</v>
      </c>
      <c r="D6032" t="inlineStr">
        <is>
          <t>KRONOBERGS LÄN</t>
        </is>
      </c>
      <c r="E6032" t="inlineStr">
        <is>
          <t>TINGSRYD</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25670-2021</t>
        </is>
      </c>
      <c r="B6033" s="1" t="n">
        <v>44343</v>
      </c>
      <c r="C6033" s="1" t="n">
        <v>46103</v>
      </c>
      <c r="D6033" t="inlineStr">
        <is>
          <t>KRONOBERGS LÄN</t>
        </is>
      </c>
      <c r="E6033" t="inlineStr">
        <is>
          <t>TINGSRYD</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23590-2023</t>
        </is>
      </c>
      <c r="B6034" s="1" t="n">
        <v>45077.43420138889</v>
      </c>
      <c r="C6034" s="1" t="n">
        <v>46103</v>
      </c>
      <c r="D6034" t="inlineStr">
        <is>
          <t>KRONOBERGS LÄN</t>
        </is>
      </c>
      <c r="E6034" t="inlineStr">
        <is>
          <t>LJUNGBY</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35179-2021</t>
        </is>
      </c>
      <c r="B6035" s="1" t="n">
        <v>44384</v>
      </c>
      <c r="C6035" s="1" t="n">
        <v>46103</v>
      </c>
      <c r="D6035" t="inlineStr">
        <is>
          <t>KRONOBERGS LÄN</t>
        </is>
      </c>
      <c r="E6035" t="inlineStr">
        <is>
          <t>VÄXJÖ</t>
        </is>
      </c>
      <c r="G6035" t="n">
        <v>4.2</v>
      </c>
      <c r="H6035" t="n">
        <v>0</v>
      </c>
      <c r="I6035" t="n">
        <v>0</v>
      </c>
      <c r="J6035" t="n">
        <v>0</v>
      </c>
      <c r="K6035" t="n">
        <v>0</v>
      </c>
      <c r="L6035" t="n">
        <v>0</v>
      </c>
      <c r="M6035" t="n">
        <v>0</v>
      </c>
      <c r="N6035" t="n">
        <v>0</v>
      </c>
      <c r="O6035" t="n">
        <v>0</v>
      </c>
      <c r="P6035" t="n">
        <v>0</v>
      </c>
      <c r="Q6035" t="n">
        <v>0</v>
      </c>
      <c r="R6035" s="2" t="inlineStr"/>
    </row>
    <row r="6036" ht="15" customHeight="1">
      <c r="A6036" t="inlineStr">
        <is>
          <t>A 21745-2022</t>
        </is>
      </c>
      <c r="B6036" s="1" t="n">
        <v>44708</v>
      </c>
      <c r="C6036" s="1" t="n">
        <v>46103</v>
      </c>
      <c r="D6036" t="inlineStr">
        <is>
          <t>KRONOBERGS LÄN</t>
        </is>
      </c>
      <c r="E6036" t="inlineStr">
        <is>
          <t>LESSEBO</t>
        </is>
      </c>
      <c r="G6036" t="n">
        <v>9.699999999999999</v>
      </c>
      <c r="H6036" t="n">
        <v>0</v>
      </c>
      <c r="I6036" t="n">
        <v>0</v>
      </c>
      <c r="J6036" t="n">
        <v>0</v>
      </c>
      <c r="K6036" t="n">
        <v>0</v>
      </c>
      <c r="L6036" t="n">
        <v>0</v>
      </c>
      <c r="M6036" t="n">
        <v>0</v>
      </c>
      <c r="N6036" t="n">
        <v>0</v>
      </c>
      <c r="O6036" t="n">
        <v>0</v>
      </c>
      <c r="P6036" t="n">
        <v>0</v>
      </c>
      <c r="Q6036" t="n">
        <v>0</v>
      </c>
      <c r="R6036" s="2" t="inlineStr"/>
    </row>
    <row r="6037" ht="15" customHeight="1">
      <c r="A6037" t="inlineStr">
        <is>
          <t>A 37374-2022</t>
        </is>
      </c>
      <c r="B6037" s="1" t="n">
        <v>44809.39893518519</v>
      </c>
      <c r="C6037" s="1" t="n">
        <v>46103</v>
      </c>
      <c r="D6037" t="inlineStr">
        <is>
          <t>KRONOBERGS LÄN</t>
        </is>
      </c>
      <c r="E6037" t="inlineStr">
        <is>
          <t>LJUNGBY</t>
        </is>
      </c>
      <c r="G6037" t="n">
        <v>3.9</v>
      </c>
      <c r="H6037" t="n">
        <v>0</v>
      </c>
      <c r="I6037" t="n">
        <v>0</v>
      </c>
      <c r="J6037" t="n">
        <v>0</v>
      </c>
      <c r="K6037" t="n">
        <v>0</v>
      </c>
      <c r="L6037" t="n">
        <v>0</v>
      </c>
      <c r="M6037" t="n">
        <v>0</v>
      </c>
      <c r="N6037" t="n">
        <v>0</v>
      </c>
      <c r="O6037" t="n">
        <v>0</v>
      </c>
      <c r="P6037" t="n">
        <v>0</v>
      </c>
      <c r="Q6037" t="n">
        <v>0</v>
      </c>
      <c r="R6037" s="2" t="inlineStr"/>
    </row>
    <row r="6038" ht="15" customHeight="1">
      <c r="A6038" t="inlineStr">
        <is>
          <t>A 3332-2023</t>
        </is>
      </c>
      <c r="B6038" s="1" t="n">
        <v>44949.44320601852</v>
      </c>
      <c r="C6038" s="1" t="n">
        <v>46103</v>
      </c>
      <c r="D6038" t="inlineStr">
        <is>
          <t>KRONOBERGS LÄN</t>
        </is>
      </c>
      <c r="E6038" t="inlineStr">
        <is>
          <t>TINGSRYD</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54256-2023</t>
        </is>
      </c>
      <c r="B6039" s="1" t="n">
        <v>45232.63908564814</v>
      </c>
      <c r="C6039" s="1" t="n">
        <v>46103</v>
      </c>
      <c r="D6039" t="inlineStr">
        <is>
          <t>KRONOBERGS LÄN</t>
        </is>
      </c>
      <c r="E6039" t="inlineStr">
        <is>
          <t>VÄXJÖ</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37818-2022</t>
        </is>
      </c>
      <c r="B6040" s="1" t="n">
        <v>44810.89967592592</v>
      </c>
      <c r="C6040" s="1" t="n">
        <v>46103</v>
      </c>
      <c r="D6040" t="inlineStr">
        <is>
          <t>KRONOBERGS LÄN</t>
        </is>
      </c>
      <c r="E6040" t="inlineStr">
        <is>
          <t>MARKARYD</t>
        </is>
      </c>
      <c r="G6040" t="n">
        <v>5.2</v>
      </c>
      <c r="H6040" t="n">
        <v>0</v>
      </c>
      <c r="I6040" t="n">
        <v>0</v>
      </c>
      <c r="J6040" t="n">
        <v>0</v>
      </c>
      <c r="K6040" t="n">
        <v>0</v>
      </c>
      <c r="L6040" t="n">
        <v>0</v>
      </c>
      <c r="M6040" t="n">
        <v>0</v>
      </c>
      <c r="N6040" t="n">
        <v>0</v>
      </c>
      <c r="O6040" t="n">
        <v>0</v>
      </c>
      <c r="P6040" t="n">
        <v>0</v>
      </c>
      <c r="Q6040" t="n">
        <v>0</v>
      </c>
      <c r="R6040" s="2" t="inlineStr"/>
    </row>
    <row r="6041" ht="15" customHeight="1">
      <c r="A6041" t="inlineStr">
        <is>
          <t>A 1715-2025</t>
        </is>
      </c>
      <c r="B6041" s="1" t="n">
        <v>45671</v>
      </c>
      <c r="C6041" s="1" t="n">
        <v>46103</v>
      </c>
      <c r="D6041" t="inlineStr">
        <is>
          <t>KRONOBERGS LÄN</t>
        </is>
      </c>
      <c r="E6041" t="inlineStr">
        <is>
          <t>MARKARYD</t>
        </is>
      </c>
      <c r="G6041" t="n">
        <v>10.9</v>
      </c>
      <c r="H6041" t="n">
        <v>0</v>
      </c>
      <c r="I6041" t="n">
        <v>0</v>
      </c>
      <c r="J6041" t="n">
        <v>0</v>
      </c>
      <c r="K6041" t="n">
        <v>0</v>
      </c>
      <c r="L6041" t="n">
        <v>0</v>
      </c>
      <c r="M6041" t="n">
        <v>0</v>
      </c>
      <c r="N6041" t="n">
        <v>0</v>
      </c>
      <c r="O6041" t="n">
        <v>0</v>
      </c>
      <c r="P6041" t="n">
        <v>0</v>
      </c>
      <c r="Q6041" t="n">
        <v>0</v>
      </c>
      <c r="R6041" s="2" t="inlineStr"/>
    </row>
    <row r="6042" ht="15" customHeight="1">
      <c r="A6042" t="inlineStr">
        <is>
          <t>A 5045-2024</t>
        </is>
      </c>
      <c r="B6042" s="1" t="n">
        <v>45329</v>
      </c>
      <c r="C6042" s="1" t="n">
        <v>46103</v>
      </c>
      <c r="D6042" t="inlineStr">
        <is>
          <t>KRONOBERGS LÄN</t>
        </is>
      </c>
      <c r="E6042" t="inlineStr">
        <is>
          <t>ALVESTA</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2840-2023</t>
        </is>
      </c>
      <c r="B6043" s="1" t="n">
        <v>44945.34497685185</v>
      </c>
      <c r="C6043" s="1" t="n">
        <v>46103</v>
      </c>
      <c r="D6043" t="inlineStr">
        <is>
          <t>KRONOBERGS LÄN</t>
        </is>
      </c>
      <c r="E6043" t="inlineStr">
        <is>
          <t>LJUNGBY</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37399-2024</t>
        </is>
      </c>
      <c r="B6044" s="1" t="n">
        <v>45540.60707175926</v>
      </c>
      <c r="C6044" s="1" t="n">
        <v>46103</v>
      </c>
      <c r="D6044" t="inlineStr">
        <is>
          <t>KRONOBERGS LÄN</t>
        </is>
      </c>
      <c r="E6044" t="inlineStr">
        <is>
          <t>LESSEBO</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49041-2024</t>
        </is>
      </c>
      <c r="B6045" s="1" t="n">
        <v>45594.56443287037</v>
      </c>
      <c r="C6045" s="1" t="n">
        <v>46103</v>
      </c>
      <c r="D6045" t="inlineStr">
        <is>
          <t>KRONOBERGS LÄN</t>
        </is>
      </c>
      <c r="E6045" t="inlineStr">
        <is>
          <t>ÄLMHULT</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49084-2024</t>
        </is>
      </c>
      <c r="B6046" s="1" t="n">
        <v>45594.6306712963</v>
      </c>
      <c r="C6046" s="1" t="n">
        <v>46103</v>
      </c>
      <c r="D6046" t="inlineStr">
        <is>
          <t>KRONOBERGS LÄN</t>
        </is>
      </c>
      <c r="E6046" t="inlineStr">
        <is>
          <t>LJUNGBY</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34209-2023</t>
        </is>
      </c>
      <c r="B6047" s="1" t="n">
        <v>45138</v>
      </c>
      <c r="C6047" s="1" t="n">
        <v>46103</v>
      </c>
      <c r="D6047" t="inlineStr">
        <is>
          <t>KRONOBERGS LÄN</t>
        </is>
      </c>
      <c r="E6047" t="inlineStr">
        <is>
          <t>TINGSRYD</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9822-2023</t>
        </is>
      </c>
      <c r="B6048" s="1" t="n">
        <v>44984</v>
      </c>
      <c r="C6048" s="1" t="n">
        <v>46103</v>
      </c>
      <c r="D6048" t="inlineStr">
        <is>
          <t>KRONOBERGS LÄN</t>
        </is>
      </c>
      <c r="E6048" t="inlineStr">
        <is>
          <t>TINGSRYD</t>
        </is>
      </c>
      <c r="G6048" t="n">
        <v>8.9</v>
      </c>
      <c r="H6048" t="n">
        <v>0</v>
      </c>
      <c r="I6048" t="n">
        <v>0</v>
      </c>
      <c r="J6048" t="n">
        <v>0</v>
      </c>
      <c r="K6048" t="n">
        <v>0</v>
      </c>
      <c r="L6048" t="n">
        <v>0</v>
      </c>
      <c r="M6048" t="n">
        <v>0</v>
      </c>
      <c r="N6048" t="n">
        <v>0</v>
      </c>
      <c r="O6048" t="n">
        <v>0</v>
      </c>
      <c r="P6048" t="n">
        <v>0</v>
      </c>
      <c r="Q6048" t="n">
        <v>0</v>
      </c>
      <c r="R6048" s="2" t="inlineStr"/>
    </row>
    <row r="6049" ht="15" customHeight="1">
      <c r="A6049" t="inlineStr">
        <is>
          <t>A 41143-2024</t>
        </is>
      </c>
      <c r="B6049" s="1" t="n">
        <v>45559</v>
      </c>
      <c r="C6049" s="1" t="n">
        <v>46103</v>
      </c>
      <c r="D6049" t="inlineStr">
        <is>
          <t>KRONOBERGS LÄN</t>
        </is>
      </c>
      <c r="E6049" t="inlineStr">
        <is>
          <t>TINGSRYD</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21254-2023</t>
        </is>
      </c>
      <c r="B6050" s="1" t="n">
        <v>45062.5940162037</v>
      </c>
      <c r="C6050" s="1" t="n">
        <v>46103</v>
      </c>
      <c r="D6050" t="inlineStr">
        <is>
          <t>KRONOBERGS LÄN</t>
        </is>
      </c>
      <c r="E6050" t="inlineStr">
        <is>
          <t>TINGSRYD</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7720-2025</t>
        </is>
      </c>
      <c r="B6051" s="1" t="n">
        <v>45705</v>
      </c>
      <c r="C6051" s="1" t="n">
        <v>46103</v>
      </c>
      <c r="D6051" t="inlineStr">
        <is>
          <t>KRONOBERGS LÄN</t>
        </is>
      </c>
      <c r="E6051" t="inlineStr">
        <is>
          <t>VÄXJÖ</t>
        </is>
      </c>
      <c r="F6051" t="inlineStr">
        <is>
          <t>Kyrkan</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22171-2022</t>
        </is>
      </c>
      <c r="B6052" s="1" t="n">
        <v>44712.45701388889</v>
      </c>
      <c r="C6052" s="1" t="n">
        <v>46103</v>
      </c>
      <c r="D6052" t="inlineStr">
        <is>
          <t>KRONOBERGS LÄN</t>
        </is>
      </c>
      <c r="E6052" t="inlineStr">
        <is>
          <t>TINGSRYD</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21366-2023</t>
        </is>
      </c>
      <c r="B6053" s="1" t="n">
        <v>45063.27048611111</v>
      </c>
      <c r="C6053" s="1" t="n">
        <v>46103</v>
      </c>
      <c r="D6053" t="inlineStr">
        <is>
          <t>KRONOBERGS LÄN</t>
        </is>
      </c>
      <c r="E6053" t="inlineStr">
        <is>
          <t>UPPVIDINGE</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34149-2023</t>
        </is>
      </c>
      <c r="B6054" s="1" t="n">
        <v>45136.71178240741</v>
      </c>
      <c r="C6054" s="1" t="n">
        <v>46103</v>
      </c>
      <c r="D6054" t="inlineStr">
        <is>
          <t>KRONOBERGS LÄN</t>
        </is>
      </c>
      <c r="E6054" t="inlineStr">
        <is>
          <t>ALVESTA</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57365-2023</t>
        </is>
      </c>
      <c r="B6055" s="1" t="n">
        <v>45245.7939699074</v>
      </c>
      <c r="C6055" s="1" t="n">
        <v>46103</v>
      </c>
      <c r="D6055" t="inlineStr">
        <is>
          <t>KRONOBERGS LÄN</t>
        </is>
      </c>
      <c r="E6055" t="inlineStr">
        <is>
          <t>UPPVIDINGE</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41774-2023</t>
        </is>
      </c>
      <c r="B6056" s="1" t="n">
        <v>45176.46609953704</v>
      </c>
      <c r="C6056" s="1" t="n">
        <v>46103</v>
      </c>
      <c r="D6056" t="inlineStr">
        <is>
          <t>KRONOBERGS LÄN</t>
        </is>
      </c>
      <c r="E6056" t="inlineStr">
        <is>
          <t>TINGSRYD</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24019-2023</t>
        </is>
      </c>
      <c r="B6057" s="1" t="n">
        <v>45078</v>
      </c>
      <c r="C6057" s="1" t="n">
        <v>46103</v>
      </c>
      <c r="D6057" t="inlineStr">
        <is>
          <t>KRONOBERGS LÄN</t>
        </is>
      </c>
      <c r="E6057" t="inlineStr">
        <is>
          <t>VÄXJÖ</t>
        </is>
      </c>
      <c r="F6057" t="inlineStr">
        <is>
          <t>Sveaskog</t>
        </is>
      </c>
      <c r="G6057" t="n">
        <v>2.8</v>
      </c>
      <c r="H6057" t="n">
        <v>0</v>
      </c>
      <c r="I6057" t="n">
        <v>0</v>
      </c>
      <c r="J6057" t="n">
        <v>0</v>
      </c>
      <c r="K6057" t="n">
        <v>0</v>
      </c>
      <c r="L6057" t="n">
        <v>0</v>
      </c>
      <c r="M6057" t="n">
        <v>0</v>
      </c>
      <c r="N6057" t="n">
        <v>0</v>
      </c>
      <c r="O6057" t="n">
        <v>0</v>
      </c>
      <c r="P6057" t="n">
        <v>0</v>
      </c>
      <c r="Q6057" t="n">
        <v>0</v>
      </c>
      <c r="R6057" s="2" t="inlineStr"/>
    </row>
    <row r="6058" ht="15" customHeight="1">
      <c r="A6058" t="inlineStr">
        <is>
          <t>A 24624-2024</t>
        </is>
      </c>
      <c r="B6058" s="1" t="n">
        <v>45460.49929398148</v>
      </c>
      <c r="C6058" s="1" t="n">
        <v>46103</v>
      </c>
      <c r="D6058" t="inlineStr">
        <is>
          <t>KRONOBERGS LÄN</t>
        </is>
      </c>
      <c r="E6058" t="inlineStr">
        <is>
          <t>ALVESTA</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26605-2024</t>
        </is>
      </c>
      <c r="B6059" s="1" t="n">
        <v>45469.71447916667</v>
      </c>
      <c r="C6059" s="1" t="n">
        <v>46103</v>
      </c>
      <c r="D6059" t="inlineStr">
        <is>
          <t>KRONOBERGS LÄN</t>
        </is>
      </c>
      <c r="E6059" t="inlineStr">
        <is>
          <t>ÄLMHULT</t>
        </is>
      </c>
      <c r="F6059" t="inlineStr">
        <is>
          <t>Sveaskog</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13840-2025</t>
        </is>
      </c>
      <c r="B6060" s="1" t="n">
        <v>45737.55483796296</v>
      </c>
      <c r="C6060" s="1" t="n">
        <v>46103</v>
      </c>
      <c r="D6060" t="inlineStr">
        <is>
          <t>KRONOBERGS LÄN</t>
        </is>
      </c>
      <c r="E6060" t="inlineStr">
        <is>
          <t>VÄXJÖ</t>
        </is>
      </c>
      <c r="G6060" t="n">
        <v>4.2</v>
      </c>
      <c r="H6060" t="n">
        <v>0</v>
      </c>
      <c r="I6060" t="n">
        <v>0</v>
      </c>
      <c r="J6060" t="n">
        <v>0</v>
      </c>
      <c r="K6060" t="n">
        <v>0</v>
      </c>
      <c r="L6060" t="n">
        <v>0</v>
      </c>
      <c r="M6060" t="n">
        <v>0</v>
      </c>
      <c r="N6060" t="n">
        <v>0</v>
      </c>
      <c r="O6060" t="n">
        <v>0</v>
      </c>
      <c r="P6060" t="n">
        <v>0</v>
      </c>
      <c r="Q6060" t="n">
        <v>0</v>
      </c>
      <c r="R6060" s="2" t="inlineStr"/>
    </row>
    <row r="6061" ht="15" customHeight="1">
      <c r="A6061" t="inlineStr">
        <is>
          <t>A 29984-2023</t>
        </is>
      </c>
      <c r="B6061" s="1" t="n">
        <v>45108</v>
      </c>
      <c r="C6061" s="1" t="n">
        <v>46103</v>
      </c>
      <c r="D6061" t="inlineStr">
        <is>
          <t>KRONOBERGS LÄN</t>
        </is>
      </c>
      <c r="E6061" t="inlineStr">
        <is>
          <t>VÄXJÖ</t>
        </is>
      </c>
      <c r="G6061" t="n">
        <v>2.5</v>
      </c>
      <c r="H6061" t="n">
        <v>0</v>
      </c>
      <c r="I6061" t="n">
        <v>0</v>
      </c>
      <c r="J6061" t="n">
        <v>0</v>
      </c>
      <c r="K6061" t="n">
        <v>0</v>
      </c>
      <c r="L6061" t="n">
        <v>0</v>
      </c>
      <c r="M6061" t="n">
        <v>0</v>
      </c>
      <c r="N6061" t="n">
        <v>0</v>
      </c>
      <c r="O6061" t="n">
        <v>0</v>
      </c>
      <c r="P6061" t="n">
        <v>0</v>
      </c>
      <c r="Q6061" t="n">
        <v>0</v>
      </c>
      <c r="R6061" s="2" t="inlineStr"/>
    </row>
    <row r="6062" ht="15" customHeight="1">
      <c r="A6062" t="inlineStr">
        <is>
          <t>A 5282-2025</t>
        </is>
      </c>
      <c r="B6062" s="1" t="n">
        <v>45692</v>
      </c>
      <c r="C6062" s="1" t="n">
        <v>46103</v>
      </c>
      <c r="D6062" t="inlineStr">
        <is>
          <t>KRONOBERGS LÄN</t>
        </is>
      </c>
      <c r="E6062" t="inlineStr">
        <is>
          <t>UPPVIDINGE</t>
        </is>
      </c>
      <c r="G6062" t="n">
        <v>8.6</v>
      </c>
      <c r="H6062" t="n">
        <v>0</v>
      </c>
      <c r="I6062" t="n">
        <v>0</v>
      </c>
      <c r="J6062" t="n">
        <v>0</v>
      </c>
      <c r="K6062" t="n">
        <v>0</v>
      </c>
      <c r="L6062" t="n">
        <v>0</v>
      </c>
      <c r="M6062" t="n">
        <v>0</v>
      </c>
      <c r="N6062" t="n">
        <v>0</v>
      </c>
      <c r="O6062" t="n">
        <v>0</v>
      </c>
      <c r="P6062" t="n">
        <v>0</v>
      </c>
      <c r="Q6062" t="n">
        <v>0</v>
      </c>
      <c r="R6062" s="2" t="inlineStr"/>
    </row>
    <row r="6063" ht="15" customHeight="1">
      <c r="A6063" t="inlineStr">
        <is>
          <t>A 15568-2024</t>
        </is>
      </c>
      <c r="B6063" s="1" t="n">
        <v>45401.66519675926</v>
      </c>
      <c r="C6063" s="1" t="n">
        <v>46103</v>
      </c>
      <c r="D6063" t="inlineStr">
        <is>
          <t>KRONOBERGS LÄN</t>
        </is>
      </c>
      <c r="E6063" t="inlineStr">
        <is>
          <t>ÄLMHULT</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58941-2023</t>
        </is>
      </c>
      <c r="B6064" s="1" t="n">
        <v>45252.56825231481</v>
      </c>
      <c r="C6064" s="1" t="n">
        <v>46103</v>
      </c>
      <c r="D6064" t="inlineStr">
        <is>
          <t>KRONOBERGS LÄN</t>
        </is>
      </c>
      <c r="E6064" t="inlineStr">
        <is>
          <t>TINGSRYD</t>
        </is>
      </c>
      <c r="G6064" t="n">
        <v>2.8</v>
      </c>
      <c r="H6064" t="n">
        <v>0</v>
      </c>
      <c r="I6064" t="n">
        <v>0</v>
      </c>
      <c r="J6064" t="n">
        <v>0</v>
      </c>
      <c r="K6064" t="n">
        <v>0</v>
      </c>
      <c r="L6064" t="n">
        <v>0</v>
      </c>
      <c r="M6064" t="n">
        <v>0</v>
      </c>
      <c r="N6064" t="n">
        <v>0</v>
      </c>
      <c r="O6064" t="n">
        <v>0</v>
      </c>
      <c r="P6064" t="n">
        <v>0</v>
      </c>
      <c r="Q6064" t="n">
        <v>0</v>
      </c>
      <c r="R6064" s="2" t="inlineStr"/>
    </row>
    <row r="6065" ht="15" customHeight="1">
      <c r="A6065" t="inlineStr">
        <is>
          <t>A 58962-2023</t>
        </is>
      </c>
      <c r="B6065" s="1" t="n">
        <v>45252.60836805555</v>
      </c>
      <c r="C6065" s="1" t="n">
        <v>46103</v>
      </c>
      <c r="D6065" t="inlineStr">
        <is>
          <t>KRONOBERGS LÄN</t>
        </is>
      </c>
      <c r="E6065" t="inlineStr">
        <is>
          <t>TINGSRYD</t>
        </is>
      </c>
      <c r="G6065" t="n">
        <v>3</v>
      </c>
      <c r="H6065" t="n">
        <v>0</v>
      </c>
      <c r="I6065" t="n">
        <v>0</v>
      </c>
      <c r="J6065" t="n">
        <v>0</v>
      </c>
      <c r="K6065" t="n">
        <v>0</v>
      </c>
      <c r="L6065" t="n">
        <v>0</v>
      </c>
      <c r="M6065" t="n">
        <v>0</v>
      </c>
      <c r="N6065" t="n">
        <v>0</v>
      </c>
      <c r="O6065" t="n">
        <v>0</v>
      </c>
      <c r="P6065" t="n">
        <v>0</v>
      </c>
      <c r="Q6065" t="n">
        <v>0</v>
      </c>
      <c r="R6065" s="2" t="inlineStr"/>
    </row>
    <row r="6066" ht="15" customHeight="1">
      <c r="A6066" t="inlineStr">
        <is>
          <t>A 23654-2022</t>
        </is>
      </c>
      <c r="B6066" s="1" t="n">
        <v>44721.70876157407</v>
      </c>
      <c r="C6066" s="1" t="n">
        <v>46103</v>
      </c>
      <c r="D6066" t="inlineStr">
        <is>
          <t>KRONOBERGS LÄN</t>
        </is>
      </c>
      <c r="E6066" t="inlineStr">
        <is>
          <t>LJUNGBY</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5292-2024</t>
        </is>
      </c>
      <c r="B6067" s="1" t="n">
        <v>45331.35601851852</v>
      </c>
      <c r="C6067" s="1" t="n">
        <v>46103</v>
      </c>
      <c r="D6067" t="inlineStr">
        <is>
          <t>KRONOBERGS LÄN</t>
        </is>
      </c>
      <c r="E6067" t="inlineStr">
        <is>
          <t>TINGSRYD</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5293-2024</t>
        </is>
      </c>
      <c r="B6068" s="1" t="n">
        <v>45331.35946759259</v>
      </c>
      <c r="C6068" s="1" t="n">
        <v>46103</v>
      </c>
      <c r="D6068" t="inlineStr">
        <is>
          <t>KRONOBERGS LÄN</t>
        </is>
      </c>
      <c r="E6068" t="inlineStr">
        <is>
          <t>TINGSRYD</t>
        </is>
      </c>
      <c r="G6068" t="n">
        <v>3.8</v>
      </c>
      <c r="H6068" t="n">
        <v>0</v>
      </c>
      <c r="I6068" t="n">
        <v>0</v>
      </c>
      <c r="J6068" t="n">
        <v>0</v>
      </c>
      <c r="K6068" t="n">
        <v>0</v>
      </c>
      <c r="L6068" t="n">
        <v>0</v>
      </c>
      <c r="M6068" t="n">
        <v>0</v>
      </c>
      <c r="N6068" t="n">
        <v>0</v>
      </c>
      <c r="O6068" t="n">
        <v>0</v>
      </c>
      <c r="P6068" t="n">
        <v>0</v>
      </c>
      <c r="Q6068" t="n">
        <v>0</v>
      </c>
      <c r="R6068" s="2" t="inlineStr"/>
    </row>
    <row r="6069" ht="15" customHeight="1">
      <c r="A6069" t="inlineStr">
        <is>
          <t>A 5294-2024</t>
        </is>
      </c>
      <c r="B6069" s="1" t="n">
        <v>45331.3629050926</v>
      </c>
      <c r="C6069" s="1" t="n">
        <v>46103</v>
      </c>
      <c r="D6069" t="inlineStr">
        <is>
          <t>KRONOBERGS LÄN</t>
        </is>
      </c>
      <c r="E6069" t="inlineStr">
        <is>
          <t>TINGSRYD</t>
        </is>
      </c>
      <c r="G6069" t="n">
        <v>4.8</v>
      </c>
      <c r="H6069" t="n">
        <v>0</v>
      </c>
      <c r="I6069" t="n">
        <v>0</v>
      </c>
      <c r="J6069" t="n">
        <v>0</v>
      </c>
      <c r="K6069" t="n">
        <v>0</v>
      </c>
      <c r="L6069" t="n">
        <v>0</v>
      </c>
      <c r="M6069" t="n">
        <v>0</v>
      </c>
      <c r="N6069" t="n">
        <v>0</v>
      </c>
      <c r="O6069" t="n">
        <v>0</v>
      </c>
      <c r="P6069" t="n">
        <v>0</v>
      </c>
      <c r="Q6069" t="n">
        <v>0</v>
      </c>
      <c r="R6069" s="2" t="inlineStr"/>
    </row>
    <row r="6070" ht="15" customHeight="1">
      <c r="A6070" t="inlineStr">
        <is>
          <t>A 20609-2024</t>
        </is>
      </c>
      <c r="B6070" s="1" t="n">
        <v>45436.4487962963</v>
      </c>
      <c r="C6070" s="1" t="n">
        <v>46103</v>
      </c>
      <c r="D6070" t="inlineStr">
        <is>
          <t>KRONOBERGS LÄN</t>
        </is>
      </c>
      <c r="E6070" t="inlineStr">
        <is>
          <t>ALVESTA</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16860-2024</t>
        </is>
      </c>
      <c r="B6071" s="1" t="n">
        <v>45410</v>
      </c>
      <c r="C6071" s="1" t="n">
        <v>46103</v>
      </c>
      <c r="D6071" t="inlineStr">
        <is>
          <t>KRONOBERGS LÄN</t>
        </is>
      </c>
      <c r="E6071" t="inlineStr">
        <is>
          <t>LJUNGBY</t>
        </is>
      </c>
      <c r="G6071" t="n">
        <v>6.7</v>
      </c>
      <c r="H6071" t="n">
        <v>0</v>
      </c>
      <c r="I6071" t="n">
        <v>0</v>
      </c>
      <c r="J6071" t="n">
        <v>0</v>
      </c>
      <c r="K6071" t="n">
        <v>0</v>
      </c>
      <c r="L6071" t="n">
        <v>0</v>
      </c>
      <c r="M6071" t="n">
        <v>0</v>
      </c>
      <c r="N6071" t="n">
        <v>0</v>
      </c>
      <c r="O6071" t="n">
        <v>0</v>
      </c>
      <c r="P6071" t="n">
        <v>0</v>
      </c>
      <c r="Q6071" t="n">
        <v>0</v>
      </c>
      <c r="R6071" s="2" t="inlineStr"/>
    </row>
    <row r="6072" ht="15" customHeight="1">
      <c r="A6072" t="inlineStr">
        <is>
          <t>A 27080-2022</t>
        </is>
      </c>
      <c r="B6072" s="1" t="n">
        <v>44741.41038194444</v>
      </c>
      <c r="C6072" s="1" t="n">
        <v>46103</v>
      </c>
      <c r="D6072" t="inlineStr">
        <is>
          <t>KRONOBERGS LÄN</t>
        </is>
      </c>
      <c r="E6072" t="inlineStr">
        <is>
          <t>LESSEBO</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7190-2024</t>
        </is>
      </c>
      <c r="B6073" s="1" t="n">
        <v>45344</v>
      </c>
      <c r="C6073" s="1" t="n">
        <v>46103</v>
      </c>
      <c r="D6073" t="inlineStr">
        <is>
          <t>KRONOBERGS LÄN</t>
        </is>
      </c>
      <c r="E6073" t="inlineStr">
        <is>
          <t>MARKARYD</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46395-2022</t>
        </is>
      </c>
      <c r="B6074" s="1" t="n">
        <v>44848.38537037037</v>
      </c>
      <c r="C6074" s="1" t="n">
        <v>46103</v>
      </c>
      <c r="D6074" t="inlineStr">
        <is>
          <t>KRONOBERGS LÄN</t>
        </is>
      </c>
      <c r="E6074" t="inlineStr">
        <is>
          <t>MARKARYD</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801-2024</t>
        </is>
      </c>
      <c r="B6075" s="1" t="n">
        <v>45300</v>
      </c>
      <c r="C6075" s="1" t="n">
        <v>46103</v>
      </c>
      <c r="D6075" t="inlineStr">
        <is>
          <t>KRONOBERGS LÄN</t>
        </is>
      </c>
      <c r="E6075" t="inlineStr">
        <is>
          <t>LJUNGBY</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49302-2023</t>
        </is>
      </c>
      <c r="B6076" s="1" t="n">
        <v>45210</v>
      </c>
      <c r="C6076" s="1" t="n">
        <v>46103</v>
      </c>
      <c r="D6076" t="inlineStr">
        <is>
          <t>KRONOBERGS LÄN</t>
        </is>
      </c>
      <c r="E6076" t="inlineStr">
        <is>
          <t>LJUNGBY</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49776-2024</t>
        </is>
      </c>
      <c r="B6077" s="1" t="n">
        <v>45597.34881944444</v>
      </c>
      <c r="C6077" s="1" t="n">
        <v>46103</v>
      </c>
      <c r="D6077" t="inlineStr">
        <is>
          <t>KRONOBERGS LÄN</t>
        </is>
      </c>
      <c r="E6077" t="inlineStr">
        <is>
          <t>UPPVIDINGE</t>
        </is>
      </c>
      <c r="F6077" t="inlineStr">
        <is>
          <t>Sveaskog</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40566-2024</t>
        </is>
      </c>
      <c r="B6078" s="1" t="n">
        <v>45555.66891203704</v>
      </c>
      <c r="C6078" s="1" t="n">
        <v>46103</v>
      </c>
      <c r="D6078" t="inlineStr">
        <is>
          <t>KRONOBERGS LÄN</t>
        </is>
      </c>
      <c r="E6078" t="inlineStr">
        <is>
          <t>ALVESTA</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40580-2021</t>
        </is>
      </c>
      <c r="B6079" s="1" t="n">
        <v>44420</v>
      </c>
      <c r="C6079" s="1" t="n">
        <v>46103</v>
      </c>
      <c r="D6079" t="inlineStr">
        <is>
          <t>KRONOBERGS LÄN</t>
        </is>
      </c>
      <c r="E6079" t="inlineStr">
        <is>
          <t>ALVESTA</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26386-2023</t>
        </is>
      </c>
      <c r="B6080" s="1" t="n">
        <v>45092.34288194445</v>
      </c>
      <c r="C6080" s="1" t="n">
        <v>46103</v>
      </c>
      <c r="D6080" t="inlineStr">
        <is>
          <t>KRONOBERGS LÄN</t>
        </is>
      </c>
      <c r="E6080" t="inlineStr">
        <is>
          <t>ÄLMHULT</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26454-2023</t>
        </is>
      </c>
      <c r="B6081" s="1" t="n">
        <v>45092.46023148148</v>
      </c>
      <c r="C6081" s="1" t="n">
        <v>46103</v>
      </c>
      <c r="D6081" t="inlineStr">
        <is>
          <t>KRONOBERGS LÄN</t>
        </is>
      </c>
      <c r="E6081" t="inlineStr">
        <is>
          <t>ÄLMHULT</t>
        </is>
      </c>
      <c r="G6081" t="n">
        <v>4.2</v>
      </c>
      <c r="H6081" t="n">
        <v>0</v>
      </c>
      <c r="I6081" t="n">
        <v>0</v>
      </c>
      <c r="J6081" t="n">
        <v>0</v>
      </c>
      <c r="K6081" t="n">
        <v>0</v>
      </c>
      <c r="L6081" t="n">
        <v>0</v>
      </c>
      <c r="M6081" t="n">
        <v>0</v>
      </c>
      <c r="N6081" t="n">
        <v>0</v>
      </c>
      <c r="O6081" t="n">
        <v>0</v>
      </c>
      <c r="P6081" t="n">
        <v>0</v>
      </c>
      <c r="Q6081" t="n">
        <v>0</v>
      </c>
      <c r="R6081" s="2" t="inlineStr"/>
    </row>
    <row r="6082" ht="15" customHeight="1">
      <c r="A6082" t="inlineStr">
        <is>
          <t>A 13342-2023</t>
        </is>
      </c>
      <c r="B6082" s="1" t="n">
        <v>45005</v>
      </c>
      <c r="C6082" s="1" t="n">
        <v>46103</v>
      </c>
      <c r="D6082" t="inlineStr">
        <is>
          <t>KRONOBERGS LÄN</t>
        </is>
      </c>
      <c r="E6082" t="inlineStr">
        <is>
          <t>TINGSRYD</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28801-2022</t>
        </is>
      </c>
      <c r="B6083" s="1" t="n">
        <v>44749</v>
      </c>
      <c r="C6083" s="1" t="n">
        <v>46103</v>
      </c>
      <c r="D6083" t="inlineStr">
        <is>
          <t>KRONOBERGS LÄN</t>
        </is>
      </c>
      <c r="E6083" t="inlineStr">
        <is>
          <t>VÄXJÖ</t>
        </is>
      </c>
      <c r="G6083" t="n">
        <v>3.9</v>
      </c>
      <c r="H6083" t="n">
        <v>0</v>
      </c>
      <c r="I6083" t="n">
        <v>0</v>
      </c>
      <c r="J6083" t="n">
        <v>0</v>
      </c>
      <c r="K6083" t="n">
        <v>0</v>
      </c>
      <c r="L6083" t="n">
        <v>0</v>
      </c>
      <c r="M6083" t="n">
        <v>0</v>
      </c>
      <c r="N6083" t="n">
        <v>0</v>
      </c>
      <c r="O6083" t="n">
        <v>0</v>
      </c>
      <c r="P6083" t="n">
        <v>0</v>
      </c>
      <c r="Q6083" t="n">
        <v>0</v>
      </c>
      <c r="R6083" s="2" t="inlineStr"/>
    </row>
    <row r="6084" ht="15" customHeight="1">
      <c r="A6084" t="inlineStr">
        <is>
          <t>A 60248-2022</t>
        </is>
      </c>
      <c r="B6084" s="1" t="n">
        <v>44903</v>
      </c>
      <c r="C6084" s="1" t="n">
        <v>46103</v>
      </c>
      <c r="D6084" t="inlineStr">
        <is>
          <t>KRONOBERGS LÄN</t>
        </is>
      </c>
      <c r="E6084" t="inlineStr">
        <is>
          <t>LJUNGBY</t>
        </is>
      </c>
      <c r="G6084" t="n">
        <v>2.9</v>
      </c>
      <c r="H6084" t="n">
        <v>0</v>
      </c>
      <c r="I6084" t="n">
        <v>0</v>
      </c>
      <c r="J6084" t="n">
        <v>0</v>
      </c>
      <c r="K6084" t="n">
        <v>0</v>
      </c>
      <c r="L6084" t="n">
        <v>0</v>
      </c>
      <c r="M6084" t="n">
        <v>0</v>
      </c>
      <c r="N6084" t="n">
        <v>0</v>
      </c>
      <c r="O6084" t="n">
        <v>0</v>
      </c>
      <c r="P6084" t="n">
        <v>0</v>
      </c>
      <c r="Q6084" t="n">
        <v>0</v>
      </c>
      <c r="R6084" s="2" t="inlineStr"/>
    </row>
    <row r="6085" ht="15" customHeight="1">
      <c r="A6085" t="inlineStr">
        <is>
          <t>A 26139-2024</t>
        </is>
      </c>
      <c r="B6085" s="1" t="n">
        <v>45468.49049768518</v>
      </c>
      <c r="C6085" s="1" t="n">
        <v>46103</v>
      </c>
      <c r="D6085" t="inlineStr">
        <is>
          <t>KRONOBERGS LÄN</t>
        </is>
      </c>
      <c r="E6085" t="inlineStr">
        <is>
          <t>VÄXJÖ</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33206-2023</t>
        </is>
      </c>
      <c r="B6086" s="1" t="n">
        <v>45127.43435185185</v>
      </c>
      <c r="C6086" s="1" t="n">
        <v>46103</v>
      </c>
      <c r="D6086" t="inlineStr">
        <is>
          <t>KRONOBERGS LÄN</t>
        </is>
      </c>
      <c r="E6086" t="inlineStr">
        <is>
          <t>VÄXJÖ</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42467-2024</t>
        </is>
      </c>
      <c r="B6087" s="1" t="n">
        <v>45565.47667824074</v>
      </c>
      <c r="C6087" s="1" t="n">
        <v>46103</v>
      </c>
      <c r="D6087" t="inlineStr">
        <is>
          <t>KRONOBERGS LÄN</t>
        </is>
      </c>
      <c r="E6087" t="inlineStr">
        <is>
          <t>ALVESTA</t>
        </is>
      </c>
      <c r="G6087" t="n">
        <v>3.7</v>
      </c>
      <c r="H6087" t="n">
        <v>0</v>
      </c>
      <c r="I6087" t="n">
        <v>0</v>
      </c>
      <c r="J6087" t="n">
        <v>0</v>
      </c>
      <c r="K6087" t="n">
        <v>0</v>
      </c>
      <c r="L6087" t="n">
        <v>0</v>
      </c>
      <c r="M6087" t="n">
        <v>0</v>
      </c>
      <c r="N6087" t="n">
        <v>0</v>
      </c>
      <c r="O6087" t="n">
        <v>0</v>
      </c>
      <c r="P6087" t="n">
        <v>0</v>
      </c>
      <c r="Q6087" t="n">
        <v>0</v>
      </c>
      <c r="R6087" s="2" t="inlineStr"/>
    </row>
    <row r="6088" ht="15" customHeight="1">
      <c r="A6088" t="inlineStr">
        <is>
          <t>A 639-2024</t>
        </is>
      </c>
      <c r="B6088" s="1" t="n">
        <v>45299</v>
      </c>
      <c r="C6088" s="1" t="n">
        <v>46103</v>
      </c>
      <c r="D6088" t="inlineStr">
        <is>
          <t>KRONOBERGS LÄN</t>
        </is>
      </c>
      <c r="E6088" t="inlineStr">
        <is>
          <t>TINGSRYD</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21758-2023</t>
        </is>
      </c>
      <c r="B6089" s="1" t="n">
        <v>45065</v>
      </c>
      <c r="C6089" s="1" t="n">
        <v>46103</v>
      </c>
      <c r="D6089" t="inlineStr">
        <is>
          <t>KRONOBERGS LÄN</t>
        </is>
      </c>
      <c r="E6089" t="inlineStr">
        <is>
          <t>LJUNGBY</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28693-2023</t>
        </is>
      </c>
      <c r="B6090" s="1" t="n">
        <v>45103.70189814815</v>
      </c>
      <c r="C6090" s="1" t="n">
        <v>46103</v>
      </c>
      <c r="D6090" t="inlineStr">
        <is>
          <t>KRONOBERGS LÄN</t>
        </is>
      </c>
      <c r="E6090" t="inlineStr">
        <is>
          <t>ÄLMHULT</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49407-2024</t>
        </is>
      </c>
      <c r="B6091" s="1" t="n">
        <v>45595.68021990741</v>
      </c>
      <c r="C6091" s="1" t="n">
        <v>46103</v>
      </c>
      <c r="D6091" t="inlineStr">
        <is>
          <t>KRONOBERGS LÄN</t>
        </is>
      </c>
      <c r="E6091" t="inlineStr">
        <is>
          <t>ALVESTA</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1993-2025</t>
        </is>
      </c>
      <c r="B6092" s="1" t="n">
        <v>45671</v>
      </c>
      <c r="C6092" s="1" t="n">
        <v>46103</v>
      </c>
      <c r="D6092" t="inlineStr">
        <is>
          <t>KRONOBERGS LÄN</t>
        </is>
      </c>
      <c r="E6092" t="inlineStr">
        <is>
          <t>ALVESTA</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60670-2023</t>
        </is>
      </c>
      <c r="B6093" s="1" t="n">
        <v>45260.46252314815</v>
      </c>
      <c r="C6093" s="1" t="n">
        <v>46103</v>
      </c>
      <c r="D6093" t="inlineStr">
        <is>
          <t>KRONOBERGS LÄN</t>
        </is>
      </c>
      <c r="E6093" t="inlineStr">
        <is>
          <t>UPPVIDINGE</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23440-2021</t>
        </is>
      </c>
      <c r="B6094" s="1" t="n">
        <v>44333.80888888889</v>
      </c>
      <c r="C6094" s="1" t="n">
        <v>46103</v>
      </c>
      <c r="D6094" t="inlineStr">
        <is>
          <t>KRONOBERGS LÄN</t>
        </is>
      </c>
      <c r="E6094" t="inlineStr">
        <is>
          <t>MARKARYD</t>
        </is>
      </c>
      <c r="G6094" t="n">
        <v>3.7</v>
      </c>
      <c r="H6094" t="n">
        <v>0</v>
      </c>
      <c r="I6094" t="n">
        <v>0</v>
      </c>
      <c r="J6094" t="n">
        <v>0</v>
      </c>
      <c r="K6094" t="n">
        <v>0</v>
      </c>
      <c r="L6094" t="n">
        <v>0</v>
      </c>
      <c r="M6094" t="n">
        <v>0</v>
      </c>
      <c r="N6094" t="n">
        <v>0</v>
      </c>
      <c r="O6094" t="n">
        <v>0</v>
      </c>
      <c r="P6094" t="n">
        <v>0</v>
      </c>
      <c r="Q6094" t="n">
        <v>0</v>
      </c>
      <c r="R6094" s="2" t="inlineStr"/>
    </row>
    <row r="6095" ht="15" customHeight="1">
      <c r="A6095" t="inlineStr">
        <is>
          <t>A 4712-2022</t>
        </is>
      </c>
      <c r="B6095" s="1" t="n">
        <v>44592.50912037037</v>
      </c>
      <c r="C6095" s="1" t="n">
        <v>46103</v>
      </c>
      <c r="D6095" t="inlineStr">
        <is>
          <t>KRONOBERGS LÄN</t>
        </is>
      </c>
      <c r="E6095" t="inlineStr">
        <is>
          <t>UPPVIDINGE</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5036-2022</t>
        </is>
      </c>
      <c r="B6096" s="1" t="n">
        <v>44593</v>
      </c>
      <c r="C6096" s="1" t="n">
        <v>46103</v>
      </c>
      <c r="D6096" t="inlineStr">
        <is>
          <t>KRONOBERGS LÄN</t>
        </is>
      </c>
      <c r="E6096" t="inlineStr">
        <is>
          <t>UPPVIDINGE</t>
        </is>
      </c>
      <c r="G6096" t="n">
        <v>9.6</v>
      </c>
      <c r="H6096" t="n">
        <v>0</v>
      </c>
      <c r="I6096" t="n">
        <v>0</v>
      </c>
      <c r="J6096" t="n">
        <v>0</v>
      </c>
      <c r="K6096" t="n">
        <v>0</v>
      </c>
      <c r="L6096" t="n">
        <v>0</v>
      </c>
      <c r="M6096" t="n">
        <v>0</v>
      </c>
      <c r="N6096" t="n">
        <v>0</v>
      </c>
      <c r="O6096" t="n">
        <v>0</v>
      </c>
      <c r="P6096" t="n">
        <v>0</v>
      </c>
      <c r="Q6096" t="n">
        <v>0</v>
      </c>
      <c r="R6096" s="2" t="inlineStr"/>
    </row>
    <row r="6097" ht="15" customHeight="1">
      <c r="A6097" t="inlineStr">
        <is>
          <t>A 33351-2023</t>
        </is>
      </c>
      <c r="B6097" s="1" t="n">
        <v>45117</v>
      </c>
      <c r="C6097" s="1" t="n">
        <v>46103</v>
      </c>
      <c r="D6097" t="inlineStr">
        <is>
          <t>KRONOBERGS LÄN</t>
        </is>
      </c>
      <c r="E6097" t="inlineStr">
        <is>
          <t>TINGSRYD</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47831-2023</t>
        </is>
      </c>
      <c r="B6098" s="1" t="n">
        <v>45204.36121527778</v>
      </c>
      <c r="C6098" s="1" t="n">
        <v>46103</v>
      </c>
      <c r="D6098" t="inlineStr">
        <is>
          <t>KRONOBERGS LÄN</t>
        </is>
      </c>
      <c r="E6098" t="inlineStr">
        <is>
          <t>VÄXJÖ</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52291-2023</t>
        </is>
      </c>
      <c r="B6099" s="1" t="n">
        <v>45224.59289351852</v>
      </c>
      <c r="C6099" s="1" t="n">
        <v>46103</v>
      </c>
      <c r="D6099" t="inlineStr">
        <is>
          <t>KRONOBERGS LÄN</t>
        </is>
      </c>
      <c r="E6099" t="inlineStr">
        <is>
          <t>LJUNGBY</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1927-2024</t>
        </is>
      </c>
      <c r="B6100" s="1" t="n">
        <v>45308.45583333333</v>
      </c>
      <c r="C6100" s="1" t="n">
        <v>46103</v>
      </c>
      <c r="D6100" t="inlineStr">
        <is>
          <t>KRONOBERGS LÄN</t>
        </is>
      </c>
      <c r="E6100" t="inlineStr">
        <is>
          <t>ALVESTA</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60103-2024</t>
        </is>
      </c>
      <c r="B6101" s="1" t="n">
        <v>45642.5609375</v>
      </c>
      <c r="C6101" s="1" t="n">
        <v>46103</v>
      </c>
      <c r="D6101" t="inlineStr">
        <is>
          <t>KRONOBERGS LÄN</t>
        </is>
      </c>
      <c r="E6101" t="inlineStr">
        <is>
          <t>ÄLMHULT</t>
        </is>
      </c>
      <c r="F6101" t="inlineStr">
        <is>
          <t>Sveaskog</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30124-2024</t>
        </is>
      </c>
      <c r="B6102" s="1" t="n">
        <v>45488</v>
      </c>
      <c r="C6102" s="1" t="n">
        <v>46103</v>
      </c>
      <c r="D6102" t="inlineStr">
        <is>
          <t>KRONOBERGS LÄN</t>
        </is>
      </c>
      <c r="E6102" t="inlineStr">
        <is>
          <t>ALVESTA</t>
        </is>
      </c>
      <c r="G6102" t="n">
        <v>3.4</v>
      </c>
      <c r="H6102" t="n">
        <v>0</v>
      </c>
      <c r="I6102" t="n">
        <v>0</v>
      </c>
      <c r="J6102" t="n">
        <v>0</v>
      </c>
      <c r="K6102" t="n">
        <v>0</v>
      </c>
      <c r="L6102" t="n">
        <v>0</v>
      </c>
      <c r="M6102" t="n">
        <v>0</v>
      </c>
      <c r="N6102" t="n">
        <v>0</v>
      </c>
      <c r="O6102" t="n">
        <v>0</v>
      </c>
      <c r="P6102" t="n">
        <v>0</v>
      </c>
      <c r="Q6102" t="n">
        <v>0</v>
      </c>
      <c r="R6102" s="2" t="inlineStr"/>
    </row>
    <row r="6103" ht="15" customHeight="1">
      <c r="A6103" t="inlineStr">
        <is>
          <t>A 63102-2023</t>
        </is>
      </c>
      <c r="B6103" s="1" t="n">
        <v>45273</v>
      </c>
      <c r="C6103" s="1" t="n">
        <v>46103</v>
      </c>
      <c r="D6103" t="inlineStr">
        <is>
          <t>KRONOBERGS LÄN</t>
        </is>
      </c>
      <c r="E6103" t="inlineStr">
        <is>
          <t>VÄXJÖ</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14934-2022</t>
        </is>
      </c>
      <c r="B6104" s="1" t="n">
        <v>44657.40945601852</v>
      </c>
      <c r="C6104" s="1" t="n">
        <v>46103</v>
      </c>
      <c r="D6104" t="inlineStr">
        <is>
          <t>KRONOBERGS LÄN</t>
        </is>
      </c>
      <c r="E6104" t="inlineStr">
        <is>
          <t>TINGSRYD</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51710-2024</t>
        </is>
      </c>
      <c r="B6105" s="1" t="n">
        <v>45607.36863425926</v>
      </c>
      <c r="C6105" s="1" t="n">
        <v>46103</v>
      </c>
      <c r="D6105" t="inlineStr">
        <is>
          <t>KRONOBERGS LÄN</t>
        </is>
      </c>
      <c r="E6105" t="inlineStr">
        <is>
          <t>LJUNGBY</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1342-2024</t>
        </is>
      </c>
      <c r="B6106" s="1" t="n">
        <v>45303</v>
      </c>
      <c r="C6106" s="1" t="n">
        <v>46103</v>
      </c>
      <c r="D6106" t="inlineStr">
        <is>
          <t>KRONOBERGS LÄN</t>
        </is>
      </c>
      <c r="E6106" t="inlineStr">
        <is>
          <t>TINGSRYD</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30370-2022</t>
        </is>
      </c>
      <c r="B6107" s="1" t="n">
        <v>44760.615</v>
      </c>
      <c r="C6107" s="1" t="n">
        <v>46103</v>
      </c>
      <c r="D6107" t="inlineStr">
        <is>
          <t>KRONOBERGS LÄN</t>
        </is>
      </c>
      <c r="E6107" t="inlineStr">
        <is>
          <t>ÄLMHULT</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68189-2021</t>
        </is>
      </c>
      <c r="B6108" s="1" t="n">
        <v>44526</v>
      </c>
      <c r="C6108" s="1" t="n">
        <v>46103</v>
      </c>
      <c r="D6108" t="inlineStr">
        <is>
          <t>KRONOBERGS LÄN</t>
        </is>
      </c>
      <c r="E6108" t="inlineStr">
        <is>
          <t>ÄLMHULT</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8678-2025</t>
        </is>
      </c>
      <c r="B6109" s="1" t="n">
        <v>45711</v>
      </c>
      <c r="C6109" s="1" t="n">
        <v>46103</v>
      </c>
      <c r="D6109" t="inlineStr">
        <is>
          <t>KRONOBERGS LÄN</t>
        </is>
      </c>
      <c r="E6109" t="inlineStr">
        <is>
          <t>TINGSRYD</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17697-2025</t>
        </is>
      </c>
      <c r="B6110" s="1" t="n">
        <v>45758.41546296296</v>
      </c>
      <c r="C6110" s="1" t="n">
        <v>46103</v>
      </c>
      <c r="D6110" t="inlineStr">
        <is>
          <t>KRONOBERGS LÄN</t>
        </is>
      </c>
      <c r="E6110" t="inlineStr">
        <is>
          <t>TINGSRYD</t>
        </is>
      </c>
      <c r="F6110" t="inlineStr">
        <is>
          <t>Övriga Aktiebolag</t>
        </is>
      </c>
      <c r="G6110" t="n">
        <v>4.9</v>
      </c>
      <c r="H6110" t="n">
        <v>0</v>
      </c>
      <c r="I6110" t="n">
        <v>0</v>
      </c>
      <c r="J6110" t="n">
        <v>0</v>
      </c>
      <c r="K6110" t="n">
        <v>0</v>
      </c>
      <c r="L6110" t="n">
        <v>0</v>
      </c>
      <c r="M6110" t="n">
        <v>0</v>
      </c>
      <c r="N6110" t="n">
        <v>0</v>
      </c>
      <c r="O6110" t="n">
        <v>0</v>
      </c>
      <c r="P6110" t="n">
        <v>0</v>
      </c>
      <c r="Q6110" t="n">
        <v>0</v>
      </c>
      <c r="R6110" s="2" t="inlineStr"/>
    </row>
    <row r="6111" ht="15" customHeight="1">
      <c r="A6111" t="inlineStr">
        <is>
          <t>A 50150-2024</t>
        </is>
      </c>
      <c r="B6111" s="1" t="n">
        <v>45600.45402777778</v>
      </c>
      <c r="C6111" s="1" t="n">
        <v>46103</v>
      </c>
      <c r="D6111" t="inlineStr">
        <is>
          <t>KRONOBERGS LÄN</t>
        </is>
      </c>
      <c r="E6111" t="inlineStr">
        <is>
          <t>UPPVIDINGE</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50146-2024</t>
        </is>
      </c>
      <c r="B6112" s="1" t="n">
        <v>45600.45130787037</v>
      </c>
      <c r="C6112" s="1" t="n">
        <v>46103</v>
      </c>
      <c r="D6112" t="inlineStr">
        <is>
          <t>KRONOBERGS LÄN</t>
        </is>
      </c>
      <c r="E6112" t="inlineStr">
        <is>
          <t>TINGSRYD</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20372-2024</t>
        </is>
      </c>
      <c r="B6113" s="1" t="n">
        <v>45435</v>
      </c>
      <c r="C6113" s="1" t="n">
        <v>46103</v>
      </c>
      <c r="D6113" t="inlineStr">
        <is>
          <t>KRONOBERGS LÄN</t>
        </is>
      </c>
      <c r="E6113" t="inlineStr">
        <is>
          <t>VÄXJÖ</t>
        </is>
      </c>
      <c r="F6113" t="inlineStr">
        <is>
          <t>Kyrkan</t>
        </is>
      </c>
      <c r="G6113" t="n">
        <v>9</v>
      </c>
      <c r="H6113" t="n">
        <v>0</v>
      </c>
      <c r="I6113" t="n">
        <v>0</v>
      </c>
      <c r="J6113" t="n">
        <v>0</v>
      </c>
      <c r="K6113" t="n">
        <v>0</v>
      </c>
      <c r="L6113" t="n">
        <v>0</v>
      </c>
      <c r="M6113" t="n">
        <v>0</v>
      </c>
      <c r="N6113" t="n">
        <v>0</v>
      </c>
      <c r="O6113" t="n">
        <v>0</v>
      </c>
      <c r="P6113" t="n">
        <v>0</v>
      </c>
      <c r="Q6113" t="n">
        <v>0</v>
      </c>
      <c r="R6113" s="2" t="inlineStr"/>
    </row>
    <row r="6114" ht="15" customHeight="1">
      <c r="A6114" t="inlineStr">
        <is>
          <t>A 3136-2025</t>
        </is>
      </c>
      <c r="B6114" s="1" t="n">
        <v>45678.75386574074</v>
      </c>
      <c r="C6114" s="1" t="n">
        <v>46103</v>
      </c>
      <c r="D6114" t="inlineStr">
        <is>
          <t>KRONOBERGS LÄN</t>
        </is>
      </c>
      <c r="E6114" t="inlineStr">
        <is>
          <t>MARKARYD</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3146-2025</t>
        </is>
      </c>
      <c r="B6115" s="1" t="n">
        <v>45678.77172453704</v>
      </c>
      <c r="C6115" s="1" t="n">
        <v>46103</v>
      </c>
      <c r="D6115" t="inlineStr">
        <is>
          <t>KRONOBERGS LÄN</t>
        </is>
      </c>
      <c r="E6115" t="inlineStr">
        <is>
          <t>MARKARYD</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13977-2024</t>
        </is>
      </c>
      <c r="B6116" s="1" t="n">
        <v>45392.39731481481</v>
      </c>
      <c r="C6116" s="1" t="n">
        <v>46103</v>
      </c>
      <c r="D6116" t="inlineStr">
        <is>
          <t>KRONOBERGS LÄN</t>
        </is>
      </c>
      <c r="E6116" t="inlineStr">
        <is>
          <t>VÄXJÖ</t>
        </is>
      </c>
      <c r="F6116" t="inlineStr">
        <is>
          <t>Sveaskog</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4654-2024</t>
        </is>
      </c>
      <c r="B6117" s="1" t="n">
        <v>45327</v>
      </c>
      <c r="C6117" s="1" t="n">
        <v>46103</v>
      </c>
      <c r="D6117" t="inlineStr">
        <is>
          <t>KRONOBERGS LÄN</t>
        </is>
      </c>
      <c r="E6117" t="inlineStr">
        <is>
          <t>VÄXJÖ</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23160-2023</t>
        </is>
      </c>
      <c r="B6118" s="1" t="n">
        <v>45075.53265046296</v>
      </c>
      <c r="C6118" s="1" t="n">
        <v>46103</v>
      </c>
      <c r="D6118" t="inlineStr">
        <is>
          <t>KRONOBERGS LÄN</t>
        </is>
      </c>
      <c r="E6118" t="inlineStr">
        <is>
          <t>LJUNGBY</t>
        </is>
      </c>
      <c r="G6118" t="n">
        <v>3.6</v>
      </c>
      <c r="H6118" t="n">
        <v>0</v>
      </c>
      <c r="I6118" t="n">
        <v>0</v>
      </c>
      <c r="J6118" t="n">
        <v>0</v>
      </c>
      <c r="K6118" t="n">
        <v>0</v>
      </c>
      <c r="L6118" t="n">
        <v>0</v>
      </c>
      <c r="M6118" t="n">
        <v>0</v>
      </c>
      <c r="N6118" t="n">
        <v>0</v>
      </c>
      <c r="O6118" t="n">
        <v>0</v>
      </c>
      <c r="P6118" t="n">
        <v>0</v>
      </c>
      <c r="Q6118" t="n">
        <v>0</v>
      </c>
      <c r="R6118" s="2" t="inlineStr"/>
    </row>
    <row r="6119" ht="15" customHeight="1">
      <c r="A6119" t="inlineStr">
        <is>
          <t>A 27081-2021</t>
        </is>
      </c>
      <c r="B6119" s="1" t="n">
        <v>44350.48313657408</v>
      </c>
      <c r="C6119" s="1" t="n">
        <v>46103</v>
      </c>
      <c r="D6119" t="inlineStr">
        <is>
          <t>KRONOBERGS LÄN</t>
        </is>
      </c>
      <c r="E6119" t="inlineStr">
        <is>
          <t>VÄXJÖ</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52106-2024</t>
        </is>
      </c>
      <c r="B6120" s="1" t="n">
        <v>45608.43087962963</v>
      </c>
      <c r="C6120" s="1" t="n">
        <v>46103</v>
      </c>
      <c r="D6120" t="inlineStr">
        <is>
          <t>KRONOBERGS LÄN</t>
        </is>
      </c>
      <c r="E6120" t="inlineStr">
        <is>
          <t>VÄXJÖ</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56952-2022</t>
        </is>
      </c>
      <c r="B6121" s="1" t="n">
        <v>44894</v>
      </c>
      <c r="C6121" s="1" t="n">
        <v>46103</v>
      </c>
      <c r="D6121" t="inlineStr">
        <is>
          <t>KRONOBERGS LÄN</t>
        </is>
      </c>
      <c r="E6121" t="inlineStr">
        <is>
          <t>VÄXJÖ</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53492-2023</t>
        </is>
      </c>
      <c r="B6122" s="1" t="n">
        <v>45230</v>
      </c>
      <c r="C6122" s="1" t="n">
        <v>46103</v>
      </c>
      <c r="D6122" t="inlineStr">
        <is>
          <t>KRONOBERGS LÄN</t>
        </is>
      </c>
      <c r="E6122" t="inlineStr">
        <is>
          <t>UPPVIDINGE</t>
        </is>
      </c>
      <c r="F6122" t="inlineStr">
        <is>
          <t>Sveaskog</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53505-2023</t>
        </is>
      </c>
      <c r="B6123" s="1" t="n">
        <v>45230.39855324074</v>
      </c>
      <c r="C6123" s="1" t="n">
        <v>46103</v>
      </c>
      <c r="D6123" t="inlineStr">
        <is>
          <t>KRONOBERGS LÄN</t>
        </is>
      </c>
      <c r="E6123" t="inlineStr">
        <is>
          <t>MARKARYD</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35529-2023</t>
        </is>
      </c>
      <c r="B6124" s="1" t="n">
        <v>45146</v>
      </c>
      <c r="C6124" s="1" t="n">
        <v>46103</v>
      </c>
      <c r="D6124" t="inlineStr">
        <is>
          <t>KRONOBERGS LÄN</t>
        </is>
      </c>
      <c r="E6124" t="inlineStr">
        <is>
          <t>ALVESTA</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51852-2023</t>
        </is>
      </c>
      <c r="B6125" s="1" t="n">
        <v>45223</v>
      </c>
      <c r="C6125" s="1" t="n">
        <v>46103</v>
      </c>
      <c r="D6125" t="inlineStr">
        <is>
          <t>KRONOBERGS LÄN</t>
        </is>
      </c>
      <c r="E6125" t="inlineStr">
        <is>
          <t>LJUNGBY</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51856-2023</t>
        </is>
      </c>
      <c r="B6126" s="1" t="n">
        <v>45223</v>
      </c>
      <c r="C6126" s="1" t="n">
        <v>46103</v>
      </c>
      <c r="D6126" t="inlineStr">
        <is>
          <t>KRONOBERGS LÄN</t>
        </is>
      </c>
      <c r="E6126" t="inlineStr">
        <is>
          <t>LJUNGBY</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7589-2023</t>
        </is>
      </c>
      <c r="B6127" s="1" t="n">
        <v>44972.4353587963</v>
      </c>
      <c r="C6127" s="1" t="n">
        <v>46103</v>
      </c>
      <c r="D6127" t="inlineStr">
        <is>
          <t>KRONOBERGS LÄN</t>
        </is>
      </c>
      <c r="E6127" t="inlineStr">
        <is>
          <t>TINGSRYD</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5166-2024</t>
        </is>
      </c>
      <c r="B6128" s="1" t="n">
        <v>45330</v>
      </c>
      <c r="C6128" s="1" t="n">
        <v>46103</v>
      </c>
      <c r="D6128" t="inlineStr">
        <is>
          <t>KRONOBERGS LÄN</t>
        </is>
      </c>
      <c r="E6128" t="inlineStr">
        <is>
          <t>ALVESTA</t>
        </is>
      </c>
      <c r="F6128" t="inlineStr">
        <is>
          <t>Övriga Aktiebolag</t>
        </is>
      </c>
      <c r="G6128" t="n">
        <v>3.4</v>
      </c>
      <c r="H6128" t="n">
        <v>0</v>
      </c>
      <c r="I6128" t="n">
        <v>0</v>
      </c>
      <c r="J6128" t="n">
        <v>0</v>
      </c>
      <c r="K6128" t="n">
        <v>0</v>
      </c>
      <c r="L6128" t="n">
        <v>0</v>
      </c>
      <c r="M6128" t="n">
        <v>0</v>
      </c>
      <c r="N6128" t="n">
        <v>0</v>
      </c>
      <c r="O6128" t="n">
        <v>0</v>
      </c>
      <c r="P6128" t="n">
        <v>0</v>
      </c>
      <c r="Q6128" t="n">
        <v>0</v>
      </c>
      <c r="R6128" s="2" t="inlineStr"/>
    </row>
    <row r="6129" ht="15" customHeight="1">
      <c r="A6129" t="inlineStr">
        <is>
          <t>A 30016-2023</t>
        </is>
      </c>
      <c r="B6129" s="1" t="n">
        <v>45109.88641203703</v>
      </c>
      <c r="C6129" s="1" t="n">
        <v>46103</v>
      </c>
      <c r="D6129" t="inlineStr">
        <is>
          <t>KRONOBERGS LÄN</t>
        </is>
      </c>
      <c r="E6129" t="inlineStr">
        <is>
          <t>TINGSRYD</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62481-2023</t>
        </is>
      </c>
      <c r="B6130" s="1" t="n">
        <v>45268.57665509259</v>
      </c>
      <c r="C6130" s="1" t="n">
        <v>46103</v>
      </c>
      <c r="D6130" t="inlineStr">
        <is>
          <t>KRONOBERGS LÄN</t>
        </is>
      </c>
      <c r="E6130" t="inlineStr">
        <is>
          <t>ÄLMHULT</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2048-2022</t>
        </is>
      </c>
      <c r="B6131" s="1" t="n">
        <v>44575</v>
      </c>
      <c r="C6131" s="1" t="n">
        <v>46103</v>
      </c>
      <c r="D6131" t="inlineStr">
        <is>
          <t>KRONOBERGS LÄN</t>
        </is>
      </c>
      <c r="E6131" t="inlineStr">
        <is>
          <t>TINGSRYD</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52239-2021</t>
        </is>
      </c>
      <c r="B6132" s="1" t="n">
        <v>44463.6044675926</v>
      </c>
      <c r="C6132" s="1" t="n">
        <v>46103</v>
      </c>
      <c r="D6132" t="inlineStr">
        <is>
          <t>KRONOBERGS LÄN</t>
        </is>
      </c>
      <c r="E6132" t="inlineStr">
        <is>
          <t>MARKARYD</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60115-2023</t>
        </is>
      </c>
      <c r="B6133" s="1" t="n">
        <v>45258.47369212963</v>
      </c>
      <c r="C6133" s="1" t="n">
        <v>46103</v>
      </c>
      <c r="D6133" t="inlineStr">
        <is>
          <t>KRONOBERGS LÄN</t>
        </is>
      </c>
      <c r="E6133" t="inlineStr">
        <is>
          <t>MARKARYD</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22615-2023</t>
        </is>
      </c>
      <c r="B6134" s="1" t="n">
        <v>45071.55216435185</v>
      </c>
      <c r="C6134" s="1" t="n">
        <v>46103</v>
      </c>
      <c r="D6134" t="inlineStr">
        <is>
          <t>KRONOBERGS LÄN</t>
        </is>
      </c>
      <c r="E6134" t="inlineStr">
        <is>
          <t>LJUNGBY</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22619-2023</t>
        </is>
      </c>
      <c r="B6135" s="1" t="n">
        <v>45071.55913194444</v>
      </c>
      <c r="C6135" s="1" t="n">
        <v>46103</v>
      </c>
      <c r="D6135" t="inlineStr">
        <is>
          <t>KRONOBERGS LÄN</t>
        </is>
      </c>
      <c r="E6135" t="inlineStr">
        <is>
          <t>LJUNGBY</t>
        </is>
      </c>
      <c r="G6135" t="n">
        <v>3.8</v>
      </c>
      <c r="H6135" t="n">
        <v>0</v>
      </c>
      <c r="I6135" t="n">
        <v>0</v>
      </c>
      <c r="J6135" t="n">
        <v>0</v>
      </c>
      <c r="K6135" t="n">
        <v>0</v>
      </c>
      <c r="L6135" t="n">
        <v>0</v>
      </c>
      <c r="M6135" t="n">
        <v>0</v>
      </c>
      <c r="N6135" t="n">
        <v>0</v>
      </c>
      <c r="O6135" t="n">
        <v>0</v>
      </c>
      <c r="P6135" t="n">
        <v>0</v>
      </c>
      <c r="Q6135" t="n">
        <v>0</v>
      </c>
      <c r="R6135" s="2" t="inlineStr"/>
    </row>
    <row r="6136" ht="15" customHeight="1">
      <c r="A6136" t="inlineStr">
        <is>
          <t>A 22648-2023</t>
        </is>
      </c>
      <c r="B6136" s="1" t="n">
        <v>45071</v>
      </c>
      <c r="C6136" s="1" t="n">
        <v>46103</v>
      </c>
      <c r="D6136" t="inlineStr">
        <is>
          <t>KRONOBERGS LÄN</t>
        </is>
      </c>
      <c r="E6136" t="inlineStr">
        <is>
          <t>TINGSRYD</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22656-2023</t>
        </is>
      </c>
      <c r="B6137" s="1" t="n">
        <v>45071.61512731481</v>
      </c>
      <c r="C6137" s="1" t="n">
        <v>46103</v>
      </c>
      <c r="D6137" t="inlineStr">
        <is>
          <t>KRONOBERGS LÄN</t>
        </is>
      </c>
      <c r="E6137" t="inlineStr">
        <is>
          <t>TINGSRYD</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11590-2025</t>
        </is>
      </c>
      <c r="B6138" s="1" t="n">
        <v>45727</v>
      </c>
      <c r="C6138" s="1" t="n">
        <v>46103</v>
      </c>
      <c r="D6138" t="inlineStr">
        <is>
          <t>KRONOBERGS LÄN</t>
        </is>
      </c>
      <c r="E6138" t="inlineStr">
        <is>
          <t>LJUNGBY</t>
        </is>
      </c>
      <c r="G6138" t="n">
        <v>10.6</v>
      </c>
      <c r="H6138" t="n">
        <v>0</v>
      </c>
      <c r="I6138" t="n">
        <v>0</v>
      </c>
      <c r="J6138" t="n">
        <v>0</v>
      </c>
      <c r="K6138" t="n">
        <v>0</v>
      </c>
      <c r="L6138" t="n">
        <v>0</v>
      </c>
      <c r="M6138" t="n">
        <v>0</v>
      </c>
      <c r="N6138" t="n">
        <v>0</v>
      </c>
      <c r="O6138" t="n">
        <v>0</v>
      </c>
      <c r="P6138" t="n">
        <v>0</v>
      </c>
      <c r="Q6138" t="n">
        <v>0</v>
      </c>
      <c r="R6138" s="2" t="inlineStr"/>
    </row>
    <row r="6139" ht="15" customHeight="1">
      <c r="A6139" t="inlineStr">
        <is>
          <t>A 24322-2023</t>
        </is>
      </c>
      <c r="B6139" s="1" t="n">
        <v>45080</v>
      </c>
      <c r="C6139" s="1" t="n">
        <v>46103</v>
      </c>
      <c r="D6139" t="inlineStr">
        <is>
          <t>KRONOBERGS LÄN</t>
        </is>
      </c>
      <c r="E6139" t="inlineStr">
        <is>
          <t>MARKARYD</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17095-2022</t>
        </is>
      </c>
      <c r="B6140" s="1" t="n">
        <v>44677.39790509259</v>
      </c>
      <c r="C6140" s="1" t="n">
        <v>46103</v>
      </c>
      <c r="D6140" t="inlineStr">
        <is>
          <t>KRONOBERGS LÄN</t>
        </is>
      </c>
      <c r="E6140" t="inlineStr">
        <is>
          <t>VÄXJÖ</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21241-2024</t>
        </is>
      </c>
      <c r="B6141" s="1" t="n">
        <v>45440.59321759259</v>
      </c>
      <c r="C6141" s="1" t="n">
        <v>46103</v>
      </c>
      <c r="D6141" t="inlineStr">
        <is>
          <t>KRONOBERGS LÄN</t>
        </is>
      </c>
      <c r="E6141" t="inlineStr">
        <is>
          <t>ÄLMHULT</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9669-2023</t>
        </is>
      </c>
      <c r="B6142" s="1" t="n">
        <v>44984</v>
      </c>
      <c r="C6142" s="1" t="n">
        <v>46103</v>
      </c>
      <c r="D6142" t="inlineStr">
        <is>
          <t>KRONOBERGS LÄN</t>
        </is>
      </c>
      <c r="E6142" t="inlineStr">
        <is>
          <t>MARKARYD</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18718-2025</t>
        </is>
      </c>
      <c r="B6143" s="1" t="n">
        <v>45763</v>
      </c>
      <c r="C6143" s="1" t="n">
        <v>46103</v>
      </c>
      <c r="D6143" t="inlineStr">
        <is>
          <t>KRONOBERGS LÄN</t>
        </is>
      </c>
      <c r="E6143" t="inlineStr">
        <is>
          <t>VÄXJÖ</t>
        </is>
      </c>
      <c r="F6143" t="inlineStr">
        <is>
          <t>Övriga statliga verk och myndigheter</t>
        </is>
      </c>
      <c r="G6143" t="n">
        <v>9.5</v>
      </c>
      <c r="H6143" t="n">
        <v>0</v>
      </c>
      <c r="I6143" t="n">
        <v>0</v>
      </c>
      <c r="J6143" t="n">
        <v>0</v>
      </c>
      <c r="K6143" t="n">
        <v>0</v>
      </c>
      <c r="L6143" t="n">
        <v>0</v>
      </c>
      <c r="M6143" t="n">
        <v>0</v>
      </c>
      <c r="N6143" t="n">
        <v>0</v>
      </c>
      <c r="O6143" t="n">
        <v>0</v>
      </c>
      <c r="P6143" t="n">
        <v>0</v>
      </c>
      <c r="Q6143" t="n">
        <v>0</v>
      </c>
      <c r="R6143" s="2" t="inlineStr"/>
    </row>
    <row r="6144" ht="15" customHeight="1">
      <c r="A6144" t="inlineStr">
        <is>
          <t>A 26225-2022</t>
        </is>
      </c>
      <c r="B6144" s="1" t="n">
        <v>44735.45429398148</v>
      </c>
      <c r="C6144" s="1" t="n">
        <v>46103</v>
      </c>
      <c r="D6144" t="inlineStr">
        <is>
          <t>KRONOBERGS LÄN</t>
        </is>
      </c>
      <c r="E6144" t="inlineStr">
        <is>
          <t>ALVESTA</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25461-2023</t>
        </is>
      </c>
      <c r="B6145" s="1" t="n">
        <v>45089.44758101852</v>
      </c>
      <c r="C6145" s="1" t="n">
        <v>46103</v>
      </c>
      <c r="D6145" t="inlineStr">
        <is>
          <t>KRONOBERGS LÄN</t>
        </is>
      </c>
      <c r="E6145" t="inlineStr">
        <is>
          <t>VÄXJÖ</t>
        </is>
      </c>
      <c r="G6145" t="n">
        <v>3.5</v>
      </c>
      <c r="H6145" t="n">
        <v>0</v>
      </c>
      <c r="I6145" t="n">
        <v>0</v>
      </c>
      <c r="J6145" t="n">
        <v>0</v>
      </c>
      <c r="K6145" t="n">
        <v>0</v>
      </c>
      <c r="L6145" t="n">
        <v>0</v>
      </c>
      <c r="M6145" t="n">
        <v>0</v>
      </c>
      <c r="N6145" t="n">
        <v>0</v>
      </c>
      <c r="O6145" t="n">
        <v>0</v>
      </c>
      <c r="P6145" t="n">
        <v>0</v>
      </c>
      <c r="Q6145" t="n">
        <v>0</v>
      </c>
      <c r="R6145" s="2" t="inlineStr"/>
    </row>
    <row r="6146" ht="15" customHeight="1">
      <c r="A6146" t="inlineStr">
        <is>
          <t>A 54866-2023</t>
        </is>
      </c>
      <c r="B6146" s="1" t="n">
        <v>45236.6053587963</v>
      </c>
      <c r="C6146" s="1" t="n">
        <v>46103</v>
      </c>
      <c r="D6146" t="inlineStr">
        <is>
          <t>KRONOBERGS LÄN</t>
        </is>
      </c>
      <c r="E6146" t="inlineStr">
        <is>
          <t>VÄXJÖ</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12939-2022</t>
        </is>
      </c>
      <c r="B6147" s="1" t="n">
        <v>44642.83407407408</v>
      </c>
      <c r="C6147" s="1" t="n">
        <v>46103</v>
      </c>
      <c r="D6147" t="inlineStr">
        <is>
          <t>KRONOBERGS LÄN</t>
        </is>
      </c>
      <c r="E6147" t="inlineStr">
        <is>
          <t>LJUNGBY</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54922-2024</t>
        </is>
      </c>
      <c r="B6148" s="1" t="n">
        <v>45618.70251157408</v>
      </c>
      <c r="C6148" s="1" t="n">
        <v>46103</v>
      </c>
      <c r="D6148" t="inlineStr">
        <is>
          <t>KRONOBERGS LÄN</t>
        </is>
      </c>
      <c r="E6148" t="inlineStr">
        <is>
          <t>ALVESTA</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13966-2024</t>
        </is>
      </c>
      <c r="B6149" s="1" t="n">
        <v>45392.35590277778</v>
      </c>
      <c r="C6149" s="1" t="n">
        <v>46103</v>
      </c>
      <c r="D6149" t="inlineStr">
        <is>
          <t>KRONOBERGS LÄN</t>
        </is>
      </c>
      <c r="E6149" t="inlineStr">
        <is>
          <t>TINGSRYD</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13975-2024</t>
        </is>
      </c>
      <c r="B6150" s="1" t="n">
        <v>45392.39274305556</v>
      </c>
      <c r="C6150" s="1" t="n">
        <v>46103</v>
      </c>
      <c r="D6150" t="inlineStr">
        <is>
          <t>KRONOBERGS LÄN</t>
        </is>
      </c>
      <c r="E6150" t="inlineStr">
        <is>
          <t>VÄXJÖ</t>
        </is>
      </c>
      <c r="F6150" t="inlineStr">
        <is>
          <t>Sveaskog</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43308-2023</t>
        </is>
      </c>
      <c r="B6151" s="1" t="n">
        <v>45183.60244212963</v>
      </c>
      <c r="C6151" s="1" t="n">
        <v>46103</v>
      </c>
      <c r="D6151" t="inlineStr">
        <is>
          <t>KRONOBERGS LÄN</t>
        </is>
      </c>
      <c r="E6151" t="inlineStr">
        <is>
          <t>TINGSRYD</t>
        </is>
      </c>
      <c r="G6151" t="n">
        <v>3.7</v>
      </c>
      <c r="H6151" t="n">
        <v>0</v>
      </c>
      <c r="I6151" t="n">
        <v>0</v>
      </c>
      <c r="J6151" t="n">
        <v>0</v>
      </c>
      <c r="K6151" t="n">
        <v>0</v>
      </c>
      <c r="L6151" t="n">
        <v>0</v>
      </c>
      <c r="M6151" t="n">
        <v>0</v>
      </c>
      <c r="N6151" t="n">
        <v>0</v>
      </c>
      <c r="O6151" t="n">
        <v>0</v>
      </c>
      <c r="P6151" t="n">
        <v>0</v>
      </c>
      <c r="Q6151" t="n">
        <v>0</v>
      </c>
      <c r="R6151" s="2" t="inlineStr"/>
    </row>
    <row r="6152" ht="15" customHeight="1">
      <c r="A6152" t="inlineStr">
        <is>
          <t>A 52082-2024</t>
        </is>
      </c>
      <c r="B6152" s="1" t="n">
        <v>45608.38702546297</v>
      </c>
      <c r="C6152" s="1" t="n">
        <v>46103</v>
      </c>
      <c r="D6152" t="inlineStr">
        <is>
          <t>KRONOBERGS LÄN</t>
        </is>
      </c>
      <c r="E6152" t="inlineStr">
        <is>
          <t>ALVESTA</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11365-2025</t>
        </is>
      </c>
      <c r="B6153" s="1" t="n">
        <v>45726.54469907407</v>
      </c>
      <c r="C6153" s="1" t="n">
        <v>46103</v>
      </c>
      <c r="D6153" t="inlineStr">
        <is>
          <t>KRONOBERGS LÄN</t>
        </is>
      </c>
      <c r="E6153" t="inlineStr">
        <is>
          <t>LJUNGBY</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56846-2023</t>
        </is>
      </c>
      <c r="B6154" s="1" t="n">
        <v>45244.48413194445</v>
      </c>
      <c r="C6154" s="1" t="n">
        <v>46103</v>
      </c>
      <c r="D6154" t="inlineStr">
        <is>
          <t>KRONOBERGS LÄN</t>
        </is>
      </c>
      <c r="E6154" t="inlineStr">
        <is>
          <t>ÄLMHULT</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3585-2023</t>
        </is>
      </c>
      <c r="B6155" s="1" t="n">
        <v>44950.55744212963</v>
      </c>
      <c r="C6155" s="1" t="n">
        <v>46103</v>
      </c>
      <c r="D6155" t="inlineStr">
        <is>
          <t>KRONOBERGS LÄN</t>
        </is>
      </c>
      <c r="E6155" t="inlineStr">
        <is>
          <t>TINGSRYD</t>
        </is>
      </c>
      <c r="G6155" t="n">
        <v>2.5</v>
      </c>
      <c r="H6155" t="n">
        <v>0</v>
      </c>
      <c r="I6155" t="n">
        <v>0</v>
      </c>
      <c r="J6155" t="n">
        <v>0</v>
      </c>
      <c r="K6155" t="n">
        <v>0</v>
      </c>
      <c r="L6155" t="n">
        <v>0</v>
      </c>
      <c r="M6155" t="n">
        <v>0</v>
      </c>
      <c r="N6155" t="n">
        <v>0</v>
      </c>
      <c r="O6155" t="n">
        <v>0</v>
      </c>
      <c r="P6155" t="n">
        <v>0</v>
      </c>
      <c r="Q6155" t="n">
        <v>0</v>
      </c>
      <c r="R6155" s="2" t="inlineStr"/>
    </row>
    <row r="6156" ht="15" customHeight="1">
      <c r="A6156" t="inlineStr">
        <is>
          <t>A 23155-2023</t>
        </is>
      </c>
      <c r="B6156" s="1" t="n">
        <v>45075.50622685185</v>
      </c>
      <c r="C6156" s="1" t="n">
        <v>46103</v>
      </c>
      <c r="D6156" t="inlineStr">
        <is>
          <t>KRONOBERGS LÄN</t>
        </is>
      </c>
      <c r="E6156" t="inlineStr">
        <is>
          <t>UPPVIDINGE</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1043-2024</t>
        </is>
      </c>
      <c r="B6157" s="1" t="n">
        <v>45301.83475694444</v>
      </c>
      <c r="C6157" s="1" t="n">
        <v>46103</v>
      </c>
      <c r="D6157" t="inlineStr">
        <is>
          <t>KRONOBERGS LÄN</t>
        </is>
      </c>
      <c r="E6157" t="inlineStr">
        <is>
          <t>LJUNGBY</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22122-2022</t>
        </is>
      </c>
      <c r="B6158" s="1" t="n">
        <v>44712.32885416667</v>
      </c>
      <c r="C6158" s="1" t="n">
        <v>46103</v>
      </c>
      <c r="D6158" t="inlineStr">
        <is>
          <t>KRONOBERGS LÄN</t>
        </is>
      </c>
      <c r="E6158" t="inlineStr">
        <is>
          <t>LJUNGBY</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31992-2021</t>
        </is>
      </c>
      <c r="B6159" s="1" t="n">
        <v>44370.60665509259</v>
      </c>
      <c r="C6159" s="1" t="n">
        <v>46103</v>
      </c>
      <c r="D6159" t="inlineStr">
        <is>
          <t>KRONOBERGS LÄN</t>
        </is>
      </c>
      <c r="E6159" t="inlineStr">
        <is>
          <t>MARKARYD</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608-2025</t>
        </is>
      </c>
      <c r="B6160" s="1" t="n">
        <v>45660</v>
      </c>
      <c r="C6160" s="1" t="n">
        <v>46103</v>
      </c>
      <c r="D6160" t="inlineStr">
        <is>
          <t>KRONOBERGS LÄN</t>
        </is>
      </c>
      <c r="E6160" t="inlineStr">
        <is>
          <t>UPPVIDINGE</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4824-2025</t>
        </is>
      </c>
      <c r="B6161" s="1" t="n">
        <v>45688</v>
      </c>
      <c r="C6161" s="1" t="n">
        <v>46103</v>
      </c>
      <c r="D6161" t="inlineStr">
        <is>
          <t>KRONOBERGS LÄN</t>
        </is>
      </c>
      <c r="E6161" t="inlineStr">
        <is>
          <t>UPPVIDINGE</t>
        </is>
      </c>
      <c r="F6161" t="inlineStr">
        <is>
          <t>Sveaskog</t>
        </is>
      </c>
      <c r="G6161" t="n">
        <v>61</v>
      </c>
      <c r="H6161" t="n">
        <v>0</v>
      </c>
      <c r="I6161" t="n">
        <v>0</v>
      </c>
      <c r="J6161" t="n">
        <v>0</v>
      </c>
      <c r="K6161" t="n">
        <v>0</v>
      </c>
      <c r="L6161" t="n">
        <v>0</v>
      </c>
      <c r="M6161" t="n">
        <v>0</v>
      </c>
      <c r="N6161" t="n">
        <v>0</v>
      </c>
      <c r="O6161" t="n">
        <v>0</v>
      </c>
      <c r="P6161" t="n">
        <v>0</v>
      </c>
      <c r="Q6161" t="n">
        <v>0</v>
      </c>
      <c r="R6161" s="2" t="inlineStr"/>
    </row>
    <row r="6162" ht="15" customHeight="1">
      <c r="A6162" t="inlineStr">
        <is>
          <t>A 6786-2024</t>
        </is>
      </c>
      <c r="B6162" s="1" t="n">
        <v>45342.53827546296</v>
      </c>
      <c r="C6162" s="1" t="n">
        <v>46103</v>
      </c>
      <c r="D6162" t="inlineStr">
        <is>
          <t>KRONOBERGS LÄN</t>
        </is>
      </c>
      <c r="E6162" t="inlineStr">
        <is>
          <t>VÄXJÖ</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4830-2025</t>
        </is>
      </c>
      <c r="B6163" s="1" t="n">
        <v>45688.64506944444</v>
      </c>
      <c r="C6163" s="1" t="n">
        <v>46103</v>
      </c>
      <c r="D6163" t="inlineStr">
        <is>
          <t>KRONOBERGS LÄN</t>
        </is>
      </c>
      <c r="E6163" t="inlineStr">
        <is>
          <t>UPPVIDINGE</t>
        </is>
      </c>
      <c r="F6163" t="inlineStr">
        <is>
          <t>Sveaskog</t>
        </is>
      </c>
      <c r="G6163" t="n">
        <v>5.8</v>
      </c>
      <c r="H6163" t="n">
        <v>0</v>
      </c>
      <c r="I6163" t="n">
        <v>0</v>
      </c>
      <c r="J6163" t="n">
        <v>0</v>
      </c>
      <c r="K6163" t="n">
        <v>0</v>
      </c>
      <c r="L6163" t="n">
        <v>0</v>
      </c>
      <c r="M6163" t="n">
        <v>0</v>
      </c>
      <c r="N6163" t="n">
        <v>0</v>
      </c>
      <c r="O6163" t="n">
        <v>0</v>
      </c>
      <c r="P6163" t="n">
        <v>0</v>
      </c>
      <c r="Q6163" t="n">
        <v>0</v>
      </c>
      <c r="R6163" s="2" t="inlineStr"/>
    </row>
    <row r="6164" ht="15" customHeight="1">
      <c r="A6164" t="inlineStr">
        <is>
          <t>A 2045-2023</t>
        </is>
      </c>
      <c r="B6164" s="1" t="n">
        <v>44939</v>
      </c>
      <c r="C6164" s="1" t="n">
        <v>46103</v>
      </c>
      <c r="D6164" t="inlineStr">
        <is>
          <t>KRONOBERGS LÄN</t>
        </is>
      </c>
      <c r="E6164" t="inlineStr">
        <is>
          <t>UPPVIDINGE</t>
        </is>
      </c>
      <c r="G6164" t="n">
        <v>7.9</v>
      </c>
      <c r="H6164" t="n">
        <v>0</v>
      </c>
      <c r="I6164" t="n">
        <v>0</v>
      </c>
      <c r="J6164" t="n">
        <v>0</v>
      </c>
      <c r="K6164" t="n">
        <v>0</v>
      </c>
      <c r="L6164" t="n">
        <v>0</v>
      </c>
      <c r="M6164" t="n">
        <v>0</v>
      </c>
      <c r="N6164" t="n">
        <v>0</v>
      </c>
      <c r="O6164" t="n">
        <v>0</v>
      </c>
      <c r="P6164" t="n">
        <v>0</v>
      </c>
      <c r="Q6164" t="n">
        <v>0</v>
      </c>
      <c r="R6164" s="2" t="inlineStr"/>
    </row>
    <row r="6165" ht="15" customHeight="1">
      <c r="A6165" t="inlineStr">
        <is>
          <t>A 6815-2024</t>
        </is>
      </c>
      <c r="B6165" s="1" t="n">
        <v>45342</v>
      </c>
      <c r="C6165" s="1" t="n">
        <v>46103</v>
      </c>
      <c r="D6165" t="inlineStr">
        <is>
          <t>KRONOBERGS LÄN</t>
        </is>
      </c>
      <c r="E6165" t="inlineStr">
        <is>
          <t>ALVESTA</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44661-2023</t>
        </is>
      </c>
      <c r="B6166" s="1" t="n">
        <v>45189.70568287037</v>
      </c>
      <c r="C6166" s="1" t="n">
        <v>46103</v>
      </c>
      <c r="D6166" t="inlineStr">
        <is>
          <t>KRONOBERGS LÄN</t>
        </is>
      </c>
      <c r="E6166" t="inlineStr">
        <is>
          <t>VÄXJÖ</t>
        </is>
      </c>
      <c r="G6166" t="n">
        <v>3.8</v>
      </c>
      <c r="H6166" t="n">
        <v>0</v>
      </c>
      <c r="I6166" t="n">
        <v>0</v>
      </c>
      <c r="J6166" t="n">
        <v>0</v>
      </c>
      <c r="K6166" t="n">
        <v>0</v>
      </c>
      <c r="L6166" t="n">
        <v>0</v>
      </c>
      <c r="M6166" t="n">
        <v>0</v>
      </c>
      <c r="N6166" t="n">
        <v>0</v>
      </c>
      <c r="O6166" t="n">
        <v>0</v>
      </c>
      <c r="P6166" t="n">
        <v>0</v>
      </c>
      <c r="Q6166" t="n">
        <v>0</v>
      </c>
      <c r="R6166" s="2" t="inlineStr"/>
    </row>
    <row r="6167" ht="15" customHeight="1">
      <c r="A6167" t="inlineStr">
        <is>
          <t>A 44663-2023</t>
        </is>
      </c>
      <c r="B6167" s="1" t="n">
        <v>45189.71008101852</v>
      </c>
      <c r="C6167" s="1" t="n">
        <v>46103</v>
      </c>
      <c r="D6167" t="inlineStr">
        <is>
          <t>KRONOBERGS LÄN</t>
        </is>
      </c>
      <c r="E6167" t="inlineStr">
        <is>
          <t>VÄXJÖ</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43206-2024</t>
        </is>
      </c>
      <c r="B6168" s="1" t="n">
        <v>45567.70056712963</v>
      </c>
      <c r="C6168" s="1" t="n">
        <v>46103</v>
      </c>
      <c r="D6168" t="inlineStr">
        <is>
          <t>KRONOBERGS LÄN</t>
        </is>
      </c>
      <c r="E6168" t="inlineStr">
        <is>
          <t>LESSEBO</t>
        </is>
      </c>
      <c r="G6168" t="n">
        <v>4.3</v>
      </c>
      <c r="H6168" t="n">
        <v>0</v>
      </c>
      <c r="I6168" t="n">
        <v>0</v>
      </c>
      <c r="J6168" t="n">
        <v>0</v>
      </c>
      <c r="K6168" t="n">
        <v>0</v>
      </c>
      <c r="L6168" t="n">
        <v>0</v>
      </c>
      <c r="M6168" t="n">
        <v>0</v>
      </c>
      <c r="N6168" t="n">
        <v>0</v>
      </c>
      <c r="O6168" t="n">
        <v>0</v>
      </c>
      <c r="P6168" t="n">
        <v>0</v>
      </c>
      <c r="Q6168" t="n">
        <v>0</v>
      </c>
      <c r="R6168" s="2" t="inlineStr"/>
    </row>
    <row r="6169" ht="15" customHeight="1">
      <c r="A6169" t="inlineStr">
        <is>
          <t>A 60119-2022</t>
        </is>
      </c>
      <c r="B6169" s="1" t="n">
        <v>44909.65577546296</v>
      </c>
      <c r="C6169" s="1" t="n">
        <v>46103</v>
      </c>
      <c r="D6169" t="inlineStr">
        <is>
          <t>KRONOBERGS LÄN</t>
        </is>
      </c>
      <c r="E6169" t="inlineStr">
        <is>
          <t>VÄXJÖ</t>
        </is>
      </c>
      <c r="F6169" t="inlineStr">
        <is>
          <t>Sveaskog</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10599-2023</t>
        </is>
      </c>
      <c r="B6170" s="1" t="n">
        <v>44988.39340277778</v>
      </c>
      <c r="C6170" s="1" t="n">
        <v>46103</v>
      </c>
      <c r="D6170" t="inlineStr">
        <is>
          <t>KRONOBERGS LÄN</t>
        </is>
      </c>
      <c r="E6170" t="inlineStr">
        <is>
          <t>TINGSRYD</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19704-2023</t>
        </is>
      </c>
      <c r="B6171" s="1" t="n">
        <v>45051.45070601852</v>
      </c>
      <c r="C6171" s="1" t="n">
        <v>46103</v>
      </c>
      <c r="D6171" t="inlineStr">
        <is>
          <t>KRONOBERGS LÄN</t>
        </is>
      </c>
      <c r="E6171" t="inlineStr">
        <is>
          <t>ÄLMHULT</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44737-2023</t>
        </is>
      </c>
      <c r="B6172" s="1" t="n">
        <v>45190.38162037037</v>
      </c>
      <c r="C6172" s="1" t="n">
        <v>46103</v>
      </c>
      <c r="D6172" t="inlineStr">
        <is>
          <t>KRONOBERGS LÄN</t>
        </is>
      </c>
      <c r="E6172" t="inlineStr">
        <is>
          <t>VÄXJÖ</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9357-2025</t>
        </is>
      </c>
      <c r="B6173" s="1" t="n">
        <v>45714.9666087963</v>
      </c>
      <c r="C6173" s="1" t="n">
        <v>46103</v>
      </c>
      <c r="D6173" t="inlineStr">
        <is>
          <t>KRONOBERGS LÄN</t>
        </is>
      </c>
      <c r="E6173" t="inlineStr">
        <is>
          <t>VÄXJÖ</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6051-2022</t>
        </is>
      </c>
      <c r="B6174" s="1" t="n">
        <v>44599.52814814815</v>
      </c>
      <c r="C6174" s="1" t="n">
        <v>46103</v>
      </c>
      <c r="D6174" t="inlineStr">
        <is>
          <t>KRONOBERGS LÄN</t>
        </is>
      </c>
      <c r="E6174" t="inlineStr">
        <is>
          <t>VÄXJÖ</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6052-2022</t>
        </is>
      </c>
      <c r="B6175" s="1" t="n">
        <v>44599.53033564815</v>
      </c>
      <c r="C6175" s="1" t="n">
        <v>46103</v>
      </c>
      <c r="D6175" t="inlineStr">
        <is>
          <t>KRONOBERGS LÄN</t>
        </is>
      </c>
      <c r="E6175" t="inlineStr">
        <is>
          <t>VÄXJÖ</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45919-2023</t>
        </is>
      </c>
      <c r="B6176" s="1" t="n">
        <v>45195.85668981481</v>
      </c>
      <c r="C6176" s="1" t="n">
        <v>46103</v>
      </c>
      <c r="D6176" t="inlineStr">
        <is>
          <t>KRONOBERGS LÄN</t>
        </is>
      </c>
      <c r="E6176" t="inlineStr">
        <is>
          <t>LJUNGBY</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39436-2022</t>
        </is>
      </c>
      <c r="B6177" s="1" t="n">
        <v>44818.32547453704</v>
      </c>
      <c r="C6177" s="1" t="n">
        <v>46103</v>
      </c>
      <c r="D6177" t="inlineStr">
        <is>
          <t>KRONOBERGS LÄN</t>
        </is>
      </c>
      <c r="E6177" t="inlineStr">
        <is>
          <t>LESSEBO</t>
        </is>
      </c>
      <c r="G6177" t="n">
        <v>2.7</v>
      </c>
      <c r="H6177" t="n">
        <v>0</v>
      </c>
      <c r="I6177" t="n">
        <v>0</v>
      </c>
      <c r="J6177" t="n">
        <v>0</v>
      </c>
      <c r="K6177" t="n">
        <v>0</v>
      </c>
      <c r="L6177" t="n">
        <v>0</v>
      </c>
      <c r="M6177" t="n">
        <v>0</v>
      </c>
      <c r="N6177" t="n">
        <v>0</v>
      </c>
      <c r="O6177" t="n">
        <v>0</v>
      </c>
      <c r="P6177" t="n">
        <v>0</v>
      </c>
      <c r="Q6177" t="n">
        <v>0</v>
      </c>
      <c r="R6177" s="2" t="inlineStr"/>
    </row>
    <row r="6178" ht="15" customHeight="1">
      <c r="A6178" t="inlineStr">
        <is>
          <t>A 20223-2025</t>
        </is>
      </c>
      <c r="B6178" s="1" t="n">
        <v>45772.65694444445</v>
      </c>
      <c r="C6178" s="1" t="n">
        <v>46103</v>
      </c>
      <c r="D6178" t="inlineStr">
        <is>
          <t>KRONOBERGS LÄN</t>
        </is>
      </c>
      <c r="E6178" t="inlineStr">
        <is>
          <t>LESSEBO</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41781-2023</t>
        </is>
      </c>
      <c r="B6179" s="1" t="n">
        <v>45176.47287037037</v>
      </c>
      <c r="C6179" s="1" t="n">
        <v>46103</v>
      </c>
      <c r="D6179" t="inlineStr">
        <is>
          <t>KRONOBERGS LÄN</t>
        </is>
      </c>
      <c r="E6179" t="inlineStr">
        <is>
          <t>ÄLMHULT</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22610-2023</t>
        </is>
      </c>
      <c r="B6180" s="1" t="n">
        <v>45071.54651620371</v>
      </c>
      <c r="C6180" s="1" t="n">
        <v>46103</v>
      </c>
      <c r="D6180" t="inlineStr">
        <is>
          <t>KRONOBERGS LÄN</t>
        </is>
      </c>
      <c r="E6180" t="inlineStr">
        <is>
          <t>LJUNGBY</t>
        </is>
      </c>
      <c r="G6180" t="n">
        <v>4.1</v>
      </c>
      <c r="H6180" t="n">
        <v>0</v>
      </c>
      <c r="I6180" t="n">
        <v>0</v>
      </c>
      <c r="J6180" t="n">
        <v>0</v>
      </c>
      <c r="K6180" t="n">
        <v>0</v>
      </c>
      <c r="L6180" t="n">
        <v>0</v>
      </c>
      <c r="M6180" t="n">
        <v>0</v>
      </c>
      <c r="N6180" t="n">
        <v>0</v>
      </c>
      <c r="O6180" t="n">
        <v>0</v>
      </c>
      <c r="P6180" t="n">
        <v>0</v>
      </c>
      <c r="Q6180" t="n">
        <v>0</v>
      </c>
      <c r="R6180" s="2" t="inlineStr"/>
    </row>
    <row r="6181" ht="15" customHeight="1">
      <c r="A6181" t="inlineStr">
        <is>
          <t>A 22613-2023</t>
        </is>
      </c>
      <c r="B6181" s="1" t="n">
        <v>45071.54908564815</v>
      </c>
      <c r="C6181" s="1" t="n">
        <v>46103</v>
      </c>
      <c r="D6181" t="inlineStr">
        <is>
          <t>KRONOBERGS LÄN</t>
        </is>
      </c>
      <c r="E6181" t="inlineStr">
        <is>
          <t>LJUNGBY</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22641-2023</t>
        </is>
      </c>
      <c r="B6182" s="1" t="n">
        <v>45071</v>
      </c>
      <c r="C6182" s="1" t="n">
        <v>46103</v>
      </c>
      <c r="D6182" t="inlineStr">
        <is>
          <t>KRONOBERGS LÄN</t>
        </is>
      </c>
      <c r="E6182" t="inlineStr">
        <is>
          <t>TINGSRYD</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53522-2024</t>
        </is>
      </c>
      <c r="B6183" s="1" t="n">
        <v>45614.61105324074</v>
      </c>
      <c r="C6183" s="1" t="n">
        <v>46103</v>
      </c>
      <c r="D6183" t="inlineStr">
        <is>
          <t>KRONOBERGS LÄN</t>
        </is>
      </c>
      <c r="E6183" t="inlineStr">
        <is>
          <t>VÄXJÖ</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27307-2023</t>
        </is>
      </c>
      <c r="B6184" s="1" t="n">
        <v>45096.65381944444</v>
      </c>
      <c r="C6184" s="1" t="n">
        <v>46103</v>
      </c>
      <c r="D6184" t="inlineStr">
        <is>
          <t>KRONOBERGS LÄN</t>
        </is>
      </c>
      <c r="E6184" t="inlineStr">
        <is>
          <t>TINGSRYD</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63718-2023</t>
        </is>
      </c>
      <c r="B6185" s="1" t="n">
        <v>45275</v>
      </c>
      <c r="C6185" s="1" t="n">
        <v>46103</v>
      </c>
      <c r="D6185" t="inlineStr">
        <is>
          <t>KRONOBERGS LÄN</t>
        </is>
      </c>
      <c r="E6185" t="inlineStr">
        <is>
          <t>MARKARYD</t>
        </is>
      </c>
      <c r="F6185" t="inlineStr">
        <is>
          <t>Kyrkan</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9765-2025</t>
        </is>
      </c>
      <c r="B6186" s="1" t="n">
        <v>45716.48269675926</v>
      </c>
      <c r="C6186" s="1" t="n">
        <v>46103</v>
      </c>
      <c r="D6186" t="inlineStr">
        <is>
          <t>KRONOBERGS LÄN</t>
        </is>
      </c>
      <c r="E6186" t="inlineStr">
        <is>
          <t>ÄLMHULT</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9773-2025</t>
        </is>
      </c>
      <c r="B6187" s="1" t="n">
        <v>45716.49100694444</v>
      </c>
      <c r="C6187" s="1" t="n">
        <v>46103</v>
      </c>
      <c r="D6187" t="inlineStr">
        <is>
          <t>KRONOBERGS LÄN</t>
        </is>
      </c>
      <c r="E6187" t="inlineStr">
        <is>
          <t>ÄLMHULT</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62122-2022</t>
        </is>
      </c>
      <c r="B6188" s="1" t="n">
        <v>44921.82634259259</v>
      </c>
      <c r="C6188" s="1" t="n">
        <v>46103</v>
      </c>
      <c r="D6188" t="inlineStr">
        <is>
          <t>KRONOBERGS LÄN</t>
        </is>
      </c>
      <c r="E6188" t="inlineStr">
        <is>
          <t>ÄLMHULT</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116-2023</t>
        </is>
      </c>
      <c r="B6189" s="1" t="n">
        <v>44928.49351851852</v>
      </c>
      <c r="C6189" s="1" t="n">
        <v>46103</v>
      </c>
      <c r="D6189" t="inlineStr">
        <is>
          <t>KRONOBERGS LÄN</t>
        </is>
      </c>
      <c r="E6189" t="inlineStr">
        <is>
          <t>ÄLMHULT</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57121-2022</t>
        </is>
      </c>
      <c r="B6190" s="1" t="n">
        <v>44895.55027777778</v>
      </c>
      <c r="C6190" s="1" t="n">
        <v>46103</v>
      </c>
      <c r="D6190" t="inlineStr">
        <is>
          <t>KRONOBERGS LÄN</t>
        </is>
      </c>
      <c r="E6190" t="inlineStr">
        <is>
          <t>ALVESTA</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47706-2021</t>
        </is>
      </c>
      <c r="B6191" s="1" t="n">
        <v>44448</v>
      </c>
      <c r="C6191" s="1" t="n">
        <v>46103</v>
      </c>
      <c r="D6191" t="inlineStr">
        <is>
          <t>KRONOBERGS LÄN</t>
        </is>
      </c>
      <c r="E6191" t="inlineStr">
        <is>
          <t>LJUNGBY</t>
        </is>
      </c>
      <c r="F6191" t="inlineStr">
        <is>
          <t>Kyrkan</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10361-2025</t>
        </is>
      </c>
      <c r="B6192" s="1" t="n">
        <v>45720.54211805556</v>
      </c>
      <c r="C6192" s="1" t="n">
        <v>46103</v>
      </c>
      <c r="D6192" t="inlineStr">
        <is>
          <t>KRONOBERGS LÄN</t>
        </is>
      </c>
      <c r="E6192" t="inlineStr">
        <is>
          <t>TINGSRYD</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5273-2025</t>
        </is>
      </c>
      <c r="B6193" s="1" t="n">
        <v>45692</v>
      </c>
      <c r="C6193" s="1" t="n">
        <v>46103</v>
      </c>
      <c r="D6193" t="inlineStr">
        <is>
          <t>KRONOBERGS LÄN</t>
        </is>
      </c>
      <c r="E6193" t="inlineStr">
        <is>
          <t>UPPVIDINGE</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5288-2025</t>
        </is>
      </c>
      <c r="B6194" s="1" t="n">
        <v>45692</v>
      </c>
      <c r="C6194" s="1" t="n">
        <v>46103</v>
      </c>
      <c r="D6194" t="inlineStr">
        <is>
          <t>KRONOBERGS LÄN</t>
        </is>
      </c>
      <c r="E6194" t="inlineStr">
        <is>
          <t>VÄXJÖ</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7535-2025</t>
        </is>
      </c>
      <c r="B6195" s="1" t="n">
        <v>45705.5654050926</v>
      </c>
      <c r="C6195" s="1" t="n">
        <v>46103</v>
      </c>
      <c r="D6195" t="inlineStr">
        <is>
          <t>KRONOBERGS LÄN</t>
        </is>
      </c>
      <c r="E6195" t="inlineStr">
        <is>
          <t>LJUNGBY</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7103-2025</t>
        </is>
      </c>
      <c r="B6196" s="1" t="n">
        <v>45701.90762731482</v>
      </c>
      <c r="C6196" s="1" t="n">
        <v>46103</v>
      </c>
      <c r="D6196" t="inlineStr">
        <is>
          <t>KRONOBERGS LÄN</t>
        </is>
      </c>
      <c r="E6196" t="inlineStr">
        <is>
          <t>LJUNGBY</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7139-2025</t>
        </is>
      </c>
      <c r="B6197" s="1" t="n">
        <v>45702.36793981482</v>
      </c>
      <c r="C6197" s="1" t="n">
        <v>46103</v>
      </c>
      <c r="D6197" t="inlineStr">
        <is>
          <t>KRONOBERGS LÄN</t>
        </is>
      </c>
      <c r="E6197" t="inlineStr">
        <is>
          <t>UPPVIDINGE</t>
        </is>
      </c>
      <c r="G6197" t="n">
        <v>3</v>
      </c>
      <c r="H6197" t="n">
        <v>0</v>
      </c>
      <c r="I6197" t="n">
        <v>0</v>
      </c>
      <c r="J6197" t="n">
        <v>0</v>
      </c>
      <c r="K6197" t="n">
        <v>0</v>
      </c>
      <c r="L6197" t="n">
        <v>0</v>
      </c>
      <c r="M6197" t="n">
        <v>0</v>
      </c>
      <c r="N6197" t="n">
        <v>0</v>
      </c>
      <c r="O6197" t="n">
        <v>0</v>
      </c>
      <c r="P6197" t="n">
        <v>0</v>
      </c>
      <c r="Q6197" t="n">
        <v>0</v>
      </c>
      <c r="R6197" s="2" t="inlineStr"/>
    </row>
    <row r="6198" ht="15" customHeight="1">
      <c r="A6198" t="inlineStr">
        <is>
          <t>A 56818-2024</t>
        </is>
      </c>
      <c r="B6198" s="1" t="n">
        <v>45628.48590277778</v>
      </c>
      <c r="C6198" s="1" t="n">
        <v>46103</v>
      </c>
      <c r="D6198" t="inlineStr">
        <is>
          <t>KRONOBERGS LÄN</t>
        </is>
      </c>
      <c r="E6198" t="inlineStr">
        <is>
          <t>LJUNGBY</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12845-2024</t>
        </is>
      </c>
      <c r="B6199" s="1" t="n">
        <v>45384.80710648148</v>
      </c>
      <c r="C6199" s="1" t="n">
        <v>46103</v>
      </c>
      <c r="D6199" t="inlineStr">
        <is>
          <t>KRONOBERGS LÄN</t>
        </is>
      </c>
      <c r="E6199" t="inlineStr">
        <is>
          <t>VÄXJÖ</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16942-2025</t>
        </is>
      </c>
      <c r="B6200" s="1" t="n">
        <v>45755</v>
      </c>
      <c r="C6200" s="1" t="n">
        <v>46103</v>
      </c>
      <c r="D6200" t="inlineStr">
        <is>
          <t>KRONOBERGS LÄN</t>
        </is>
      </c>
      <c r="E6200" t="inlineStr">
        <is>
          <t>UPPVIDINGE</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740-2022</t>
        </is>
      </c>
      <c r="B6201" s="1" t="n">
        <v>44568.79167824074</v>
      </c>
      <c r="C6201" s="1" t="n">
        <v>46103</v>
      </c>
      <c r="D6201" t="inlineStr">
        <is>
          <t>KRONOBERGS LÄN</t>
        </is>
      </c>
      <c r="E6201" t="inlineStr">
        <is>
          <t>ÄLMHULT</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33352-2024</t>
        </is>
      </c>
      <c r="B6202" s="1" t="n">
        <v>45519</v>
      </c>
      <c r="C6202" s="1" t="n">
        <v>46103</v>
      </c>
      <c r="D6202" t="inlineStr">
        <is>
          <t>KRONOBERGS LÄN</t>
        </is>
      </c>
      <c r="E6202" t="inlineStr">
        <is>
          <t>ALVESTA</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21039-2023</t>
        </is>
      </c>
      <c r="B6203" s="1" t="n">
        <v>45061</v>
      </c>
      <c r="C6203" s="1" t="n">
        <v>46103</v>
      </c>
      <c r="D6203" t="inlineStr">
        <is>
          <t>KRONOBERGS LÄN</t>
        </is>
      </c>
      <c r="E6203" t="inlineStr">
        <is>
          <t>LJUNGBY</t>
        </is>
      </c>
      <c r="G6203" t="n">
        <v>4.3</v>
      </c>
      <c r="H6203" t="n">
        <v>0</v>
      </c>
      <c r="I6203" t="n">
        <v>0</v>
      </c>
      <c r="J6203" t="n">
        <v>0</v>
      </c>
      <c r="K6203" t="n">
        <v>0</v>
      </c>
      <c r="L6203" t="n">
        <v>0</v>
      </c>
      <c r="M6203" t="n">
        <v>0</v>
      </c>
      <c r="N6203" t="n">
        <v>0</v>
      </c>
      <c r="O6203" t="n">
        <v>0</v>
      </c>
      <c r="P6203" t="n">
        <v>0</v>
      </c>
      <c r="Q6203" t="n">
        <v>0</v>
      </c>
      <c r="R6203" s="2" t="inlineStr"/>
    </row>
    <row r="6204" ht="15" customHeight="1">
      <c r="A6204" t="inlineStr">
        <is>
          <t>A 46181-2024</t>
        </is>
      </c>
      <c r="B6204" s="1" t="n">
        <v>45581.49583333333</v>
      </c>
      <c r="C6204" s="1" t="n">
        <v>46103</v>
      </c>
      <c r="D6204" t="inlineStr">
        <is>
          <t>KRONOBERGS LÄN</t>
        </is>
      </c>
      <c r="E6204" t="inlineStr">
        <is>
          <t>LJUNGBY</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6894-2023</t>
        </is>
      </c>
      <c r="B6205" s="1" t="n">
        <v>44967</v>
      </c>
      <c r="C6205" s="1" t="n">
        <v>46103</v>
      </c>
      <c r="D6205" t="inlineStr">
        <is>
          <t>KRONOBERGS LÄN</t>
        </is>
      </c>
      <c r="E6205" t="inlineStr">
        <is>
          <t>TINGSRYD</t>
        </is>
      </c>
      <c r="F6205" t="inlineStr">
        <is>
          <t>Övriga Aktiebolag</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11782-2022</t>
        </is>
      </c>
      <c r="B6206" s="1" t="n">
        <v>44634</v>
      </c>
      <c r="C6206" s="1" t="n">
        <v>46103</v>
      </c>
      <c r="D6206" t="inlineStr">
        <is>
          <t>KRONOBERGS LÄN</t>
        </is>
      </c>
      <c r="E6206" t="inlineStr">
        <is>
          <t>ÄLMHULT</t>
        </is>
      </c>
      <c r="G6206" t="n">
        <v>6.2</v>
      </c>
      <c r="H6206" t="n">
        <v>0</v>
      </c>
      <c r="I6206" t="n">
        <v>0</v>
      </c>
      <c r="J6206" t="n">
        <v>0</v>
      </c>
      <c r="K6206" t="n">
        <v>0</v>
      </c>
      <c r="L6206" t="n">
        <v>0</v>
      </c>
      <c r="M6206" t="n">
        <v>0</v>
      </c>
      <c r="N6206" t="n">
        <v>0</v>
      </c>
      <c r="O6206" t="n">
        <v>0</v>
      </c>
      <c r="P6206" t="n">
        <v>0</v>
      </c>
      <c r="Q6206" t="n">
        <v>0</v>
      </c>
      <c r="R6206" s="2" t="inlineStr"/>
    </row>
    <row r="6207" ht="15" customHeight="1">
      <c r="A6207" t="inlineStr">
        <is>
          <t>A 20435-2025</t>
        </is>
      </c>
      <c r="B6207" s="1" t="n">
        <v>45775.48229166667</v>
      </c>
      <c r="C6207" s="1" t="n">
        <v>46103</v>
      </c>
      <c r="D6207" t="inlineStr">
        <is>
          <t>KRONOBERGS LÄN</t>
        </is>
      </c>
      <c r="E6207" t="inlineStr">
        <is>
          <t>LESSEBO</t>
        </is>
      </c>
      <c r="F6207" t="inlineStr">
        <is>
          <t>Sveaskog</t>
        </is>
      </c>
      <c r="G6207" t="n">
        <v>3.5</v>
      </c>
      <c r="H6207" t="n">
        <v>0</v>
      </c>
      <c r="I6207" t="n">
        <v>0</v>
      </c>
      <c r="J6207" t="n">
        <v>0</v>
      </c>
      <c r="K6207" t="n">
        <v>0</v>
      </c>
      <c r="L6207" t="n">
        <v>0</v>
      </c>
      <c r="M6207" t="n">
        <v>0</v>
      </c>
      <c r="N6207" t="n">
        <v>0</v>
      </c>
      <c r="O6207" t="n">
        <v>0</v>
      </c>
      <c r="P6207" t="n">
        <v>0</v>
      </c>
      <c r="Q6207" t="n">
        <v>0</v>
      </c>
      <c r="R6207" s="2" t="inlineStr"/>
    </row>
    <row r="6208" ht="15" customHeight="1">
      <c r="A6208" t="inlineStr">
        <is>
          <t>A 20441-2025</t>
        </is>
      </c>
      <c r="B6208" s="1" t="n">
        <v>45775.48774305556</v>
      </c>
      <c r="C6208" s="1" t="n">
        <v>46103</v>
      </c>
      <c r="D6208" t="inlineStr">
        <is>
          <t>KRONOBERGS LÄN</t>
        </is>
      </c>
      <c r="E6208" t="inlineStr">
        <is>
          <t>LESSEBO</t>
        </is>
      </c>
      <c r="F6208" t="inlineStr">
        <is>
          <t>Sveaskog</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19001-2025</t>
        </is>
      </c>
      <c r="B6209" s="1" t="n">
        <v>45764.57984953704</v>
      </c>
      <c r="C6209" s="1" t="n">
        <v>46103</v>
      </c>
      <c r="D6209" t="inlineStr">
        <is>
          <t>KRONOBERGS LÄN</t>
        </is>
      </c>
      <c r="E6209" t="inlineStr">
        <is>
          <t>VÄXJÖ</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18205-2025</t>
        </is>
      </c>
      <c r="B6210" s="1" t="n">
        <v>45761.68496527777</v>
      </c>
      <c r="C6210" s="1" t="n">
        <v>46103</v>
      </c>
      <c r="D6210" t="inlineStr">
        <is>
          <t>KRONOBERGS LÄN</t>
        </is>
      </c>
      <c r="E6210" t="inlineStr">
        <is>
          <t>LESSEBO</t>
        </is>
      </c>
      <c r="F6210" t="inlineStr">
        <is>
          <t>Sveaskog</t>
        </is>
      </c>
      <c r="G6210" t="n">
        <v>3.6</v>
      </c>
      <c r="H6210" t="n">
        <v>0</v>
      </c>
      <c r="I6210" t="n">
        <v>0</v>
      </c>
      <c r="J6210" t="n">
        <v>0</v>
      </c>
      <c r="K6210" t="n">
        <v>0</v>
      </c>
      <c r="L6210" t="n">
        <v>0</v>
      </c>
      <c r="M6210" t="n">
        <v>0</v>
      </c>
      <c r="N6210" t="n">
        <v>0</v>
      </c>
      <c r="O6210" t="n">
        <v>0</v>
      </c>
      <c r="P6210" t="n">
        <v>0</v>
      </c>
      <c r="Q6210" t="n">
        <v>0</v>
      </c>
      <c r="R6210" s="2" t="inlineStr"/>
    </row>
    <row r="6211" ht="15" customHeight="1">
      <c r="A6211" t="inlineStr">
        <is>
          <t>A 58251-2022</t>
        </is>
      </c>
      <c r="B6211" s="1" t="n">
        <v>44901.43681712963</v>
      </c>
      <c r="C6211" s="1" t="n">
        <v>46103</v>
      </c>
      <c r="D6211" t="inlineStr">
        <is>
          <t>KRONOBERGS LÄN</t>
        </is>
      </c>
      <c r="E6211" t="inlineStr">
        <is>
          <t>TINGSRYD</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58256-2022</t>
        </is>
      </c>
      <c r="B6212" s="1" t="n">
        <v>44901.44385416667</v>
      </c>
      <c r="C6212" s="1" t="n">
        <v>46103</v>
      </c>
      <c r="D6212" t="inlineStr">
        <is>
          <t>KRONOBERGS LÄN</t>
        </is>
      </c>
      <c r="E6212" t="inlineStr">
        <is>
          <t>TINGSRYD</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18677-2025</t>
        </is>
      </c>
      <c r="B6213" s="1" t="n">
        <v>45763.59938657407</v>
      </c>
      <c r="C6213" s="1" t="n">
        <v>46103</v>
      </c>
      <c r="D6213" t="inlineStr">
        <is>
          <t>KRONOBERGS LÄN</t>
        </is>
      </c>
      <c r="E6213" t="inlineStr">
        <is>
          <t>ALVESTA</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11506-2024</t>
        </is>
      </c>
      <c r="B6214" s="1" t="n">
        <v>45372.68917824074</v>
      </c>
      <c r="C6214" s="1" t="n">
        <v>46103</v>
      </c>
      <c r="D6214" t="inlineStr">
        <is>
          <t>KRONOBERGS LÄN</t>
        </is>
      </c>
      <c r="E6214" t="inlineStr">
        <is>
          <t>LJUNGBY</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1947-2024</t>
        </is>
      </c>
      <c r="B6215" s="1" t="n">
        <v>45308.48898148148</v>
      </c>
      <c r="C6215" s="1" t="n">
        <v>46103</v>
      </c>
      <c r="D6215" t="inlineStr">
        <is>
          <t>KRONOBERGS LÄN</t>
        </is>
      </c>
      <c r="E6215" t="inlineStr">
        <is>
          <t>TINGSRYD</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6333-2024</t>
        </is>
      </c>
      <c r="B6216" s="1" t="n">
        <v>45338</v>
      </c>
      <c r="C6216" s="1" t="n">
        <v>46103</v>
      </c>
      <c r="D6216" t="inlineStr">
        <is>
          <t>KRONOBERGS LÄN</t>
        </is>
      </c>
      <c r="E6216" t="inlineStr">
        <is>
          <t>UPPVIDINGE</t>
        </is>
      </c>
      <c r="F6216" t="inlineStr">
        <is>
          <t>Sveaskog</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22736-2024</t>
        </is>
      </c>
      <c r="B6217" s="1" t="n">
        <v>45448.38922453704</v>
      </c>
      <c r="C6217" s="1" t="n">
        <v>46103</v>
      </c>
      <c r="D6217" t="inlineStr">
        <is>
          <t>KRONOBERGS LÄN</t>
        </is>
      </c>
      <c r="E6217" t="inlineStr">
        <is>
          <t>VÄXJÖ</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58214-2023</t>
        </is>
      </c>
      <c r="B6218" s="1" t="n">
        <v>45250.44863425926</v>
      </c>
      <c r="C6218" s="1" t="n">
        <v>46103</v>
      </c>
      <c r="D6218" t="inlineStr">
        <is>
          <t>KRONOBERGS LÄN</t>
        </is>
      </c>
      <c r="E6218" t="inlineStr">
        <is>
          <t>LJUNGBY</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153-2024</t>
        </is>
      </c>
      <c r="B6219" s="1" t="n">
        <v>45294</v>
      </c>
      <c r="C6219" s="1" t="n">
        <v>46103</v>
      </c>
      <c r="D6219" t="inlineStr">
        <is>
          <t>KRONOBERGS LÄN</t>
        </is>
      </c>
      <c r="E6219" t="inlineStr">
        <is>
          <t>VÄXJÖ</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33094-2021</t>
        </is>
      </c>
      <c r="B6220" s="1" t="n">
        <v>44376.60693287037</v>
      </c>
      <c r="C6220" s="1" t="n">
        <v>46103</v>
      </c>
      <c r="D6220" t="inlineStr">
        <is>
          <t>KRONOBERGS LÄN</t>
        </is>
      </c>
      <c r="E6220" t="inlineStr">
        <is>
          <t>TINGSRYD</t>
        </is>
      </c>
      <c r="F6220" t="inlineStr">
        <is>
          <t>Övriga Aktiebolag</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4747-2022</t>
        </is>
      </c>
      <c r="B6221" s="1" t="n">
        <v>44592.57989583333</v>
      </c>
      <c r="C6221" s="1" t="n">
        <v>46103</v>
      </c>
      <c r="D6221" t="inlineStr">
        <is>
          <t>KRONOBERGS LÄN</t>
        </is>
      </c>
      <c r="E6221" t="inlineStr">
        <is>
          <t>ÄLMHULT</t>
        </is>
      </c>
      <c r="G6221" t="n">
        <v>4.8</v>
      </c>
      <c r="H6221" t="n">
        <v>0</v>
      </c>
      <c r="I6221" t="n">
        <v>0</v>
      </c>
      <c r="J6221" t="n">
        <v>0</v>
      </c>
      <c r="K6221" t="n">
        <v>0</v>
      </c>
      <c r="L6221" t="n">
        <v>0</v>
      </c>
      <c r="M6221" t="n">
        <v>0</v>
      </c>
      <c r="N6221" t="n">
        <v>0</v>
      </c>
      <c r="O6221" t="n">
        <v>0</v>
      </c>
      <c r="P6221" t="n">
        <v>0</v>
      </c>
      <c r="Q6221" t="n">
        <v>0</v>
      </c>
      <c r="R6221" s="2" t="inlineStr"/>
    </row>
    <row r="6222" ht="15" customHeight="1">
      <c r="A6222" t="inlineStr">
        <is>
          <t>A 1481-2023</t>
        </is>
      </c>
      <c r="B6222" s="1" t="n">
        <v>44937</v>
      </c>
      <c r="C6222" s="1" t="n">
        <v>46103</v>
      </c>
      <c r="D6222" t="inlineStr">
        <is>
          <t>KRONOBERGS LÄN</t>
        </is>
      </c>
      <c r="E6222" t="inlineStr">
        <is>
          <t>UPPVIDINGE</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1482-2023</t>
        </is>
      </c>
      <c r="B6223" s="1" t="n">
        <v>44937.46436342593</v>
      </c>
      <c r="C6223" s="1" t="n">
        <v>46103</v>
      </c>
      <c r="D6223" t="inlineStr">
        <is>
          <t>KRONOBERGS LÄN</t>
        </is>
      </c>
      <c r="E6223" t="inlineStr">
        <is>
          <t>UPPVIDINGE</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45904-2023</t>
        </is>
      </c>
      <c r="B6224" s="1" t="n">
        <v>45195</v>
      </c>
      <c r="C6224" s="1" t="n">
        <v>46103</v>
      </c>
      <c r="D6224" t="inlineStr">
        <is>
          <t>KRONOBERGS LÄN</t>
        </is>
      </c>
      <c r="E6224" t="inlineStr">
        <is>
          <t>UPPVIDINGE</t>
        </is>
      </c>
      <c r="G6224" t="n">
        <v>10.3</v>
      </c>
      <c r="H6224" t="n">
        <v>0</v>
      </c>
      <c r="I6224" t="n">
        <v>0</v>
      </c>
      <c r="J6224" t="n">
        <v>0</v>
      </c>
      <c r="K6224" t="n">
        <v>0</v>
      </c>
      <c r="L6224" t="n">
        <v>0</v>
      </c>
      <c r="M6224" t="n">
        <v>0</v>
      </c>
      <c r="N6224" t="n">
        <v>0</v>
      </c>
      <c r="O6224" t="n">
        <v>0</v>
      </c>
      <c r="P6224" t="n">
        <v>0</v>
      </c>
      <c r="Q6224" t="n">
        <v>0</v>
      </c>
      <c r="R6224" s="2" t="inlineStr"/>
    </row>
    <row r="6225" ht="15" customHeight="1">
      <c r="A6225" t="inlineStr">
        <is>
          <t>A 39730-2022</t>
        </is>
      </c>
      <c r="B6225" s="1" t="n">
        <v>44819.34596064815</v>
      </c>
      <c r="C6225" s="1" t="n">
        <v>46103</v>
      </c>
      <c r="D6225" t="inlineStr">
        <is>
          <t>KRONOBERGS LÄN</t>
        </is>
      </c>
      <c r="E6225" t="inlineStr">
        <is>
          <t>LJUNGBY</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47486-2024</t>
        </is>
      </c>
      <c r="B6226" s="1" t="n">
        <v>45587</v>
      </c>
      <c r="C6226" s="1" t="n">
        <v>46103</v>
      </c>
      <c r="D6226" t="inlineStr">
        <is>
          <t>KRONOBERGS LÄN</t>
        </is>
      </c>
      <c r="E6226" t="inlineStr">
        <is>
          <t>VÄXJÖ</t>
        </is>
      </c>
      <c r="G6226" t="n">
        <v>6</v>
      </c>
      <c r="H6226" t="n">
        <v>0</v>
      </c>
      <c r="I6226" t="n">
        <v>0</v>
      </c>
      <c r="J6226" t="n">
        <v>0</v>
      </c>
      <c r="K6226" t="n">
        <v>0</v>
      </c>
      <c r="L6226" t="n">
        <v>0</v>
      </c>
      <c r="M6226" t="n">
        <v>0</v>
      </c>
      <c r="N6226" t="n">
        <v>0</v>
      </c>
      <c r="O6226" t="n">
        <v>0</v>
      </c>
      <c r="P6226" t="n">
        <v>0</v>
      </c>
      <c r="Q6226" t="n">
        <v>0</v>
      </c>
      <c r="R6226" s="2" t="inlineStr"/>
    </row>
    <row r="6227" ht="15" customHeight="1">
      <c r="A6227" t="inlineStr">
        <is>
          <t>A 15426-2023</t>
        </is>
      </c>
      <c r="B6227" s="1" t="n">
        <v>45020</v>
      </c>
      <c r="C6227" s="1" t="n">
        <v>46103</v>
      </c>
      <c r="D6227" t="inlineStr">
        <is>
          <t>KRONOBERGS LÄN</t>
        </is>
      </c>
      <c r="E6227" t="inlineStr">
        <is>
          <t>LJUNGBY</t>
        </is>
      </c>
      <c r="F6227" t="inlineStr">
        <is>
          <t>Kyrkan</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36365-2023</t>
        </is>
      </c>
      <c r="B6228" s="1" t="n">
        <v>45152</v>
      </c>
      <c r="C6228" s="1" t="n">
        <v>46103</v>
      </c>
      <c r="D6228" t="inlineStr">
        <is>
          <t>KRONOBERGS LÄN</t>
        </is>
      </c>
      <c r="E6228" t="inlineStr">
        <is>
          <t>LJUNGBY</t>
        </is>
      </c>
      <c r="G6228" t="n">
        <v>0.3</v>
      </c>
      <c r="H6228" t="n">
        <v>0</v>
      </c>
      <c r="I6228" t="n">
        <v>0</v>
      </c>
      <c r="J6228" t="n">
        <v>0</v>
      </c>
      <c r="K6228" t="n">
        <v>0</v>
      </c>
      <c r="L6228" t="n">
        <v>0</v>
      </c>
      <c r="M6228" t="n">
        <v>0</v>
      </c>
      <c r="N6228" t="n">
        <v>0</v>
      </c>
      <c r="O6228" t="n">
        <v>0</v>
      </c>
      <c r="P6228" t="n">
        <v>0</v>
      </c>
      <c r="Q6228" t="n">
        <v>0</v>
      </c>
      <c r="R6228" s="2" t="inlineStr"/>
    </row>
    <row r="6229" ht="15" customHeight="1">
      <c r="A6229" t="inlineStr">
        <is>
          <t>A 29596-2021</t>
        </is>
      </c>
      <c r="B6229" s="1" t="n">
        <v>44361.93059027778</v>
      </c>
      <c r="C6229" s="1" t="n">
        <v>46103</v>
      </c>
      <c r="D6229" t="inlineStr">
        <is>
          <t>KRONOBERGS LÄN</t>
        </is>
      </c>
      <c r="E6229" t="inlineStr">
        <is>
          <t>UPPVIDINGE</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5642-2024</t>
        </is>
      </c>
      <c r="B6230" s="1" t="n">
        <v>45334</v>
      </c>
      <c r="C6230" s="1" t="n">
        <v>46103</v>
      </c>
      <c r="D6230" t="inlineStr">
        <is>
          <t>KRONOBERGS LÄN</t>
        </is>
      </c>
      <c r="E6230" t="inlineStr">
        <is>
          <t>LJUNGBY</t>
        </is>
      </c>
      <c r="G6230" t="n">
        <v>3.6</v>
      </c>
      <c r="H6230" t="n">
        <v>0</v>
      </c>
      <c r="I6230" t="n">
        <v>0</v>
      </c>
      <c r="J6230" t="n">
        <v>0</v>
      </c>
      <c r="K6230" t="n">
        <v>0</v>
      </c>
      <c r="L6230" t="n">
        <v>0</v>
      </c>
      <c r="M6230" t="n">
        <v>0</v>
      </c>
      <c r="N6230" t="n">
        <v>0</v>
      </c>
      <c r="O6230" t="n">
        <v>0</v>
      </c>
      <c r="P6230" t="n">
        <v>0</v>
      </c>
      <c r="Q6230" t="n">
        <v>0</v>
      </c>
      <c r="R6230" s="2" t="inlineStr"/>
    </row>
    <row r="6231" ht="15" customHeight="1">
      <c r="A6231" t="inlineStr">
        <is>
          <t>A 13296-2024</t>
        </is>
      </c>
      <c r="B6231" s="1" t="n">
        <v>45386.66395833333</v>
      </c>
      <c r="C6231" s="1" t="n">
        <v>46103</v>
      </c>
      <c r="D6231" t="inlineStr">
        <is>
          <t>KRONOBERGS LÄN</t>
        </is>
      </c>
      <c r="E6231" t="inlineStr">
        <is>
          <t>TINGSRYD</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3533-2023</t>
        </is>
      </c>
      <c r="B6232" s="1" t="n">
        <v>44950</v>
      </c>
      <c r="C6232" s="1" t="n">
        <v>46103</v>
      </c>
      <c r="D6232" t="inlineStr">
        <is>
          <t>KRONOBERGS LÄN</t>
        </is>
      </c>
      <c r="E6232" t="inlineStr">
        <is>
          <t>MARKARYD</t>
        </is>
      </c>
      <c r="G6232" t="n">
        <v>13.2</v>
      </c>
      <c r="H6232" t="n">
        <v>0</v>
      </c>
      <c r="I6232" t="n">
        <v>0</v>
      </c>
      <c r="J6232" t="n">
        <v>0</v>
      </c>
      <c r="K6232" t="n">
        <v>0</v>
      </c>
      <c r="L6232" t="n">
        <v>0</v>
      </c>
      <c r="M6232" t="n">
        <v>0</v>
      </c>
      <c r="N6232" t="n">
        <v>0</v>
      </c>
      <c r="O6232" t="n">
        <v>0</v>
      </c>
      <c r="P6232" t="n">
        <v>0</v>
      </c>
      <c r="Q6232" t="n">
        <v>0</v>
      </c>
      <c r="R6232" s="2" t="inlineStr"/>
    </row>
    <row r="6233" ht="15" customHeight="1">
      <c r="A6233" t="inlineStr">
        <is>
          <t>A 27630-2023</t>
        </is>
      </c>
      <c r="B6233" s="1" t="n">
        <v>45097</v>
      </c>
      <c r="C6233" s="1" t="n">
        <v>46103</v>
      </c>
      <c r="D6233" t="inlineStr">
        <is>
          <t>KRONOBERGS LÄN</t>
        </is>
      </c>
      <c r="E6233" t="inlineStr">
        <is>
          <t>LJUNGBY</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6009-2024</t>
        </is>
      </c>
      <c r="B6234" s="1" t="n">
        <v>45336.60260416667</v>
      </c>
      <c r="C6234" s="1" t="n">
        <v>46103</v>
      </c>
      <c r="D6234" t="inlineStr">
        <is>
          <t>KRONOBERGS LÄN</t>
        </is>
      </c>
      <c r="E6234" t="inlineStr">
        <is>
          <t>ALVESTA</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24431-2023</t>
        </is>
      </c>
      <c r="B6235" s="1" t="n">
        <v>45082</v>
      </c>
      <c r="C6235" s="1" t="n">
        <v>46103</v>
      </c>
      <c r="D6235" t="inlineStr">
        <is>
          <t>KRONOBERGS LÄN</t>
        </is>
      </c>
      <c r="E6235" t="inlineStr">
        <is>
          <t>TINGSRYD</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31872-2022</t>
        </is>
      </c>
      <c r="B6236" s="1" t="n">
        <v>44777.38348379629</v>
      </c>
      <c r="C6236" s="1" t="n">
        <v>46103</v>
      </c>
      <c r="D6236" t="inlineStr">
        <is>
          <t>KRONOBERGS LÄN</t>
        </is>
      </c>
      <c r="E6236" t="inlineStr">
        <is>
          <t>ÄLMHULT</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3755-2025</t>
        </is>
      </c>
      <c r="B6237" s="1" t="n">
        <v>45681</v>
      </c>
      <c r="C6237" s="1" t="n">
        <v>46103</v>
      </c>
      <c r="D6237" t="inlineStr">
        <is>
          <t>KRONOBERGS LÄN</t>
        </is>
      </c>
      <c r="E6237" t="inlineStr">
        <is>
          <t>VÄXJÖ</t>
        </is>
      </c>
      <c r="F6237" t="inlineStr">
        <is>
          <t>Kyrkan</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3807-2025</t>
        </is>
      </c>
      <c r="B6238" s="1" t="n">
        <v>45681.6758912037</v>
      </c>
      <c r="C6238" s="1" t="n">
        <v>46103</v>
      </c>
      <c r="D6238" t="inlineStr">
        <is>
          <t>KRONOBERGS LÄN</t>
        </is>
      </c>
      <c r="E6238" t="inlineStr">
        <is>
          <t>MARKARYD</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3809-2025</t>
        </is>
      </c>
      <c r="B6239" s="1" t="n">
        <v>45681.67857638889</v>
      </c>
      <c r="C6239" s="1" t="n">
        <v>46103</v>
      </c>
      <c r="D6239" t="inlineStr">
        <is>
          <t>KRONOBERGS LÄN</t>
        </is>
      </c>
      <c r="E6239" t="inlineStr">
        <is>
          <t>MARKARYD</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53657-2024</t>
        </is>
      </c>
      <c r="B6240" s="1" t="n">
        <v>45615.30976851852</v>
      </c>
      <c r="C6240" s="1" t="n">
        <v>46103</v>
      </c>
      <c r="D6240" t="inlineStr">
        <is>
          <t>KRONOBERGS LÄN</t>
        </is>
      </c>
      <c r="E6240" t="inlineStr">
        <is>
          <t>ÄLMHULT</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53658-2024</t>
        </is>
      </c>
      <c r="B6241" s="1" t="n">
        <v>45615.31185185185</v>
      </c>
      <c r="C6241" s="1" t="n">
        <v>46103</v>
      </c>
      <c r="D6241" t="inlineStr">
        <is>
          <t>KRONOBERGS LÄN</t>
        </is>
      </c>
      <c r="E6241" t="inlineStr">
        <is>
          <t>ÄLMHULT</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33499-2023</t>
        </is>
      </c>
      <c r="B6242" s="1" t="n">
        <v>45131</v>
      </c>
      <c r="C6242" s="1" t="n">
        <v>46103</v>
      </c>
      <c r="D6242" t="inlineStr">
        <is>
          <t>KRONOBERGS LÄN</t>
        </is>
      </c>
      <c r="E6242" t="inlineStr">
        <is>
          <t>LJUNGBY</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25096-2024</t>
        </is>
      </c>
      <c r="B6243" s="1" t="n">
        <v>45462</v>
      </c>
      <c r="C6243" s="1" t="n">
        <v>46103</v>
      </c>
      <c r="D6243" t="inlineStr">
        <is>
          <t>KRONOBERGS LÄN</t>
        </is>
      </c>
      <c r="E6243" t="inlineStr">
        <is>
          <t>MARKARYD</t>
        </is>
      </c>
      <c r="G6243" t="n">
        <v>4.9</v>
      </c>
      <c r="H6243" t="n">
        <v>0</v>
      </c>
      <c r="I6243" t="n">
        <v>0</v>
      </c>
      <c r="J6243" t="n">
        <v>0</v>
      </c>
      <c r="K6243" t="n">
        <v>0</v>
      </c>
      <c r="L6243" t="n">
        <v>0</v>
      </c>
      <c r="M6243" t="n">
        <v>0</v>
      </c>
      <c r="N6243" t="n">
        <v>0</v>
      </c>
      <c r="O6243" t="n">
        <v>0</v>
      </c>
      <c r="P6243" t="n">
        <v>0</v>
      </c>
      <c r="Q6243" t="n">
        <v>0</v>
      </c>
      <c r="R6243" s="2" t="inlineStr"/>
    </row>
    <row r="6244" ht="15" customHeight="1">
      <c r="A6244" t="inlineStr">
        <is>
          <t>A 51224-2023</t>
        </is>
      </c>
      <c r="B6244" s="1" t="n">
        <v>45219.45643518519</v>
      </c>
      <c r="C6244" s="1" t="n">
        <v>46103</v>
      </c>
      <c r="D6244" t="inlineStr">
        <is>
          <t>KRONOBERGS LÄN</t>
        </is>
      </c>
      <c r="E6244" t="inlineStr">
        <is>
          <t>VÄXJÖ</t>
        </is>
      </c>
      <c r="G6244" t="n">
        <v>0.1</v>
      </c>
      <c r="H6244" t="n">
        <v>0</v>
      </c>
      <c r="I6244" t="n">
        <v>0</v>
      </c>
      <c r="J6244" t="n">
        <v>0</v>
      </c>
      <c r="K6244" t="n">
        <v>0</v>
      </c>
      <c r="L6244" t="n">
        <v>0</v>
      </c>
      <c r="M6244" t="n">
        <v>0</v>
      </c>
      <c r="N6244" t="n">
        <v>0</v>
      </c>
      <c r="O6244" t="n">
        <v>0</v>
      </c>
      <c r="P6244" t="n">
        <v>0</v>
      </c>
      <c r="Q6244" t="n">
        <v>0</v>
      </c>
      <c r="R6244" s="2" t="inlineStr"/>
    </row>
    <row r="6245" ht="15" customHeight="1">
      <c r="A6245" t="inlineStr">
        <is>
          <t>A 2238-2023</t>
        </is>
      </c>
      <c r="B6245" s="1" t="n">
        <v>44942</v>
      </c>
      <c r="C6245" s="1" t="n">
        <v>46103</v>
      </c>
      <c r="D6245" t="inlineStr">
        <is>
          <t>KRONOBERGS LÄN</t>
        </is>
      </c>
      <c r="E6245" t="inlineStr">
        <is>
          <t>ÄLMHULT</t>
        </is>
      </c>
      <c r="G6245" t="n">
        <v>0</v>
      </c>
      <c r="H6245" t="n">
        <v>0</v>
      </c>
      <c r="I6245" t="n">
        <v>0</v>
      </c>
      <c r="J6245" t="n">
        <v>0</v>
      </c>
      <c r="K6245" t="n">
        <v>0</v>
      </c>
      <c r="L6245" t="n">
        <v>0</v>
      </c>
      <c r="M6245" t="n">
        <v>0</v>
      </c>
      <c r="N6245" t="n">
        <v>0</v>
      </c>
      <c r="O6245" t="n">
        <v>0</v>
      </c>
      <c r="P6245" t="n">
        <v>0</v>
      </c>
      <c r="Q6245" t="n">
        <v>0</v>
      </c>
      <c r="R6245" s="2" t="inlineStr"/>
    </row>
    <row r="6246" ht="15" customHeight="1">
      <c r="A6246" t="inlineStr">
        <is>
          <t>A 2242-2023</t>
        </is>
      </c>
      <c r="B6246" s="1" t="n">
        <v>44942</v>
      </c>
      <c r="C6246" s="1" t="n">
        <v>46103</v>
      </c>
      <c r="D6246" t="inlineStr">
        <is>
          <t>KRONOBERGS LÄN</t>
        </is>
      </c>
      <c r="E6246" t="inlineStr">
        <is>
          <t>ÄLMHULT</t>
        </is>
      </c>
      <c r="G6246" t="n">
        <v>0</v>
      </c>
      <c r="H6246" t="n">
        <v>0</v>
      </c>
      <c r="I6246" t="n">
        <v>0</v>
      </c>
      <c r="J6246" t="n">
        <v>0</v>
      </c>
      <c r="K6246" t="n">
        <v>0</v>
      </c>
      <c r="L6246" t="n">
        <v>0</v>
      </c>
      <c r="M6246" t="n">
        <v>0</v>
      </c>
      <c r="N6246" t="n">
        <v>0</v>
      </c>
      <c r="O6246" t="n">
        <v>0</v>
      </c>
      <c r="P6246" t="n">
        <v>0</v>
      </c>
      <c r="Q6246" t="n">
        <v>0</v>
      </c>
      <c r="R6246" s="2" t="inlineStr"/>
    </row>
    <row r="6247" ht="15" customHeight="1">
      <c r="A6247" t="inlineStr">
        <is>
          <t>A 12963-2024</t>
        </is>
      </c>
      <c r="B6247" s="1" t="n">
        <v>45385.49362268519</v>
      </c>
      <c r="C6247" s="1" t="n">
        <v>46103</v>
      </c>
      <c r="D6247" t="inlineStr">
        <is>
          <t>KRONOBERGS LÄN</t>
        </is>
      </c>
      <c r="E6247" t="inlineStr">
        <is>
          <t>ALVESTA</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14602-2025</t>
        </is>
      </c>
      <c r="B6248" s="1" t="n">
        <v>45742.36822916667</v>
      </c>
      <c r="C6248" s="1" t="n">
        <v>46103</v>
      </c>
      <c r="D6248" t="inlineStr">
        <is>
          <t>KRONOBERGS LÄN</t>
        </is>
      </c>
      <c r="E6248" t="inlineStr">
        <is>
          <t>LJUNGBY</t>
        </is>
      </c>
      <c r="G6248" t="n">
        <v>0</v>
      </c>
      <c r="H6248" t="n">
        <v>0</v>
      </c>
      <c r="I6248" t="n">
        <v>0</v>
      </c>
      <c r="J6248" t="n">
        <v>0</v>
      </c>
      <c r="K6248" t="n">
        <v>0</v>
      </c>
      <c r="L6248" t="n">
        <v>0</v>
      </c>
      <c r="M6248" t="n">
        <v>0</v>
      </c>
      <c r="N6248" t="n">
        <v>0</v>
      </c>
      <c r="O6248" t="n">
        <v>0</v>
      </c>
      <c r="P6248" t="n">
        <v>0</v>
      </c>
      <c r="Q6248" t="n">
        <v>0</v>
      </c>
      <c r="R6248" s="2" t="inlineStr"/>
    </row>
    <row r="6249" ht="15" customHeight="1">
      <c r="A6249" t="inlineStr">
        <is>
          <t>A 15349-2025</t>
        </is>
      </c>
      <c r="B6249" s="1" t="n">
        <v>45747.38277777778</v>
      </c>
      <c r="C6249" s="1" t="n">
        <v>46103</v>
      </c>
      <c r="D6249" t="inlineStr">
        <is>
          <t>KRONOBERGS LÄN</t>
        </is>
      </c>
      <c r="E6249" t="inlineStr">
        <is>
          <t>VÄXJÖ</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42994-2023</t>
        </is>
      </c>
      <c r="B6250" s="1" t="n">
        <v>45182</v>
      </c>
      <c r="C6250" s="1" t="n">
        <v>46103</v>
      </c>
      <c r="D6250" t="inlineStr">
        <is>
          <t>KRONOBERGS LÄN</t>
        </is>
      </c>
      <c r="E6250" t="inlineStr">
        <is>
          <t>TINGSRYD</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35492-2023</t>
        </is>
      </c>
      <c r="B6251" s="1" t="n">
        <v>45146</v>
      </c>
      <c r="C6251" s="1" t="n">
        <v>46103</v>
      </c>
      <c r="D6251" t="inlineStr">
        <is>
          <t>KRONOBERGS LÄN</t>
        </is>
      </c>
      <c r="E6251" t="inlineStr">
        <is>
          <t>UPPVIDINGE</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35494-2023</t>
        </is>
      </c>
      <c r="B6252" s="1" t="n">
        <v>45146</v>
      </c>
      <c r="C6252" s="1" t="n">
        <v>46103</v>
      </c>
      <c r="D6252" t="inlineStr">
        <is>
          <t>KRONOBERGS LÄN</t>
        </is>
      </c>
      <c r="E6252" t="inlineStr">
        <is>
          <t>UPPVIDINGE</t>
        </is>
      </c>
      <c r="G6252" t="n">
        <v>3.7</v>
      </c>
      <c r="H6252" t="n">
        <v>0</v>
      </c>
      <c r="I6252" t="n">
        <v>0</v>
      </c>
      <c r="J6252" t="n">
        <v>0</v>
      </c>
      <c r="K6252" t="n">
        <v>0</v>
      </c>
      <c r="L6252" t="n">
        <v>0</v>
      </c>
      <c r="M6252" t="n">
        <v>0</v>
      </c>
      <c r="N6252" t="n">
        <v>0</v>
      </c>
      <c r="O6252" t="n">
        <v>0</v>
      </c>
      <c r="P6252" t="n">
        <v>0</v>
      </c>
      <c r="Q6252" t="n">
        <v>0</v>
      </c>
      <c r="R6252" s="2" t="inlineStr"/>
    </row>
    <row r="6253" ht="15" customHeight="1">
      <c r="A6253" t="inlineStr">
        <is>
          <t>A 35546-2023</t>
        </is>
      </c>
      <c r="B6253" s="1" t="n">
        <v>45147</v>
      </c>
      <c r="C6253" s="1" t="n">
        <v>46103</v>
      </c>
      <c r="D6253" t="inlineStr">
        <is>
          <t>KRONOBERGS LÄN</t>
        </is>
      </c>
      <c r="E6253" t="inlineStr">
        <is>
          <t>VÄXJÖ</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70401-2021</t>
        </is>
      </c>
      <c r="B6254" s="1" t="n">
        <v>44536.55450231482</v>
      </c>
      <c r="C6254" s="1" t="n">
        <v>46103</v>
      </c>
      <c r="D6254" t="inlineStr">
        <is>
          <t>KRONOBERGS LÄN</t>
        </is>
      </c>
      <c r="E6254" t="inlineStr">
        <is>
          <t>VÄXJÖ</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63115-2023</t>
        </is>
      </c>
      <c r="B6255" s="1" t="n">
        <v>45273.43633101852</v>
      </c>
      <c r="C6255" s="1" t="n">
        <v>46103</v>
      </c>
      <c r="D6255" t="inlineStr">
        <is>
          <t>KRONOBERGS LÄN</t>
        </is>
      </c>
      <c r="E6255" t="inlineStr">
        <is>
          <t>ÄLMHULT</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9683-2025</t>
        </is>
      </c>
      <c r="B6256" s="1" t="n">
        <v>45716.34958333334</v>
      </c>
      <c r="C6256" s="1" t="n">
        <v>46103</v>
      </c>
      <c r="D6256" t="inlineStr">
        <is>
          <t>KRONOBERGS LÄN</t>
        </is>
      </c>
      <c r="E6256" t="inlineStr">
        <is>
          <t>UPPVIDINGE</t>
        </is>
      </c>
      <c r="F6256" t="inlineStr">
        <is>
          <t>Sveaskog</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19336-2021</t>
        </is>
      </c>
      <c r="B6257" s="1" t="n">
        <v>44309</v>
      </c>
      <c r="C6257" s="1" t="n">
        <v>46103</v>
      </c>
      <c r="D6257" t="inlineStr">
        <is>
          <t>KRONOBERGS LÄN</t>
        </is>
      </c>
      <c r="E6257" t="inlineStr">
        <is>
          <t>ALVESTA</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18197-2025</t>
        </is>
      </c>
      <c r="B6258" s="1" t="n">
        <v>45761.67996527778</v>
      </c>
      <c r="C6258" s="1" t="n">
        <v>46103</v>
      </c>
      <c r="D6258" t="inlineStr">
        <is>
          <t>KRONOBERGS LÄN</t>
        </is>
      </c>
      <c r="E6258" t="inlineStr">
        <is>
          <t>LESSEBO</t>
        </is>
      </c>
      <c r="F6258" t="inlineStr">
        <is>
          <t>Sveaskog</t>
        </is>
      </c>
      <c r="G6258" t="n">
        <v>14.7</v>
      </c>
      <c r="H6258" t="n">
        <v>0</v>
      </c>
      <c r="I6258" t="n">
        <v>0</v>
      </c>
      <c r="J6258" t="n">
        <v>0</v>
      </c>
      <c r="K6258" t="n">
        <v>0</v>
      </c>
      <c r="L6258" t="n">
        <v>0</v>
      </c>
      <c r="M6258" t="n">
        <v>0</v>
      </c>
      <c r="N6258" t="n">
        <v>0</v>
      </c>
      <c r="O6258" t="n">
        <v>0</v>
      </c>
      <c r="P6258" t="n">
        <v>0</v>
      </c>
      <c r="Q6258" t="n">
        <v>0</v>
      </c>
      <c r="R6258" s="2" t="inlineStr"/>
    </row>
    <row r="6259" ht="15" customHeight="1">
      <c r="A6259" t="inlineStr">
        <is>
          <t>A 11470-2024</t>
        </is>
      </c>
      <c r="B6259" s="1" t="n">
        <v>45372.6037037037</v>
      </c>
      <c r="C6259" s="1" t="n">
        <v>46103</v>
      </c>
      <c r="D6259" t="inlineStr">
        <is>
          <t>KRONOBERGS LÄN</t>
        </is>
      </c>
      <c r="E6259" t="inlineStr">
        <is>
          <t>MARKARYD</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21406-2024</t>
        </is>
      </c>
      <c r="B6260" s="1" t="n">
        <v>45441</v>
      </c>
      <c r="C6260" s="1" t="n">
        <v>46103</v>
      </c>
      <c r="D6260" t="inlineStr">
        <is>
          <t>KRONOBERGS LÄN</t>
        </is>
      </c>
      <c r="E6260" t="inlineStr">
        <is>
          <t>LJUNGBY</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25569-2022</t>
        </is>
      </c>
      <c r="B6261" s="1" t="n">
        <v>44732</v>
      </c>
      <c r="C6261" s="1" t="n">
        <v>46103</v>
      </c>
      <c r="D6261" t="inlineStr">
        <is>
          <t>KRONOBERGS LÄN</t>
        </is>
      </c>
      <c r="E6261" t="inlineStr">
        <is>
          <t>VÄXJÖ</t>
        </is>
      </c>
      <c r="G6261" t="n">
        <v>5.9</v>
      </c>
      <c r="H6261" t="n">
        <v>0</v>
      </c>
      <c r="I6261" t="n">
        <v>0</v>
      </c>
      <c r="J6261" t="n">
        <v>0</v>
      </c>
      <c r="K6261" t="n">
        <v>0</v>
      </c>
      <c r="L6261" t="n">
        <v>0</v>
      </c>
      <c r="M6261" t="n">
        <v>0</v>
      </c>
      <c r="N6261" t="n">
        <v>0</v>
      </c>
      <c r="O6261" t="n">
        <v>0</v>
      </c>
      <c r="P6261" t="n">
        <v>0</v>
      </c>
      <c r="Q6261" t="n">
        <v>0</v>
      </c>
      <c r="R6261" s="2" t="inlineStr"/>
    </row>
    <row r="6262" ht="15" customHeight="1">
      <c r="A6262" t="inlineStr">
        <is>
          <t>A 72318-2021</t>
        </is>
      </c>
      <c r="B6262" s="1" t="n">
        <v>44545.43649305555</v>
      </c>
      <c r="C6262" s="1" t="n">
        <v>46103</v>
      </c>
      <c r="D6262" t="inlineStr">
        <is>
          <t>KRONOBERGS LÄN</t>
        </is>
      </c>
      <c r="E6262" t="inlineStr">
        <is>
          <t>ALVESTA</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24788-2024</t>
        </is>
      </c>
      <c r="B6263" s="1" t="n">
        <v>45460.82011574074</v>
      </c>
      <c r="C6263" s="1" t="n">
        <v>46103</v>
      </c>
      <c r="D6263" t="inlineStr">
        <is>
          <t>KRONOBERGS LÄN</t>
        </is>
      </c>
      <c r="E6263" t="inlineStr">
        <is>
          <t>UPPVIDINGE</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33500-2023</t>
        </is>
      </c>
      <c r="B6264" s="1" t="n">
        <v>45131</v>
      </c>
      <c r="C6264" s="1" t="n">
        <v>46103</v>
      </c>
      <c r="D6264" t="inlineStr">
        <is>
          <t>KRONOBERGS LÄN</t>
        </is>
      </c>
      <c r="E6264" t="inlineStr">
        <is>
          <t>LJUNGBY</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30852-2024</t>
        </is>
      </c>
      <c r="B6265" s="1" t="n">
        <v>45497.63172453704</v>
      </c>
      <c r="C6265" s="1" t="n">
        <v>46103</v>
      </c>
      <c r="D6265" t="inlineStr">
        <is>
          <t>KRONOBERGS LÄN</t>
        </is>
      </c>
      <c r="E6265" t="inlineStr">
        <is>
          <t>ÄLMHULT</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41805-2024</t>
        </is>
      </c>
      <c r="B6266" s="1" t="n">
        <v>45561.37106481481</v>
      </c>
      <c r="C6266" s="1" t="n">
        <v>46103</v>
      </c>
      <c r="D6266" t="inlineStr">
        <is>
          <t>KRONOBERGS LÄN</t>
        </is>
      </c>
      <c r="E6266" t="inlineStr">
        <is>
          <t>UPPVIDINGE</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13036-2022</t>
        </is>
      </c>
      <c r="B6267" s="1" t="n">
        <v>44643.59888888889</v>
      </c>
      <c r="C6267" s="1" t="n">
        <v>46103</v>
      </c>
      <c r="D6267" t="inlineStr">
        <is>
          <t>KRONOBERGS LÄN</t>
        </is>
      </c>
      <c r="E6267" t="inlineStr">
        <is>
          <t>LESSEBO</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9035-2025</t>
        </is>
      </c>
      <c r="B6268" s="1" t="n">
        <v>45713</v>
      </c>
      <c r="C6268" s="1" t="n">
        <v>46103</v>
      </c>
      <c r="D6268" t="inlineStr">
        <is>
          <t>KRONOBERGS LÄN</t>
        </is>
      </c>
      <c r="E6268" t="inlineStr">
        <is>
          <t>LJUNGBY</t>
        </is>
      </c>
      <c r="F6268" t="inlineStr">
        <is>
          <t>Sveaskog</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9036-2025</t>
        </is>
      </c>
      <c r="B6269" s="1" t="n">
        <v>45713.62074074074</v>
      </c>
      <c r="C6269" s="1" t="n">
        <v>46103</v>
      </c>
      <c r="D6269" t="inlineStr">
        <is>
          <t>KRONOBERGS LÄN</t>
        </is>
      </c>
      <c r="E6269" t="inlineStr">
        <is>
          <t>LJUNGBY</t>
        </is>
      </c>
      <c r="F6269" t="inlineStr">
        <is>
          <t>Sveaskog</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50438-2023</t>
        </is>
      </c>
      <c r="B6270" s="1" t="n">
        <v>45216.70546296296</v>
      </c>
      <c r="C6270" s="1" t="n">
        <v>46103</v>
      </c>
      <c r="D6270" t="inlineStr">
        <is>
          <t>KRONOBERGS LÄN</t>
        </is>
      </c>
      <c r="E6270" t="inlineStr">
        <is>
          <t>VÄXJÖ</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50540-2023</t>
        </is>
      </c>
      <c r="B6271" s="1" t="n">
        <v>45217</v>
      </c>
      <c r="C6271" s="1" t="n">
        <v>46103</v>
      </c>
      <c r="D6271" t="inlineStr">
        <is>
          <t>KRONOBERGS LÄN</t>
        </is>
      </c>
      <c r="E6271" t="inlineStr">
        <is>
          <t>ÄLMHULT</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52031-2023</t>
        </is>
      </c>
      <c r="B6272" s="1" t="n">
        <v>45223.62657407407</v>
      </c>
      <c r="C6272" s="1" t="n">
        <v>46103</v>
      </c>
      <c r="D6272" t="inlineStr">
        <is>
          <t>KRONOBERGS LÄN</t>
        </is>
      </c>
      <c r="E6272" t="inlineStr">
        <is>
          <t>LESSEBO</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10087-2022</t>
        </is>
      </c>
      <c r="B6273" s="1" t="n">
        <v>44621.66988425926</v>
      </c>
      <c r="C6273" s="1" t="n">
        <v>46103</v>
      </c>
      <c r="D6273" t="inlineStr">
        <is>
          <t>KRONOBERGS LÄN</t>
        </is>
      </c>
      <c r="E6273" t="inlineStr">
        <is>
          <t>ÄLMHULT</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62172-2022</t>
        </is>
      </c>
      <c r="B6274" s="1" t="n">
        <v>44922</v>
      </c>
      <c r="C6274" s="1" t="n">
        <v>46103</v>
      </c>
      <c r="D6274" t="inlineStr">
        <is>
          <t>KRONOBERGS LÄN</t>
        </is>
      </c>
      <c r="E6274" t="inlineStr">
        <is>
          <t>ÄLMHULT</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2159-2025</t>
        </is>
      </c>
      <c r="B6275" s="1" t="n">
        <v>45672.78414351852</v>
      </c>
      <c r="C6275" s="1" t="n">
        <v>46103</v>
      </c>
      <c r="D6275" t="inlineStr">
        <is>
          <t>KRONOBERGS LÄN</t>
        </is>
      </c>
      <c r="E6275" t="inlineStr">
        <is>
          <t>LJUNGBY</t>
        </is>
      </c>
      <c r="G6275" t="n">
        <v>3.6</v>
      </c>
      <c r="H6275" t="n">
        <v>0</v>
      </c>
      <c r="I6275" t="n">
        <v>0</v>
      </c>
      <c r="J6275" t="n">
        <v>0</v>
      </c>
      <c r="K6275" t="n">
        <v>0</v>
      </c>
      <c r="L6275" t="n">
        <v>0</v>
      </c>
      <c r="M6275" t="n">
        <v>0</v>
      </c>
      <c r="N6275" t="n">
        <v>0</v>
      </c>
      <c r="O6275" t="n">
        <v>0</v>
      </c>
      <c r="P6275" t="n">
        <v>0</v>
      </c>
      <c r="Q6275" t="n">
        <v>0</v>
      </c>
      <c r="R6275" s="2" t="inlineStr"/>
    </row>
    <row r="6276" ht="15" customHeight="1">
      <c r="A6276" t="inlineStr">
        <is>
          <t>A 19053-2025</t>
        </is>
      </c>
      <c r="B6276" s="1" t="n">
        <v>45764</v>
      </c>
      <c r="C6276" s="1" t="n">
        <v>46103</v>
      </c>
      <c r="D6276" t="inlineStr">
        <is>
          <t>KRONOBERGS LÄN</t>
        </is>
      </c>
      <c r="E6276" t="inlineStr">
        <is>
          <t>UPPVIDINGE</t>
        </is>
      </c>
      <c r="F6276" t="inlineStr">
        <is>
          <t>Sveaskog</t>
        </is>
      </c>
      <c r="G6276" t="n">
        <v>3.7</v>
      </c>
      <c r="H6276" t="n">
        <v>0</v>
      </c>
      <c r="I6276" t="n">
        <v>0</v>
      </c>
      <c r="J6276" t="n">
        <v>0</v>
      </c>
      <c r="K6276" t="n">
        <v>0</v>
      </c>
      <c r="L6276" t="n">
        <v>0</v>
      </c>
      <c r="M6276" t="n">
        <v>0</v>
      </c>
      <c r="N6276" t="n">
        <v>0</v>
      </c>
      <c r="O6276" t="n">
        <v>0</v>
      </c>
      <c r="P6276" t="n">
        <v>0</v>
      </c>
      <c r="Q6276" t="n">
        <v>0</v>
      </c>
      <c r="R6276" s="2" t="inlineStr"/>
    </row>
    <row r="6277" ht="15" customHeight="1">
      <c r="A6277" t="inlineStr">
        <is>
          <t>A 19054-2025</t>
        </is>
      </c>
      <c r="B6277" s="1" t="n">
        <v>45764.84103009259</v>
      </c>
      <c r="C6277" s="1" t="n">
        <v>46103</v>
      </c>
      <c r="D6277" t="inlineStr">
        <is>
          <t>KRONOBERGS LÄN</t>
        </is>
      </c>
      <c r="E6277" t="inlineStr">
        <is>
          <t>UPPVIDINGE</t>
        </is>
      </c>
      <c r="F6277" t="inlineStr">
        <is>
          <t>Sveaskog</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70349-2021</t>
        </is>
      </c>
      <c r="B6278" s="1" t="n">
        <v>44536.47980324074</v>
      </c>
      <c r="C6278" s="1" t="n">
        <v>46103</v>
      </c>
      <c r="D6278" t="inlineStr">
        <is>
          <t>KRONOBERGS LÄN</t>
        </is>
      </c>
      <c r="E6278" t="inlineStr">
        <is>
          <t>LESSEBO</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70350-2021</t>
        </is>
      </c>
      <c r="B6279" s="1" t="n">
        <v>44536.48008101852</v>
      </c>
      <c r="C6279" s="1" t="n">
        <v>46103</v>
      </c>
      <c r="D6279" t="inlineStr">
        <is>
          <t>KRONOBERGS LÄN</t>
        </is>
      </c>
      <c r="E6279" t="inlineStr">
        <is>
          <t>LESSEBO</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53789-2024</t>
        </is>
      </c>
      <c r="B6280" s="1" t="n">
        <v>45615.57407407407</v>
      </c>
      <c r="C6280" s="1" t="n">
        <v>46103</v>
      </c>
      <c r="D6280" t="inlineStr">
        <is>
          <t>KRONOBERGS LÄN</t>
        </is>
      </c>
      <c r="E6280" t="inlineStr">
        <is>
          <t>LJUNGBY</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16910-2023</t>
        </is>
      </c>
      <c r="B6281" s="1" t="n">
        <v>45033</v>
      </c>
      <c r="C6281" s="1" t="n">
        <v>46103</v>
      </c>
      <c r="D6281" t="inlineStr">
        <is>
          <t>KRONOBERGS LÄN</t>
        </is>
      </c>
      <c r="E6281" t="inlineStr">
        <is>
          <t>LJUNGBY</t>
        </is>
      </c>
      <c r="G6281" t="n">
        <v>5.6</v>
      </c>
      <c r="H6281" t="n">
        <v>0</v>
      </c>
      <c r="I6281" t="n">
        <v>0</v>
      </c>
      <c r="J6281" t="n">
        <v>0</v>
      </c>
      <c r="K6281" t="n">
        <v>0</v>
      </c>
      <c r="L6281" t="n">
        <v>0</v>
      </c>
      <c r="M6281" t="n">
        <v>0</v>
      </c>
      <c r="N6281" t="n">
        <v>0</v>
      </c>
      <c r="O6281" t="n">
        <v>0</v>
      </c>
      <c r="P6281" t="n">
        <v>0</v>
      </c>
      <c r="Q6281" t="n">
        <v>0</v>
      </c>
      <c r="R6281" s="2" t="inlineStr"/>
    </row>
    <row r="6282" ht="15" customHeight="1">
      <c r="A6282" t="inlineStr">
        <is>
          <t>A 1846-2024</t>
        </is>
      </c>
      <c r="B6282" s="1" t="n">
        <v>45307</v>
      </c>
      <c r="C6282" s="1" t="n">
        <v>46103</v>
      </c>
      <c r="D6282" t="inlineStr">
        <is>
          <t>KRONOBERGS LÄN</t>
        </is>
      </c>
      <c r="E6282" t="inlineStr">
        <is>
          <t>LJUNGBY</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5024-2022</t>
        </is>
      </c>
      <c r="B6283" s="1" t="n">
        <v>44593.63554398148</v>
      </c>
      <c r="C6283" s="1" t="n">
        <v>46103</v>
      </c>
      <c r="D6283" t="inlineStr">
        <is>
          <t>KRONOBERGS LÄN</t>
        </is>
      </c>
      <c r="E6283" t="inlineStr">
        <is>
          <t>UPPVIDINGE</t>
        </is>
      </c>
      <c r="G6283" t="n">
        <v>4.5</v>
      </c>
      <c r="H6283" t="n">
        <v>0</v>
      </c>
      <c r="I6283" t="n">
        <v>0</v>
      </c>
      <c r="J6283" t="n">
        <v>0</v>
      </c>
      <c r="K6283" t="n">
        <v>0</v>
      </c>
      <c r="L6283" t="n">
        <v>0</v>
      </c>
      <c r="M6283" t="n">
        <v>0</v>
      </c>
      <c r="N6283" t="n">
        <v>0</v>
      </c>
      <c r="O6283" t="n">
        <v>0</v>
      </c>
      <c r="P6283" t="n">
        <v>0</v>
      </c>
      <c r="Q6283" t="n">
        <v>0</v>
      </c>
      <c r="R6283" s="2" t="inlineStr"/>
    </row>
    <row r="6284" ht="15" customHeight="1">
      <c r="A6284" t="inlineStr">
        <is>
          <t>A 43497-2023</t>
        </is>
      </c>
      <c r="B6284" s="1" t="n">
        <v>45181</v>
      </c>
      <c r="C6284" s="1" t="n">
        <v>46103</v>
      </c>
      <c r="D6284" t="inlineStr">
        <is>
          <t>KRONOBERGS LÄN</t>
        </is>
      </c>
      <c r="E6284" t="inlineStr">
        <is>
          <t>UPPVIDINGE</t>
        </is>
      </c>
      <c r="F6284" t="inlineStr">
        <is>
          <t>Kyrkan</t>
        </is>
      </c>
      <c r="G6284" t="n">
        <v>6.1</v>
      </c>
      <c r="H6284" t="n">
        <v>0</v>
      </c>
      <c r="I6284" t="n">
        <v>0</v>
      </c>
      <c r="J6284" t="n">
        <v>0</v>
      </c>
      <c r="K6284" t="n">
        <v>0</v>
      </c>
      <c r="L6284" t="n">
        <v>0</v>
      </c>
      <c r="M6284" t="n">
        <v>0</v>
      </c>
      <c r="N6284" t="n">
        <v>0</v>
      </c>
      <c r="O6284" t="n">
        <v>0</v>
      </c>
      <c r="P6284" t="n">
        <v>0</v>
      </c>
      <c r="Q6284" t="n">
        <v>0</v>
      </c>
      <c r="R6284" s="2" t="inlineStr"/>
    </row>
    <row r="6285" ht="15" customHeight="1">
      <c r="A6285" t="inlineStr">
        <is>
          <t>A 52802-2024</t>
        </is>
      </c>
      <c r="B6285" s="1" t="n">
        <v>45610.56901620371</v>
      </c>
      <c r="C6285" s="1" t="n">
        <v>46103</v>
      </c>
      <c r="D6285" t="inlineStr">
        <is>
          <t>KRONOBERGS LÄN</t>
        </is>
      </c>
      <c r="E6285" t="inlineStr">
        <is>
          <t>LESSEBO</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18933-2025</t>
        </is>
      </c>
      <c r="B6286" s="1" t="n">
        <v>45764.48869212963</v>
      </c>
      <c r="C6286" s="1" t="n">
        <v>46103</v>
      </c>
      <c r="D6286" t="inlineStr">
        <is>
          <t>KRONOBERGS LÄN</t>
        </is>
      </c>
      <c r="E6286" t="inlineStr">
        <is>
          <t>LJUNGBY</t>
        </is>
      </c>
      <c r="G6286" t="n">
        <v>0.3</v>
      </c>
      <c r="H6286" t="n">
        <v>0</v>
      </c>
      <c r="I6286" t="n">
        <v>0</v>
      </c>
      <c r="J6286" t="n">
        <v>0</v>
      </c>
      <c r="K6286" t="n">
        <v>0</v>
      </c>
      <c r="L6286" t="n">
        <v>0</v>
      </c>
      <c r="M6286" t="n">
        <v>0</v>
      </c>
      <c r="N6286" t="n">
        <v>0</v>
      </c>
      <c r="O6286" t="n">
        <v>0</v>
      </c>
      <c r="P6286" t="n">
        <v>0</v>
      </c>
      <c r="Q6286" t="n">
        <v>0</v>
      </c>
      <c r="R6286" s="2" t="inlineStr"/>
    </row>
    <row r="6287" ht="15" customHeight="1">
      <c r="A6287" t="inlineStr">
        <is>
          <t>A 19619-2025</t>
        </is>
      </c>
      <c r="B6287" s="1" t="n">
        <v>45770.62311342593</v>
      </c>
      <c r="C6287" s="1" t="n">
        <v>46103</v>
      </c>
      <c r="D6287" t="inlineStr">
        <is>
          <t>KRONOBERGS LÄN</t>
        </is>
      </c>
      <c r="E6287" t="inlineStr">
        <is>
          <t>UPPVIDINGE</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2421-2025</t>
        </is>
      </c>
      <c r="B6288" s="1" t="n">
        <v>45674.38553240741</v>
      </c>
      <c r="C6288" s="1" t="n">
        <v>46103</v>
      </c>
      <c r="D6288" t="inlineStr">
        <is>
          <t>KRONOBERGS LÄN</t>
        </is>
      </c>
      <c r="E6288" t="inlineStr">
        <is>
          <t>UPPVIDINGE</t>
        </is>
      </c>
      <c r="F6288" t="inlineStr">
        <is>
          <t>Sveaskog</t>
        </is>
      </c>
      <c r="G6288" t="n">
        <v>3.9</v>
      </c>
      <c r="H6288" t="n">
        <v>0</v>
      </c>
      <c r="I6288" t="n">
        <v>0</v>
      </c>
      <c r="J6288" t="n">
        <v>0</v>
      </c>
      <c r="K6288" t="n">
        <v>0</v>
      </c>
      <c r="L6288" t="n">
        <v>0</v>
      </c>
      <c r="M6288" t="n">
        <v>0</v>
      </c>
      <c r="N6288" t="n">
        <v>0</v>
      </c>
      <c r="O6288" t="n">
        <v>0</v>
      </c>
      <c r="P6288" t="n">
        <v>0</v>
      </c>
      <c r="Q6288" t="n">
        <v>0</v>
      </c>
      <c r="R6288" s="2" t="inlineStr"/>
    </row>
    <row r="6289" ht="15" customHeight="1">
      <c r="A6289" t="inlineStr">
        <is>
          <t>A 2462-2025</t>
        </is>
      </c>
      <c r="B6289" s="1" t="n">
        <v>45674.4681712963</v>
      </c>
      <c r="C6289" s="1" t="n">
        <v>46103</v>
      </c>
      <c r="D6289" t="inlineStr">
        <is>
          <t>KRONOBERGS LÄN</t>
        </is>
      </c>
      <c r="E6289" t="inlineStr">
        <is>
          <t>TINGSRYD</t>
        </is>
      </c>
      <c r="G6289" t="n">
        <v>5.6</v>
      </c>
      <c r="H6289" t="n">
        <v>0</v>
      </c>
      <c r="I6289" t="n">
        <v>0</v>
      </c>
      <c r="J6289" t="n">
        <v>0</v>
      </c>
      <c r="K6289" t="n">
        <v>0</v>
      </c>
      <c r="L6289" t="n">
        <v>0</v>
      </c>
      <c r="M6289" t="n">
        <v>0</v>
      </c>
      <c r="N6289" t="n">
        <v>0</v>
      </c>
      <c r="O6289" t="n">
        <v>0</v>
      </c>
      <c r="P6289" t="n">
        <v>0</v>
      </c>
      <c r="Q6289" t="n">
        <v>0</v>
      </c>
      <c r="R6289" s="2" t="inlineStr"/>
    </row>
    <row r="6290" ht="15" customHeight="1">
      <c r="A6290" t="inlineStr">
        <is>
          <t>A 4459-2025</t>
        </is>
      </c>
      <c r="B6290" s="1" t="n">
        <v>45686.5972800926</v>
      </c>
      <c r="C6290" s="1" t="n">
        <v>46103</v>
      </c>
      <c r="D6290" t="inlineStr">
        <is>
          <t>KRONOBERGS LÄN</t>
        </is>
      </c>
      <c r="E6290" t="inlineStr">
        <is>
          <t>VÄXJÖ</t>
        </is>
      </c>
      <c r="G6290" t="n">
        <v>3.8</v>
      </c>
      <c r="H6290" t="n">
        <v>0</v>
      </c>
      <c r="I6290" t="n">
        <v>0</v>
      </c>
      <c r="J6290" t="n">
        <v>0</v>
      </c>
      <c r="K6290" t="n">
        <v>0</v>
      </c>
      <c r="L6290" t="n">
        <v>0</v>
      </c>
      <c r="M6290" t="n">
        <v>0</v>
      </c>
      <c r="N6290" t="n">
        <v>0</v>
      </c>
      <c r="O6290" t="n">
        <v>0</v>
      </c>
      <c r="P6290" t="n">
        <v>0</v>
      </c>
      <c r="Q6290" t="n">
        <v>0</v>
      </c>
      <c r="R6290" s="2" t="inlineStr"/>
    </row>
    <row r="6291" ht="15" customHeight="1">
      <c r="A6291" t="inlineStr">
        <is>
          <t>A 40123-2023</t>
        </is>
      </c>
      <c r="B6291" s="1" t="n">
        <v>45169.30215277777</v>
      </c>
      <c r="C6291" s="1" t="n">
        <v>46103</v>
      </c>
      <c r="D6291" t="inlineStr">
        <is>
          <t>KRONOBERGS LÄN</t>
        </is>
      </c>
      <c r="E6291" t="inlineStr">
        <is>
          <t>ÄLMHULT</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64041-2023</t>
        </is>
      </c>
      <c r="B6292" s="1" t="n">
        <v>45279</v>
      </c>
      <c r="C6292" s="1" t="n">
        <v>46103</v>
      </c>
      <c r="D6292" t="inlineStr">
        <is>
          <t>KRONOBERGS LÄN</t>
        </is>
      </c>
      <c r="E6292" t="inlineStr">
        <is>
          <t>UPPVIDINGE</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36603-2023</t>
        </is>
      </c>
      <c r="B6293" s="1" t="n">
        <v>45153</v>
      </c>
      <c r="C6293" s="1" t="n">
        <v>46103</v>
      </c>
      <c r="D6293" t="inlineStr">
        <is>
          <t>KRONOBERGS LÄN</t>
        </is>
      </c>
      <c r="E6293" t="inlineStr">
        <is>
          <t>UPPVIDINGE</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36625-2023</t>
        </is>
      </c>
      <c r="B6294" s="1" t="n">
        <v>45153.51409722222</v>
      </c>
      <c r="C6294" s="1" t="n">
        <v>46103</v>
      </c>
      <c r="D6294" t="inlineStr">
        <is>
          <t>KRONOBERGS LÄN</t>
        </is>
      </c>
      <c r="E6294" t="inlineStr">
        <is>
          <t>ALVESTA</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36627-2023</t>
        </is>
      </c>
      <c r="B6295" s="1" t="n">
        <v>45153.51726851852</v>
      </c>
      <c r="C6295" s="1" t="n">
        <v>46103</v>
      </c>
      <c r="D6295" t="inlineStr">
        <is>
          <t>KRONOBERGS LÄN</t>
        </is>
      </c>
      <c r="E6295" t="inlineStr">
        <is>
          <t>ALVESTA</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42397-2023</t>
        </is>
      </c>
      <c r="B6296" s="1" t="n">
        <v>45180</v>
      </c>
      <c r="C6296" s="1" t="n">
        <v>46103</v>
      </c>
      <c r="D6296" t="inlineStr">
        <is>
          <t>KRONOBERGS LÄN</t>
        </is>
      </c>
      <c r="E6296" t="inlineStr">
        <is>
          <t>ALVESTA</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57000-2023</t>
        </is>
      </c>
      <c r="B6297" s="1" t="n">
        <v>45244.67376157407</v>
      </c>
      <c r="C6297" s="1" t="n">
        <v>46103</v>
      </c>
      <c r="D6297" t="inlineStr">
        <is>
          <t>KRONOBERGS LÄN</t>
        </is>
      </c>
      <c r="E6297" t="inlineStr">
        <is>
          <t>UPPVIDINGE</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55004-2022</t>
        </is>
      </c>
      <c r="B6298" s="1" t="n">
        <v>44886.51197916667</v>
      </c>
      <c r="C6298" s="1" t="n">
        <v>46103</v>
      </c>
      <c r="D6298" t="inlineStr">
        <is>
          <t>KRONOBERGS LÄN</t>
        </is>
      </c>
      <c r="E6298" t="inlineStr">
        <is>
          <t>LJUNGBY</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36870-2023</t>
        </is>
      </c>
      <c r="B6299" s="1" t="n">
        <v>45154.56967592592</v>
      </c>
      <c r="C6299" s="1" t="n">
        <v>46103</v>
      </c>
      <c r="D6299" t="inlineStr">
        <is>
          <t>KRONOBERGS LÄN</t>
        </is>
      </c>
      <c r="E6299" t="inlineStr">
        <is>
          <t>UPPVIDINGE</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38385-2022</t>
        </is>
      </c>
      <c r="B6300" s="1" t="n">
        <v>44812</v>
      </c>
      <c r="C6300" s="1" t="n">
        <v>46103</v>
      </c>
      <c r="D6300" t="inlineStr">
        <is>
          <t>KRONOBERGS LÄN</t>
        </is>
      </c>
      <c r="E6300" t="inlineStr">
        <is>
          <t>ALVESTA</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17910-2025</t>
        </is>
      </c>
      <c r="B6301" s="1" t="n">
        <v>45758.73520833333</v>
      </c>
      <c r="C6301" s="1" t="n">
        <v>46103</v>
      </c>
      <c r="D6301" t="inlineStr">
        <is>
          <t>KRONOBERGS LÄN</t>
        </is>
      </c>
      <c r="E6301" t="inlineStr">
        <is>
          <t>LJUNGBY</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14865-2024</t>
        </is>
      </c>
      <c r="B6302" s="1" t="n">
        <v>45398</v>
      </c>
      <c r="C6302" s="1" t="n">
        <v>46103</v>
      </c>
      <c r="D6302" t="inlineStr">
        <is>
          <t>KRONOBERGS LÄN</t>
        </is>
      </c>
      <c r="E6302" t="inlineStr">
        <is>
          <t>ALVESTA</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42850-2024</t>
        </is>
      </c>
      <c r="B6303" s="1" t="n">
        <v>45566.64170138889</v>
      </c>
      <c r="C6303" s="1" t="n">
        <v>46103</v>
      </c>
      <c r="D6303" t="inlineStr">
        <is>
          <t>KRONOBERGS LÄN</t>
        </is>
      </c>
      <c r="E6303" t="inlineStr">
        <is>
          <t>MARKARYD</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46565-2023</t>
        </is>
      </c>
      <c r="B6304" s="1" t="n">
        <v>45198.33086805556</v>
      </c>
      <c r="C6304" s="1" t="n">
        <v>46103</v>
      </c>
      <c r="D6304" t="inlineStr">
        <is>
          <t>KRONOBERGS LÄN</t>
        </is>
      </c>
      <c r="E6304" t="inlineStr">
        <is>
          <t>VÄXJÖ</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5853-2024</t>
        </is>
      </c>
      <c r="B6305" s="1" t="n">
        <v>45335.63689814815</v>
      </c>
      <c r="C6305" s="1" t="n">
        <v>46103</v>
      </c>
      <c r="D6305" t="inlineStr">
        <is>
          <t>KRONOBERGS LÄN</t>
        </is>
      </c>
      <c r="E6305" t="inlineStr">
        <is>
          <t>UPPVIDINGE</t>
        </is>
      </c>
      <c r="F6305" t="inlineStr">
        <is>
          <t>Sveaskog</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46348-2021</t>
        </is>
      </c>
      <c r="B6306" s="1" t="n">
        <v>44442.71274305556</v>
      </c>
      <c r="C6306" s="1" t="n">
        <v>46103</v>
      </c>
      <c r="D6306" t="inlineStr">
        <is>
          <t>KRONOBERGS LÄN</t>
        </is>
      </c>
      <c r="E6306" t="inlineStr">
        <is>
          <t>ALVESTA</t>
        </is>
      </c>
      <c r="G6306" t="n">
        <v>3.9</v>
      </c>
      <c r="H6306" t="n">
        <v>0</v>
      </c>
      <c r="I6306" t="n">
        <v>0</v>
      </c>
      <c r="J6306" t="n">
        <v>0</v>
      </c>
      <c r="K6306" t="n">
        <v>0</v>
      </c>
      <c r="L6306" t="n">
        <v>0</v>
      </c>
      <c r="M6306" t="n">
        <v>0</v>
      </c>
      <c r="N6306" t="n">
        <v>0</v>
      </c>
      <c r="O6306" t="n">
        <v>0</v>
      </c>
      <c r="P6306" t="n">
        <v>0</v>
      </c>
      <c r="Q6306" t="n">
        <v>0</v>
      </c>
      <c r="R6306" s="2" t="inlineStr"/>
    </row>
    <row r="6307" ht="15" customHeight="1">
      <c r="A6307" t="inlineStr">
        <is>
          <t>A 50817-2024</t>
        </is>
      </c>
      <c r="B6307" s="1" t="n">
        <v>45601</v>
      </c>
      <c r="C6307" s="1" t="n">
        <v>46103</v>
      </c>
      <c r="D6307" t="inlineStr">
        <is>
          <t>KRONOBERGS LÄN</t>
        </is>
      </c>
      <c r="E6307" t="inlineStr">
        <is>
          <t>TINGSRYD</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12108-2023</t>
        </is>
      </c>
      <c r="B6308" s="1" t="n">
        <v>44998.39121527778</v>
      </c>
      <c r="C6308" s="1" t="n">
        <v>46103</v>
      </c>
      <c r="D6308" t="inlineStr">
        <is>
          <t>KRONOBERGS LÄN</t>
        </is>
      </c>
      <c r="E6308" t="inlineStr">
        <is>
          <t>TINGSRYD</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15275-2024</t>
        </is>
      </c>
      <c r="B6309" s="1" t="n">
        <v>45400.58571759259</v>
      </c>
      <c r="C6309" s="1" t="n">
        <v>46103</v>
      </c>
      <c r="D6309" t="inlineStr">
        <is>
          <t>KRONOBERGS LÄN</t>
        </is>
      </c>
      <c r="E6309" t="inlineStr">
        <is>
          <t>MARKARYD</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12183-2023</t>
        </is>
      </c>
      <c r="B6310" s="1" t="n">
        <v>44998.55319444444</v>
      </c>
      <c r="C6310" s="1" t="n">
        <v>46103</v>
      </c>
      <c r="D6310" t="inlineStr">
        <is>
          <t>KRONOBERGS LÄN</t>
        </is>
      </c>
      <c r="E6310" t="inlineStr">
        <is>
          <t>UPPVIDINGE</t>
        </is>
      </c>
      <c r="G6310" t="n">
        <v>2.3</v>
      </c>
      <c r="H6310" t="n">
        <v>0</v>
      </c>
      <c r="I6310" t="n">
        <v>0</v>
      </c>
      <c r="J6310" t="n">
        <v>0</v>
      </c>
      <c r="K6310" t="n">
        <v>0</v>
      </c>
      <c r="L6310" t="n">
        <v>0</v>
      </c>
      <c r="M6310" t="n">
        <v>0</v>
      </c>
      <c r="N6310" t="n">
        <v>0</v>
      </c>
      <c r="O6310" t="n">
        <v>0</v>
      </c>
      <c r="P6310" t="n">
        <v>0</v>
      </c>
      <c r="Q6310" t="n">
        <v>0</v>
      </c>
      <c r="R6310" s="2" t="inlineStr"/>
      <c r="U6310">
        <f>HYPERLINK("https://klasma.github.io/Logging_0760/knärot/A 12183-2023 karta knärot.png", "A 12183-2023")</f>
        <v/>
      </c>
      <c r="V6310">
        <f>HYPERLINK("https://klasma.github.io/Logging_0760/klagomål/A 12183-2023 FSC-klagomål.docx", "A 12183-2023")</f>
        <v/>
      </c>
      <c r="W6310">
        <f>HYPERLINK("https://klasma.github.io/Logging_0760/klagomålsmail/A 12183-2023 FSC-klagomål mail.docx", "A 12183-2023")</f>
        <v/>
      </c>
      <c r="X6310">
        <f>HYPERLINK("https://klasma.github.io/Logging_0760/tillsyn/A 12183-2023 tillsynsbegäran.docx", "A 12183-2023")</f>
        <v/>
      </c>
      <c r="Y6310">
        <f>HYPERLINK("https://klasma.github.io/Logging_0760/tillsynsmail/A 12183-2023 tillsynsbegäran mail.docx", "A 12183-2023")</f>
        <v/>
      </c>
    </row>
    <row r="6311" ht="15" customHeight="1">
      <c r="A6311" t="inlineStr">
        <is>
          <t>A 40852-2023</t>
        </is>
      </c>
      <c r="B6311" s="1" t="n">
        <v>45173</v>
      </c>
      <c r="C6311" s="1" t="n">
        <v>46103</v>
      </c>
      <c r="D6311" t="inlineStr">
        <is>
          <t>KRONOBERGS LÄN</t>
        </is>
      </c>
      <c r="E6311" t="inlineStr">
        <is>
          <t>MARKARYD</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49112-2022</t>
        </is>
      </c>
      <c r="B6312" s="1" t="n">
        <v>44860.64129629629</v>
      </c>
      <c r="C6312" s="1" t="n">
        <v>46103</v>
      </c>
      <c r="D6312" t="inlineStr">
        <is>
          <t>KRONOBERGS LÄN</t>
        </is>
      </c>
      <c r="E6312" t="inlineStr">
        <is>
          <t>ÄLMHULT</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22738-2024</t>
        </is>
      </c>
      <c r="B6313" s="1" t="n">
        <v>45448.3909375</v>
      </c>
      <c r="C6313" s="1" t="n">
        <v>46103</v>
      </c>
      <c r="D6313" t="inlineStr">
        <is>
          <t>KRONOBERGS LÄN</t>
        </is>
      </c>
      <c r="E6313" t="inlineStr">
        <is>
          <t>VÄXJÖ</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52843-2023</t>
        </is>
      </c>
      <c r="B6314" s="1" t="n">
        <v>45226.43175925926</v>
      </c>
      <c r="C6314" s="1" t="n">
        <v>46103</v>
      </c>
      <c r="D6314" t="inlineStr">
        <is>
          <t>KRONOBERGS LÄN</t>
        </is>
      </c>
      <c r="E6314" t="inlineStr">
        <is>
          <t>LJUNGBY</t>
        </is>
      </c>
      <c r="G6314" t="n">
        <v>3.6</v>
      </c>
      <c r="H6314" t="n">
        <v>0</v>
      </c>
      <c r="I6314" t="n">
        <v>0</v>
      </c>
      <c r="J6314" t="n">
        <v>0</v>
      </c>
      <c r="K6314" t="n">
        <v>0</v>
      </c>
      <c r="L6314" t="n">
        <v>0</v>
      </c>
      <c r="M6314" t="n">
        <v>0</v>
      </c>
      <c r="N6314" t="n">
        <v>0</v>
      </c>
      <c r="O6314" t="n">
        <v>0</v>
      </c>
      <c r="P6314" t="n">
        <v>0</v>
      </c>
      <c r="Q6314" t="n">
        <v>0</v>
      </c>
      <c r="R6314" s="2" t="inlineStr"/>
    </row>
    <row r="6315" ht="15" customHeight="1">
      <c r="A6315" t="inlineStr">
        <is>
          <t>A 44237-2023</t>
        </is>
      </c>
      <c r="B6315" s="1" t="n">
        <v>45188.57582175926</v>
      </c>
      <c r="C6315" s="1" t="n">
        <v>46103</v>
      </c>
      <c r="D6315" t="inlineStr">
        <is>
          <t>KRONOBERGS LÄN</t>
        </is>
      </c>
      <c r="E6315" t="inlineStr">
        <is>
          <t>TINGSRYD</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44280-2023</t>
        </is>
      </c>
      <c r="B6316" s="1" t="n">
        <v>45188.62355324074</v>
      </c>
      <c r="C6316" s="1" t="n">
        <v>46103</v>
      </c>
      <c r="D6316" t="inlineStr">
        <is>
          <t>KRONOBERGS LÄN</t>
        </is>
      </c>
      <c r="E6316" t="inlineStr">
        <is>
          <t>LJUNGBY</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1562-2024</t>
        </is>
      </c>
      <c r="B6317" s="1" t="n">
        <v>45306</v>
      </c>
      <c r="C6317" s="1" t="n">
        <v>46103</v>
      </c>
      <c r="D6317" t="inlineStr">
        <is>
          <t>KRONOBERGS LÄN</t>
        </is>
      </c>
      <c r="E6317" t="inlineStr">
        <is>
          <t>LJUNGBY</t>
        </is>
      </c>
      <c r="G6317" t="n">
        <v>3.5</v>
      </c>
      <c r="H6317" t="n">
        <v>0</v>
      </c>
      <c r="I6317" t="n">
        <v>0</v>
      </c>
      <c r="J6317" t="n">
        <v>0</v>
      </c>
      <c r="K6317" t="n">
        <v>0</v>
      </c>
      <c r="L6317" t="n">
        <v>0</v>
      </c>
      <c r="M6317" t="n">
        <v>0</v>
      </c>
      <c r="N6317" t="n">
        <v>0</v>
      </c>
      <c r="O6317" t="n">
        <v>0</v>
      </c>
      <c r="P6317" t="n">
        <v>0</v>
      </c>
      <c r="Q6317" t="n">
        <v>0</v>
      </c>
      <c r="R6317" s="2" t="inlineStr"/>
    </row>
    <row r="6318" ht="15" customHeight="1">
      <c r="A6318" t="inlineStr">
        <is>
          <t>A 1654-2024</t>
        </is>
      </c>
      <c r="B6318" s="1" t="n">
        <v>45306.79482638889</v>
      </c>
      <c r="C6318" s="1" t="n">
        <v>46103</v>
      </c>
      <c r="D6318" t="inlineStr">
        <is>
          <t>KRONOBERGS LÄN</t>
        </is>
      </c>
      <c r="E6318" t="inlineStr">
        <is>
          <t>MARKARYD</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11182-2024</t>
        </is>
      </c>
      <c r="B6319" s="1" t="n">
        <v>45371.52966435185</v>
      </c>
      <c r="C6319" s="1" t="n">
        <v>46103</v>
      </c>
      <c r="D6319" t="inlineStr">
        <is>
          <t>KRONOBERGS LÄN</t>
        </is>
      </c>
      <c r="E6319" t="inlineStr">
        <is>
          <t>TINGSRYD</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12650-2025</t>
        </is>
      </c>
      <c r="B6320" s="1" t="n">
        <v>45733.40694444445</v>
      </c>
      <c r="C6320" s="1" t="n">
        <v>46103</v>
      </c>
      <c r="D6320" t="inlineStr">
        <is>
          <t>KRONOBERGS LÄN</t>
        </is>
      </c>
      <c r="E6320" t="inlineStr">
        <is>
          <t>ÄLMHULT</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38976-2024</t>
        </is>
      </c>
      <c r="B6321" s="1" t="n">
        <v>45548.38636574074</v>
      </c>
      <c r="C6321" s="1" t="n">
        <v>46103</v>
      </c>
      <c r="D6321" t="inlineStr">
        <is>
          <t>KRONOBERGS LÄN</t>
        </is>
      </c>
      <c r="E6321" t="inlineStr">
        <is>
          <t>LJUNGBY</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9912-2023</t>
        </is>
      </c>
      <c r="B6322" s="1" t="n">
        <v>44985</v>
      </c>
      <c r="C6322" s="1" t="n">
        <v>46103</v>
      </c>
      <c r="D6322" t="inlineStr">
        <is>
          <t>KRONOBERGS LÄN</t>
        </is>
      </c>
      <c r="E6322" t="inlineStr">
        <is>
          <t>LJUNGBY</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9919-2023</t>
        </is>
      </c>
      <c r="B6323" s="1" t="n">
        <v>44985</v>
      </c>
      <c r="C6323" s="1" t="n">
        <v>46103</v>
      </c>
      <c r="D6323" t="inlineStr">
        <is>
          <t>KRONOBERGS LÄN</t>
        </is>
      </c>
      <c r="E6323" t="inlineStr">
        <is>
          <t>LJUNGBY</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36815-2023</t>
        </is>
      </c>
      <c r="B6324" s="1" t="n">
        <v>45154.43976851852</v>
      </c>
      <c r="C6324" s="1" t="n">
        <v>46103</v>
      </c>
      <c r="D6324" t="inlineStr">
        <is>
          <t>KRONOBERGS LÄN</t>
        </is>
      </c>
      <c r="E6324" t="inlineStr">
        <is>
          <t>ÄLMHULT</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2755-2025</t>
        </is>
      </c>
      <c r="B6325" s="1" t="n">
        <v>45677.47734953704</v>
      </c>
      <c r="C6325" s="1" t="n">
        <v>46103</v>
      </c>
      <c r="D6325" t="inlineStr">
        <is>
          <t>KRONOBERGS LÄN</t>
        </is>
      </c>
      <c r="E6325" t="inlineStr">
        <is>
          <t>LESSEBO</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3240-2025</t>
        </is>
      </c>
      <c r="B6326" s="1" t="n">
        <v>45679.49804398148</v>
      </c>
      <c r="C6326" s="1" t="n">
        <v>46103</v>
      </c>
      <c r="D6326" t="inlineStr">
        <is>
          <t>KRONOBERGS LÄN</t>
        </is>
      </c>
      <c r="E6326" t="inlineStr">
        <is>
          <t>LJUNGBY</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11893-2023</t>
        </is>
      </c>
      <c r="B6327" s="1" t="n">
        <v>44995.44344907408</v>
      </c>
      <c r="C6327" s="1" t="n">
        <v>46103</v>
      </c>
      <c r="D6327" t="inlineStr">
        <is>
          <t>KRONOBERGS LÄN</t>
        </is>
      </c>
      <c r="E6327" t="inlineStr">
        <is>
          <t>LJUNGBY</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42270-2024</t>
        </is>
      </c>
      <c r="B6328" s="1" t="n">
        <v>45562</v>
      </c>
      <c r="C6328" s="1" t="n">
        <v>46103</v>
      </c>
      <c r="D6328" t="inlineStr">
        <is>
          <t>KRONOBERGS LÄN</t>
        </is>
      </c>
      <c r="E6328" t="inlineStr">
        <is>
          <t>LJUNGBY</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34230-2021</t>
        </is>
      </c>
      <c r="B6329" s="1" t="n">
        <v>44379.55199074074</v>
      </c>
      <c r="C6329" s="1" t="n">
        <v>46103</v>
      </c>
      <c r="D6329" t="inlineStr">
        <is>
          <t>KRONOBERGS LÄN</t>
        </is>
      </c>
      <c r="E6329" t="inlineStr">
        <is>
          <t>VÄXJÖ</t>
        </is>
      </c>
      <c r="G6329" t="n">
        <v>0.4</v>
      </c>
      <c r="H6329" t="n">
        <v>0</v>
      </c>
      <c r="I6329" t="n">
        <v>0</v>
      </c>
      <c r="J6329" t="n">
        <v>0</v>
      </c>
      <c r="K6329" t="n">
        <v>0</v>
      </c>
      <c r="L6329" t="n">
        <v>0</v>
      </c>
      <c r="M6329" t="n">
        <v>0</v>
      </c>
      <c r="N6329" t="n">
        <v>0</v>
      </c>
      <c r="O6329" t="n">
        <v>0</v>
      </c>
      <c r="P6329" t="n">
        <v>0</v>
      </c>
      <c r="Q6329" t="n">
        <v>0</v>
      </c>
      <c r="R6329" s="2" t="inlineStr"/>
    </row>
    <row r="6330" ht="15" customHeight="1">
      <c r="A6330" t="inlineStr">
        <is>
          <t>A 36182-2023</t>
        </is>
      </c>
      <c r="B6330" s="1" t="n">
        <v>45149.68351851852</v>
      </c>
      <c r="C6330" s="1" t="n">
        <v>46103</v>
      </c>
      <c r="D6330" t="inlineStr">
        <is>
          <t>KRONOBERGS LÄN</t>
        </is>
      </c>
      <c r="E6330" t="inlineStr">
        <is>
          <t>ALVESTA</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20538-2023</t>
        </is>
      </c>
      <c r="B6331" s="1" t="n">
        <v>45057</v>
      </c>
      <c r="C6331" s="1" t="n">
        <v>46103</v>
      </c>
      <c r="D6331" t="inlineStr">
        <is>
          <t>KRONOBERGS LÄN</t>
        </is>
      </c>
      <c r="E6331" t="inlineStr">
        <is>
          <t>UPPVIDINGE</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48930-2024</t>
        </is>
      </c>
      <c r="B6332" s="1" t="n">
        <v>45594</v>
      </c>
      <c r="C6332" s="1" t="n">
        <v>46103</v>
      </c>
      <c r="D6332" t="inlineStr">
        <is>
          <t>KRONOBERGS LÄN</t>
        </is>
      </c>
      <c r="E6332" t="inlineStr">
        <is>
          <t>LJUNGBY</t>
        </is>
      </c>
      <c r="G6332" t="n">
        <v>0.3</v>
      </c>
      <c r="H6332" t="n">
        <v>0</v>
      </c>
      <c r="I6332" t="n">
        <v>0</v>
      </c>
      <c r="J6332" t="n">
        <v>0</v>
      </c>
      <c r="K6332" t="n">
        <v>0</v>
      </c>
      <c r="L6332" t="n">
        <v>0</v>
      </c>
      <c r="M6332" t="n">
        <v>0</v>
      </c>
      <c r="N6332" t="n">
        <v>0</v>
      </c>
      <c r="O6332" t="n">
        <v>0</v>
      </c>
      <c r="P6332" t="n">
        <v>0</v>
      </c>
      <c r="Q6332" t="n">
        <v>0</v>
      </c>
      <c r="R6332" s="2" t="inlineStr"/>
    </row>
    <row r="6333" ht="15" customHeight="1">
      <c r="A6333" t="inlineStr">
        <is>
          <t>A 19072-2024</t>
        </is>
      </c>
      <c r="B6333" s="1" t="n">
        <v>45427.9417824074</v>
      </c>
      <c r="C6333" s="1" t="n">
        <v>46103</v>
      </c>
      <c r="D6333" t="inlineStr">
        <is>
          <t>KRONOBERGS LÄN</t>
        </is>
      </c>
      <c r="E6333" t="inlineStr">
        <is>
          <t>UPPVIDINGE</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19116-2024</t>
        </is>
      </c>
      <c r="B6334" s="1" t="n">
        <v>45428.37866898148</v>
      </c>
      <c r="C6334" s="1" t="n">
        <v>46103</v>
      </c>
      <c r="D6334" t="inlineStr">
        <is>
          <t>KRONOBERGS LÄN</t>
        </is>
      </c>
      <c r="E6334" t="inlineStr">
        <is>
          <t>MARKARYD</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43912-2024</t>
        </is>
      </c>
      <c r="B6335" s="1" t="n">
        <v>45572.43400462963</v>
      </c>
      <c r="C6335" s="1" t="n">
        <v>46103</v>
      </c>
      <c r="D6335" t="inlineStr">
        <is>
          <t>KRONOBERGS LÄN</t>
        </is>
      </c>
      <c r="E6335" t="inlineStr">
        <is>
          <t>TINGSRYD</t>
        </is>
      </c>
      <c r="G6335" t="n">
        <v>4</v>
      </c>
      <c r="H6335" t="n">
        <v>0</v>
      </c>
      <c r="I6335" t="n">
        <v>0</v>
      </c>
      <c r="J6335" t="n">
        <v>0</v>
      </c>
      <c r="K6335" t="n">
        <v>0</v>
      </c>
      <c r="L6335" t="n">
        <v>0</v>
      </c>
      <c r="M6335" t="n">
        <v>0</v>
      </c>
      <c r="N6335" t="n">
        <v>0</v>
      </c>
      <c r="O6335" t="n">
        <v>0</v>
      </c>
      <c r="P6335" t="n">
        <v>0</v>
      </c>
      <c r="Q6335" t="n">
        <v>0</v>
      </c>
      <c r="R6335" s="2" t="inlineStr"/>
    </row>
    <row r="6336" ht="15" customHeight="1">
      <c r="A6336" t="inlineStr">
        <is>
          <t>A 61575-2022</t>
        </is>
      </c>
      <c r="B6336" s="1" t="n">
        <v>44916.62188657407</v>
      </c>
      <c r="C6336" s="1" t="n">
        <v>46103</v>
      </c>
      <c r="D6336" t="inlineStr">
        <is>
          <t>KRONOBERGS LÄN</t>
        </is>
      </c>
      <c r="E6336" t="inlineStr">
        <is>
          <t>LESSEBO</t>
        </is>
      </c>
      <c r="F6336" t="inlineStr">
        <is>
          <t>Kommuner</t>
        </is>
      </c>
      <c r="G6336" t="n">
        <v>2.9</v>
      </c>
      <c r="H6336" t="n">
        <v>0</v>
      </c>
      <c r="I6336" t="n">
        <v>0</v>
      </c>
      <c r="J6336" t="n">
        <v>0</v>
      </c>
      <c r="K6336" t="n">
        <v>0</v>
      </c>
      <c r="L6336" t="n">
        <v>0</v>
      </c>
      <c r="M6336" t="n">
        <v>0</v>
      </c>
      <c r="N6336" t="n">
        <v>0</v>
      </c>
      <c r="O6336" t="n">
        <v>0</v>
      </c>
      <c r="P6336" t="n">
        <v>0</v>
      </c>
      <c r="Q6336" t="n">
        <v>0</v>
      </c>
      <c r="R6336" s="2" t="inlineStr"/>
    </row>
    <row r="6337" ht="15" customHeight="1">
      <c r="A6337" t="inlineStr">
        <is>
          <t>A 61588-2022</t>
        </is>
      </c>
      <c r="B6337" s="1" t="n">
        <v>44916.63834490741</v>
      </c>
      <c r="C6337" s="1" t="n">
        <v>46103</v>
      </c>
      <c r="D6337" t="inlineStr">
        <is>
          <t>KRONOBERGS LÄN</t>
        </is>
      </c>
      <c r="E6337" t="inlineStr">
        <is>
          <t>LESSEBO</t>
        </is>
      </c>
      <c r="F6337" t="inlineStr">
        <is>
          <t>Kommuner</t>
        </is>
      </c>
      <c r="G6337" t="n">
        <v>4.1</v>
      </c>
      <c r="H6337" t="n">
        <v>0</v>
      </c>
      <c r="I6337" t="n">
        <v>0</v>
      </c>
      <c r="J6337" t="n">
        <v>0</v>
      </c>
      <c r="K6337" t="n">
        <v>0</v>
      </c>
      <c r="L6337" t="n">
        <v>0</v>
      </c>
      <c r="M6337" t="n">
        <v>0</v>
      </c>
      <c r="N6337" t="n">
        <v>0</v>
      </c>
      <c r="O6337" t="n">
        <v>0</v>
      </c>
      <c r="P6337" t="n">
        <v>0</v>
      </c>
      <c r="Q6337" t="n">
        <v>0</v>
      </c>
      <c r="R6337" s="2" t="inlineStr"/>
    </row>
    <row r="6338" ht="15" customHeight="1">
      <c r="A6338" t="inlineStr">
        <is>
          <t>A 27247-2024</t>
        </is>
      </c>
      <c r="B6338" s="1" t="n">
        <v>45471.6733912037</v>
      </c>
      <c r="C6338" s="1" t="n">
        <v>46103</v>
      </c>
      <c r="D6338" t="inlineStr">
        <is>
          <t>KRONOBERGS LÄN</t>
        </is>
      </c>
      <c r="E6338" t="inlineStr">
        <is>
          <t>ALVESTA</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27252-2024</t>
        </is>
      </c>
      <c r="B6339" s="1" t="n">
        <v>45471.69940972222</v>
      </c>
      <c r="C6339" s="1" t="n">
        <v>46103</v>
      </c>
      <c r="D6339" t="inlineStr">
        <is>
          <t>KRONOBERGS LÄN</t>
        </is>
      </c>
      <c r="E6339" t="inlineStr">
        <is>
          <t>ALVESTA</t>
        </is>
      </c>
      <c r="G6339" t="n">
        <v>3.4</v>
      </c>
      <c r="H6339" t="n">
        <v>0</v>
      </c>
      <c r="I6339" t="n">
        <v>0</v>
      </c>
      <c r="J6339" t="n">
        <v>0</v>
      </c>
      <c r="K6339" t="n">
        <v>0</v>
      </c>
      <c r="L6339" t="n">
        <v>0</v>
      </c>
      <c r="M6339" t="n">
        <v>0</v>
      </c>
      <c r="N6339" t="n">
        <v>0</v>
      </c>
      <c r="O6339" t="n">
        <v>0</v>
      </c>
      <c r="P6339" t="n">
        <v>0</v>
      </c>
      <c r="Q6339" t="n">
        <v>0</v>
      </c>
      <c r="R6339" s="2" t="inlineStr"/>
    </row>
    <row r="6340" ht="15" customHeight="1">
      <c r="A6340" t="inlineStr">
        <is>
          <t>A 19874-2025</t>
        </is>
      </c>
      <c r="B6340" s="1" t="n">
        <v>45771.54863425926</v>
      </c>
      <c r="C6340" s="1" t="n">
        <v>46103</v>
      </c>
      <c r="D6340" t="inlineStr">
        <is>
          <t>KRONOBERGS LÄN</t>
        </is>
      </c>
      <c r="E6340" t="inlineStr">
        <is>
          <t>ÄLMHULT</t>
        </is>
      </c>
      <c r="F6340" t="inlineStr">
        <is>
          <t>Sveaskog</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40675-2023</t>
        </is>
      </c>
      <c r="B6341" s="1" t="n">
        <v>45170</v>
      </c>
      <c r="C6341" s="1" t="n">
        <v>46103</v>
      </c>
      <c r="D6341" t="inlineStr">
        <is>
          <t>KRONOBERGS LÄN</t>
        </is>
      </c>
      <c r="E6341" t="inlineStr">
        <is>
          <t>LJUNGBY</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60767-2024</t>
        </is>
      </c>
      <c r="B6342" s="1" t="n">
        <v>45644.57841435185</v>
      </c>
      <c r="C6342" s="1" t="n">
        <v>46103</v>
      </c>
      <c r="D6342" t="inlineStr">
        <is>
          <t>KRONOBERGS LÄN</t>
        </is>
      </c>
      <c r="E6342" t="inlineStr">
        <is>
          <t>VÄXJÖ</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36545-2024</t>
        </is>
      </c>
      <c r="B6343" s="1" t="n">
        <v>45537.46707175926</v>
      </c>
      <c r="C6343" s="1" t="n">
        <v>46103</v>
      </c>
      <c r="D6343" t="inlineStr">
        <is>
          <t>KRONOBERGS LÄN</t>
        </is>
      </c>
      <c r="E6343" t="inlineStr">
        <is>
          <t>ÄLMHULT</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18343-2025</t>
        </is>
      </c>
      <c r="B6344" s="1" t="n">
        <v>45762</v>
      </c>
      <c r="C6344" s="1" t="n">
        <v>46103</v>
      </c>
      <c r="D6344" t="inlineStr">
        <is>
          <t>KRONOBERGS LÄN</t>
        </is>
      </c>
      <c r="E6344" t="inlineStr">
        <is>
          <t>LJUNGBY</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11584-2025</t>
        </is>
      </c>
      <c r="B6345" s="1" t="n">
        <v>45727</v>
      </c>
      <c r="C6345" s="1" t="n">
        <v>46103</v>
      </c>
      <c r="D6345" t="inlineStr">
        <is>
          <t>KRONOBERGS LÄN</t>
        </is>
      </c>
      <c r="E6345" t="inlineStr">
        <is>
          <t>ALVESTA</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62994-2023</t>
        </is>
      </c>
      <c r="B6346" s="1" t="n">
        <v>45272.62565972222</v>
      </c>
      <c r="C6346" s="1" t="n">
        <v>46103</v>
      </c>
      <c r="D6346" t="inlineStr">
        <is>
          <t>KRONOBERGS LÄN</t>
        </is>
      </c>
      <c r="E6346" t="inlineStr">
        <is>
          <t>LJUNGBY</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56824-2024</t>
        </is>
      </c>
      <c r="B6347" s="1" t="n">
        <v>45628.49255787037</v>
      </c>
      <c r="C6347" s="1" t="n">
        <v>46103</v>
      </c>
      <c r="D6347" t="inlineStr">
        <is>
          <t>KRONOBERGS LÄN</t>
        </is>
      </c>
      <c r="E6347" t="inlineStr">
        <is>
          <t>MARKARYD</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61902-2024</t>
        </is>
      </c>
      <c r="B6348" s="1" t="n">
        <v>45653.30021990741</v>
      </c>
      <c r="C6348" s="1" t="n">
        <v>46103</v>
      </c>
      <c r="D6348" t="inlineStr">
        <is>
          <t>KRONOBERGS LÄN</t>
        </is>
      </c>
      <c r="E6348" t="inlineStr">
        <is>
          <t>ALVESTA</t>
        </is>
      </c>
      <c r="G6348" t="n">
        <v>0.4</v>
      </c>
      <c r="H6348" t="n">
        <v>0</v>
      </c>
      <c r="I6348" t="n">
        <v>0</v>
      </c>
      <c r="J6348" t="n">
        <v>0</v>
      </c>
      <c r="K6348" t="n">
        <v>0</v>
      </c>
      <c r="L6348" t="n">
        <v>0</v>
      </c>
      <c r="M6348" t="n">
        <v>0</v>
      </c>
      <c r="N6348" t="n">
        <v>0</v>
      </c>
      <c r="O6348" t="n">
        <v>0</v>
      </c>
      <c r="P6348" t="n">
        <v>0</v>
      </c>
      <c r="Q6348" t="n">
        <v>0</v>
      </c>
      <c r="R6348" s="2" t="inlineStr"/>
    </row>
    <row r="6349" ht="15" customHeight="1">
      <c r="A6349" t="inlineStr">
        <is>
          <t>A 14412-2025</t>
        </is>
      </c>
      <c r="B6349" s="1" t="n">
        <v>45741.47434027777</v>
      </c>
      <c r="C6349" s="1" t="n">
        <v>46103</v>
      </c>
      <c r="D6349" t="inlineStr">
        <is>
          <t>KRONOBERGS LÄN</t>
        </is>
      </c>
      <c r="E6349" t="inlineStr">
        <is>
          <t>LJUNGBY</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62858-2023</t>
        </is>
      </c>
      <c r="B6350" s="1" t="n">
        <v>45272</v>
      </c>
      <c r="C6350" s="1" t="n">
        <v>46103</v>
      </c>
      <c r="D6350" t="inlineStr">
        <is>
          <t>KRONOBERGS LÄN</t>
        </is>
      </c>
      <c r="E6350" t="inlineStr">
        <is>
          <t>LJUNGBY</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9029-2025</t>
        </is>
      </c>
      <c r="B6351" s="1" t="n">
        <v>45713</v>
      </c>
      <c r="C6351" s="1" t="n">
        <v>46103</v>
      </c>
      <c r="D6351" t="inlineStr">
        <is>
          <t>KRONOBERGS LÄN</t>
        </is>
      </c>
      <c r="E6351" t="inlineStr">
        <is>
          <t>LJUNGBY</t>
        </is>
      </c>
      <c r="F6351" t="inlineStr">
        <is>
          <t>Sveaskog</t>
        </is>
      </c>
      <c r="G6351" t="n">
        <v>8.9</v>
      </c>
      <c r="H6351" t="n">
        <v>0</v>
      </c>
      <c r="I6351" t="n">
        <v>0</v>
      </c>
      <c r="J6351" t="n">
        <v>0</v>
      </c>
      <c r="K6351" t="n">
        <v>0</v>
      </c>
      <c r="L6351" t="n">
        <v>0</v>
      </c>
      <c r="M6351" t="n">
        <v>0</v>
      </c>
      <c r="N6351" t="n">
        <v>0</v>
      </c>
      <c r="O6351" t="n">
        <v>0</v>
      </c>
      <c r="P6351" t="n">
        <v>0</v>
      </c>
      <c r="Q6351" t="n">
        <v>0</v>
      </c>
      <c r="R6351" s="2" t="inlineStr"/>
    </row>
    <row r="6352" ht="15" customHeight="1">
      <c r="A6352" t="inlineStr">
        <is>
          <t>A 14686-2023</t>
        </is>
      </c>
      <c r="B6352" s="1" t="n">
        <v>45014</v>
      </c>
      <c r="C6352" s="1" t="n">
        <v>46103</v>
      </c>
      <c r="D6352" t="inlineStr">
        <is>
          <t>KRONOBERGS LÄN</t>
        </is>
      </c>
      <c r="E6352" t="inlineStr">
        <is>
          <t>VÄXJÖ</t>
        </is>
      </c>
      <c r="F6352" t="inlineStr">
        <is>
          <t>Sveaskog</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57606-2022</t>
        </is>
      </c>
      <c r="B6353" s="1" t="n">
        <v>44897</v>
      </c>
      <c r="C6353" s="1" t="n">
        <v>46103</v>
      </c>
      <c r="D6353" t="inlineStr">
        <is>
          <t>KRONOBERGS LÄN</t>
        </is>
      </c>
      <c r="E6353" t="inlineStr">
        <is>
          <t>VÄXJÖ</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12112-2022</t>
        </is>
      </c>
      <c r="B6354" s="1" t="n">
        <v>44636.55400462963</v>
      </c>
      <c r="C6354" s="1" t="n">
        <v>46103</v>
      </c>
      <c r="D6354" t="inlineStr">
        <is>
          <t>KRONOBERGS LÄN</t>
        </is>
      </c>
      <c r="E6354" t="inlineStr">
        <is>
          <t>ÄLMHULT</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22521-2024</t>
        </is>
      </c>
      <c r="B6355" s="1" t="n">
        <v>45447.41501157408</v>
      </c>
      <c r="C6355" s="1" t="n">
        <v>46103</v>
      </c>
      <c r="D6355" t="inlineStr">
        <is>
          <t>KRONOBERGS LÄN</t>
        </is>
      </c>
      <c r="E6355" t="inlineStr">
        <is>
          <t>VÄXJÖ</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22563-2024</t>
        </is>
      </c>
      <c r="B6356" s="1" t="n">
        <v>45447</v>
      </c>
      <c r="C6356" s="1" t="n">
        <v>46103</v>
      </c>
      <c r="D6356" t="inlineStr">
        <is>
          <t>KRONOBERGS LÄN</t>
        </is>
      </c>
      <c r="E6356" t="inlineStr">
        <is>
          <t>ALVESTA</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8359-2022</t>
        </is>
      </c>
      <c r="B6357" s="1" t="n">
        <v>44610</v>
      </c>
      <c r="C6357" s="1" t="n">
        <v>46103</v>
      </c>
      <c r="D6357" t="inlineStr">
        <is>
          <t>KRONOBERGS LÄN</t>
        </is>
      </c>
      <c r="E6357" t="inlineStr">
        <is>
          <t>UPPVIDINGE</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4571-2024</t>
        </is>
      </c>
      <c r="B6358" s="1" t="n">
        <v>45327.82945601852</v>
      </c>
      <c r="C6358" s="1" t="n">
        <v>46103</v>
      </c>
      <c r="D6358" t="inlineStr">
        <is>
          <t>KRONOBERGS LÄN</t>
        </is>
      </c>
      <c r="E6358" t="inlineStr">
        <is>
          <t>TINGSRYD</t>
        </is>
      </c>
      <c r="F6358" t="inlineStr">
        <is>
          <t>Sveaskog</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9838-2022</t>
        </is>
      </c>
      <c r="B6359" s="1" t="n">
        <v>44620</v>
      </c>
      <c r="C6359" s="1" t="n">
        <v>46103</v>
      </c>
      <c r="D6359" t="inlineStr">
        <is>
          <t>KRONOBERGS LÄN</t>
        </is>
      </c>
      <c r="E6359" t="inlineStr">
        <is>
          <t>TINGSRYD</t>
        </is>
      </c>
      <c r="F6359" t="inlineStr">
        <is>
          <t>Kommuner</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4733-2024</t>
        </is>
      </c>
      <c r="B6360" s="1" t="n">
        <v>45328</v>
      </c>
      <c r="C6360" s="1" t="n">
        <v>46103</v>
      </c>
      <c r="D6360" t="inlineStr">
        <is>
          <t>KRONOBERGS LÄN</t>
        </is>
      </c>
      <c r="E6360" t="inlineStr">
        <is>
          <t>ALVESTA</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16898-2025</t>
        </is>
      </c>
      <c r="B6361" s="1" t="n">
        <v>45755</v>
      </c>
      <c r="C6361" s="1" t="n">
        <v>46103</v>
      </c>
      <c r="D6361" t="inlineStr">
        <is>
          <t>KRONOBERGS LÄN</t>
        </is>
      </c>
      <c r="E6361" t="inlineStr">
        <is>
          <t>TINGSRYD</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19186-2025</t>
        </is>
      </c>
      <c r="B6362" s="1" t="n">
        <v>45769.40989583333</v>
      </c>
      <c r="C6362" s="1" t="n">
        <v>46103</v>
      </c>
      <c r="D6362" t="inlineStr">
        <is>
          <t>KRONOBERGS LÄN</t>
        </is>
      </c>
      <c r="E6362" t="inlineStr">
        <is>
          <t>TINGSRYD</t>
        </is>
      </c>
      <c r="G6362" t="n">
        <v>6.9</v>
      </c>
      <c r="H6362" t="n">
        <v>0</v>
      </c>
      <c r="I6362" t="n">
        <v>0</v>
      </c>
      <c r="J6362" t="n">
        <v>0</v>
      </c>
      <c r="K6362" t="n">
        <v>0</v>
      </c>
      <c r="L6362" t="n">
        <v>0</v>
      </c>
      <c r="M6362" t="n">
        <v>0</v>
      </c>
      <c r="N6362" t="n">
        <v>0</v>
      </c>
      <c r="O6362" t="n">
        <v>0</v>
      </c>
      <c r="P6362" t="n">
        <v>0</v>
      </c>
      <c r="Q6362" t="n">
        <v>0</v>
      </c>
      <c r="R6362" s="2" t="inlineStr"/>
    </row>
    <row r="6363" ht="15" customHeight="1">
      <c r="A6363" t="inlineStr">
        <is>
          <t>A 62504-2022</t>
        </is>
      </c>
      <c r="B6363" s="1" t="n">
        <v>44924</v>
      </c>
      <c r="C6363" s="1" t="n">
        <v>46103</v>
      </c>
      <c r="D6363" t="inlineStr">
        <is>
          <t>KRONOBERGS LÄN</t>
        </is>
      </c>
      <c r="E6363" t="inlineStr">
        <is>
          <t>LJUNGBY</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59233-2021</t>
        </is>
      </c>
      <c r="B6364" s="1" t="n">
        <v>44490</v>
      </c>
      <c r="C6364" s="1" t="n">
        <v>46103</v>
      </c>
      <c r="D6364" t="inlineStr">
        <is>
          <t>KRONOBERGS LÄN</t>
        </is>
      </c>
      <c r="E6364" t="inlineStr">
        <is>
          <t>ALVESTA</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68552-2021</t>
        </is>
      </c>
      <c r="B6365" s="1" t="n">
        <v>44529.49450231482</v>
      </c>
      <c r="C6365" s="1" t="n">
        <v>46103</v>
      </c>
      <c r="D6365" t="inlineStr">
        <is>
          <t>KRONOBERGS LÄN</t>
        </is>
      </c>
      <c r="E6365" t="inlineStr">
        <is>
          <t>ÄLMHULT</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61843-2024</t>
        </is>
      </c>
      <c r="B6366" s="1" t="n">
        <v>45649.6427662037</v>
      </c>
      <c r="C6366" s="1" t="n">
        <v>46103</v>
      </c>
      <c r="D6366" t="inlineStr">
        <is>
          <t>KRONOBERGS LÄN</t>
        </is>
      </c>
      <c r="E6366" t="inlineStr">
        <is>
          <t>UPPVIDINGE</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61844-2024</t>
        </is>
      </c>
      <c r="B6367" s="1" t="n">
        <v>45649.6471875</v>
      </c>
      <c r="C6367" s="1" t="n">
        <v>46103</v>
      </c>
      <c r="D6367" t="inlineStr">
        <is>
          <t>KRONOBERGS LÄN</t>
        </is>
      </c>
      <c r="E6367" t="inlineStr">
        <is>
          <t>VÄXJÖ</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51876-2024</t>
        </is>
      </c>
      <c r="B6368" s="1" t="n">
        <v>45607.56002314815</v>
      </c>
      <c r="C6368" s="1" t="n">
        <v>46103</v>
      </c>
      <c r="D6368" t="inlineStr">
        <is>
          <t>KRONOBERGS LÄN</t>
        </is>
      </c>
      <c r="E6368" t="inlineStr">
        <is>
          <t>TINGSRYD</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8919-2025</t>
        </is>
      </c>
      <c r="B6369" s="1" t="n">
        <v>45713.43387731481</v>
      </c>
      <c r="C6369" s="1" t="n">
        <v>46103</v>
      </c>
      <c r="D6369" t="inlineStr">
        <is>
          <t>KRONOBERGS LÄN</t>
        </is>
      </c>
      <c r="E6369" t="inlineStr">
        <is>
          <t>TINGSRYD</t>
        </is>
      </c>
      <c r="G6369" t="n">
        <v>0</v>
      </c>
      <c r="H6369" t="n">
        <v>0</v>
      </c>
      <c r="I6369" t="n">
        <v>0</v>
      </c>
      <c r="J6369" t="n">
        <v>0</v>
      </c>
      <c r="K6369" t="n">
        <v>0</v>
      </c>
      <c r="L6369" t="n">
        <v>0</v>
      </c>
      <c r="M6369" t="n">
        <v>0</v>
      </c>
      <c r="N6369" t="n">
        <v>0</v>
      </c>
      <c r="O6369" t="n">
        <v>0</v>
      </c>
      <c r="P6369" t="n">
        <v>0</v>
      </c>
      <c r="Q6369" t="n">
        <v>0</v>
      </c>
      <c r="R6369" s="2" t="inlineStr"/>
    </row>
    <row r="6370" ht="15" customHeight="1">
      <c r="A6370" t="inlineStr">
        <is>
          <t>A 37278-2024</t>
        </is>
      </c>
      <c r="B6370" s="1" t="n">
        <v>45540.40850694444</v>
      </c>
      <c r="C6370" s="1" t="n">
        <v>46103</v>
      </c>
      <c r="D6370" t="inlineStr">
        <is>
          <t>KRONOBERGS LÄN</t>
        </is>
      </c>
      <c r="E6370" t="inlineStr">
        <is>
          <t>ALVESTA</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56774-2024</t>
        </is>
      </c>
      <c r="B6371" s="1" t="n">
        <v>45628.43445601852</v>
      </c>
      <c r="C6371" s="1" t="n">
        <v>46103</v>
      </c>
      <c r="D6371" t="inlineStr">
        <is>
          <t>KRONOBERGS LÄN</t>
        </is>
      </c>
      <c r="E6371" t="inlineStr">
        <is>
          <t>LJUNGBY</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14766-2023</t>
        </is>
      </c>
      <c r="B6372" s="1" t="n">
        <v>45014.55976851852</v>
      </c>
      <c r="C6372" s="1" t="n">
        <v>46103</v>
      </c>
      <c r="D6372" t="inlineStr">
        <is>
          <t>KRONOBERGS LÄN</t>
        </is>
      </c>
      <c r="E6372" t="inlineStr">
        <is>
          <t>VÄXJÖ</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25988-2024</t>
        </is>
      </c>
      <c r="B6373" s="1" t="n">
        <v>45467</v>
      </c>
      <c r="C6373" s="1" t="n">
        <v>46103</v>
      </c>
      <c r="D6373" t="inlineStr">
        <is>
          <t>KRONOBERGS LÄN</t>
        </is>
      </c>
      <c r="E6373" t="inlineStr">
        <is>
          <t>ALVESTA</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12339-2023</t>
        </is>
      </c>
      <c r="B6374" s="1" t="n">
        <v>44998</v>
      </c>
      <c r="C6374" s="1" t="n">
        <v>46103</v>
      </c>
      <c r="D6374" t="inlineStr">
        <is>
          <t>KRONOBERGS LÄN</t>
        </is>
      </c>
      <c r="E6374" t="inlineStr">
        <is>
          <t>UPPVIDINGE</t>
        </is>
      </c>
      <c r="F6374" t="inlineStr">
        <is>
          <t>Kyrkan</t>
        </is>
      </c>
      <c r="G6374" t="n">
        <v>4.3</v>
      </c>
      <c r="H6374" t="n">
        <v>0</v>
      </c>
      <c r="I6374" t="n">
        <v>0</v>
      </c>
      <c r="J6374" t="n">
        <v>0</v>
      </c>
      <c r="K6374" t="n">
        <v>0</v>
      </c>
      <c r="L6374" t="n">
        <v>0</v>
      </c>
      <c r="M6374" t="n">
        <v>0</v>
      </c>
      <c r="N6374" t="n">
        <v>0</v>
      </c>
      <c r="O6374" t="n">
        <v>0</v>
      </c>
      <c r="P6374" t="n">
        <v>0</v>
      </c>
      <c r="Q6374" t="n">
        <v>0</v>
      </c>
      <c r="R6374" s="2" t="inlineStr"/>
    </row>
    <row r="6375" ht="15" customHeight="1">
      <c r="A6375" t="inlineStr">
        <is>
          <t>A 14989-2025</t>
        </is>
      </c>
      <c r="B6375" s="1" t="n">
        <v>45743</v>
      </c>
      <c r="C6375" s="1" t="n">
        <v>46103</v>
      </c>
      <c r="D6375" t="inlineStr">
        <is>
          <t>KRONOBERGS LÄN</t>
        </is>
      </c>
      <c r="E6375" t="inlineStr">
        <is>
          <t>VÄXJÖ</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61625-2023</t>
        </is>
      </c>
      <c r="B6376" s="1" t="n">
        <v>45265.54759259259</v>
      </c>
      <c r="C6376" s="1" t="n">
        <v>46103</v>
      </c>
      <c r="D6376" t="inlineStr">
        <is>
          <t>KRONOBERGS LÄN</t>
        </is>
      </c>
      <c r="E6376" t="inlineStr">
        <is>
          <t>MARKARYD</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14943-2022</t>
        </is>
      </c>
      <c r="B6377" s="1" t="n">
        <v>44657</v>
      </c>
      <c r="C6377" s="1" t="n">
        <v>46103</v>
      </c>
      <c r="D6377" t="inlineStr">
        <is>
          <t>KRONOBERGS LÄN</t>
        </is>
      </c>
      <c r="E6377" t="inlineStr">
        <is>
          <t>LJUNGBY</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32810-2023</t>
        </is>
      </c>
      <c r="B6378" s="1" t="n">
        <v>45124.51753472222</v>
      </c>
      <c r="C6378" s="1" t="n">
        <v>46103</v>
      </c>
      <c r="D6378" t="inlineStr">
        <is>
          <t>KRONOBERGS LÄN</t>
        </is>
      </c>
      <c r="E6378" t="inlineStr">
        <is>
          <t>TINGSRYD</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30128-2024</t>
        </is>
      </c>
      <c r="B6379" s="1" t="n">
        <v>45489.50666666667</v>
      </c>
      <c r="C6379" s="1" t="n">
        <v>46103</v>
      </c>
      <c r="D6379" t="inlineStr">
        <is>
          <t>KRONOBERGS LÄN</t>
        </is>
      </c>
      <c r="E6379" t="inlineStr">
        <is>
          <t>UPPVIDINGE</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65094-2023</t>
        </is>
      </c>
      <c r="B6380" s="1" t="n">
        <v>45288</v>
      </c>
      <c r="C6380" s="1" t="n">
        <v>46103</v>
      </c>
      <c r="D6380" t="inlineStr">
        <is>
          <t>KRONOBERGS LÄN</t>
        </is>
      </c>
      <c r="E6380" t="inlineStr">
        <is>
          <t>ALVESTA</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36267-2024</t>
        </is>
      </c>
      <c r="B6381" s="1" t="n">
        <v>45534.56091435185</v>
      </c>
      <c r="C6381" s="1" t="n">
        <v>46103</v>
      </c>
      <c r="D6381" t="inlineStr">
        <is>
          <t>KRONOBERGS LÄN</t>
        </is>
      </c>
      <c r="E6381" t="inlineStr">
        <is>
          <t>VÄXJÖ</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13227-2025</t>
        </is>
      </c>
      <c r="B6382" s="1" t="n">
        <v>45735.46112268518</v>
      </c>
      <c r="C6382" s="1" t="n">
        <v>46103</v>
      </c>
      <c r="D6382" t="inlineStr">
        <is>
          <t>KRONOBERGS LÄN</t>
        </is>
      </c>
      <c r="E6382" t="inlineStr">
        <is>
          <t>LJUNGBY</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7154-2025</t>
        </is>
      </c>
      <c r="B6383" s="1" t="n">
        <v>45702.38599537037</v>
      </c>
      <c r="C6383" s="1" t="n">
        <v>46103</v>
      </c>
      <c r="D6383" t="inlineStr">
        <is>
          <t>KRONOBERGS LÄN</t>
        </is>
      </c>
      <c r="E6383" t="inlineStr">
        <is>
          <t>VÄXJÖ</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49556-2021</t>
        </is>
      </c>
      <c r="B6384" s="1" t="n">
        <v>44455</v>
      </c>
      <c r="C6384" s="1" t="n">
        <v>46103</v>
      </c>
      <c r="D6384" t="inlineStr">
        <is>
          <t>KRONOBERGS LÄN</t>
        </is>
      </c>
      <c r="E6384" t="inlineStr">
        <is>
          <t>ALVESTA</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63569-2021</t>
        </is>
      </c>
      <c r="B6385" s="1" t="n">
        <v>44508</v>
      </c>
      <c r="C6385" s="1" t="n">
        <v>46103</v>
      </c>
      <c r="D6385" t="inlineStr">
        <is>
          <t>KRONOBERGS LÄN</t>
        </is>
      </c>
      <c r="E6385" t="inlineStr">
        <is>
          <t>ÄLMHULT</t>
        </is>
      </c>
      <c r="G6385" t="n">
        <v>4.4</v>
      </c>
      <c r="H6385" t="n">
        <v>0</v>
      </c>
      <c r="I6385" t="n">
        <v>0</v>
      </c>
      <c r="J6385" t="n">
        <v>0</v>
      </c>
      <c r="K6385" t="n">
        <v>0</v>
      </c>
      <c r="L6385" t="n">
        <v>0</v>
      </c>
      <c r="M6385" t="n">
        <v>0</v>
      </c>
      <c r="N6385" t="n">
        <v>0</v>
      </c>
      <c r="O6385" t="n">
        <v>0</v>
      </c>
      <c r="P6385" t="n">
        <v>0</v>
      </c>
      <c r="Q6385" t="n">
        <v>0</v>
      </c>
      <c r="R6385" s="2" t="inlineStr"/>
    </row>
    <row r="6386" ht="15" customHeight="1">
      <c r="A6386" t="inlineStr">
        <is>
          <t>A 54168-2024</t>
        </is>
      </c>
      <c r="B6386" s="1" t="n">
        <v>45616</v>
      </c>
      <c r="C6386" s="1" t="n">
        <v>46103</v>
      </c>
      <c r="D6386" t="inlineStr">
        <is>
          <t>KRONOBERGS LÄN</t>
        </is>
      </c>
      <c r="E6386" t="inlineStr">
        <is>
          <t>TINGSRYD</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63697-2023</t>
        </is>
      </c>
      <c r="B6387" s="1" t="n">
        <v>45275</v>
      </c>
      <c r="C6387" s="1" t="n">
        <v>46103</v>
      </c>
      <c r="D6387" t="inlineStr">
        <is>
          <t>KRONOBERGS LÄN</t>
        </is>
      </c>
      <c r="E6387" t="inlineStr">
        <is>
          <t>TINGSRYD</t>
        </is>
      </c>
      <c r="G6387" t="n">
        <v>3.7</v>
      </c>
      <c r="H6387" t="n">
        <v>0</v>
      </c>
      <c r="I6387" t="n">
        <v>0</v>
      </c>
      <c r="J6387" t="n">
        <v>0</v>
      </c>
      <c r="K6387" t="n">
        <v>0</v>
      </c>
      <c r="L6387" t="n">
        <v>0</v>
      </c>
      <c r="M6387" t="n">
        <v>0</v>
      </c>
      <c r="N6387" t="n">
        <v>0</v>
      </c>
      <c r="O6387" t="n">
        <v>0</v>
      </c>
      <c r="P6387" t="n">
        <v>0</v>
      </c>
      <c r="Q6387" t="n">
        <v>0</v>
      </c>
      <c r="R6387" s="2" t="inlineStr"/>
    </row>
    <row r="6388" ht="15" customHeight="1">
      <c r="A6388" t="inlineStr">
        <is>
          <t>A 51416-2023</t>
        </is>
      </c>
      <c r="B6388" s="1" t="n">
        <v>45219</v>
      </c>
      <c r="C6388" s="1" t="n">
        <v>46103</v>
      </c>
      <c r="D6388" t="inlineStr">
        <is>
          <t>KRONOBERGS LÄN</t>
        </is>
      </c>
      <c r="E6388" t="inlineStr">
        <is>
          <t>VÄXJÖ</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42095-2023</t>
        </is>
      </c>
      <c r="B6389" s="1" t="n">
        <v>45175</v>
      </c>
      <c r="C6389" s="1" t="n">
        <v>46103</v>
      </c>
      <c r="D6389" t="inlineStr">
        <is>
          <t>KRONOBERGS LÄN</t>
        </is>
      </c>
      <c r="E6389" t="inlineStr">
        <is>
          <t>TINGSRYD</t>
        </is>
      </c>
      <c r="G6389" t="n">
        <v>4.1</v>
      </c>
      <c r="H6389" t="n">
        <v>0</v>
      </c>
      <c r="I6389" t="n">
        <v>0</v>
      </c>
      <c r="J6389" t="n">
        <v>0</v>
      </c>
      <c r="K6389" t="n">
        <v>0</v>
      </c>
      <c r="L6389" t="n">
        <v>0</v>
      </c>
      <c r="M6389" t="n">
        <v>0</v>
      </c>
      <c r="N6389" t="n">
        <v>0</v>
      </c>
      <c r="O6389" t="n">
        <v>0</v>
      </c>
      <c r="P6389" t="n">
        <v>0</v>
      </c>
      <c r="Q6389" t="n">
        <v>0</v>
      </c>
      <c r="R6389" s="2" t="inlineStr"/>
    </row>
    <row r="6390" ht="15" customHeight="1">
      <c r="A6390" t="inlineStr">
        <is>
          <t>A 6416-2024</t>
        </is>
      </c>
      <c r="B6390" s="1" t="n">
        <v>45338.61513888889</v>
      </c>
      <c r="C6390" s="1" t="n">
        <v>46103</v>
      </c>
      <c r="D6390" t="inlineStr">
        <is>
          <t>KRONOBERGS LÄN</t>
        </is>
      </c>
      <c r="E6390" t="inlineStr">
        <is>
          <t>TINGSRYD</t>
        </is>
      </c>
      <c r="G6390" t="n">
        <v>0.3</v>
      </c>
      <c r="H6390" t="n">
        <v>0</v>
      </c>
      <c r="I6390" t="n">
        <v>0</v>
      </c>
      <c r="J6390" t="n">
        <v>0</v>
      </c>
      <c r="K6390" t="n">
        <v>0</v>
      </c>
      <c r="L6390" t="n">
        <v>0</v>
      </c>
      <c r="M6390" t="n">
        <v>0</v>
      </c>
      <c r="N6390" t="n">
        <v>0</v>
      </c>
      <c r="O6390" t="n">
        <v>0</v>
      </c>
      <c r="P6390" t="n">
        <v>0</v>
      </c>
      <c r="Q6390" t="n">
        <v>0</v>
      </c>
      <c r="R6390" s="2" t="inlineStr"/>
    </row>
    <row r="6391" ht="15" customHeight="1">
      <c r="A6391" t="inlineStr">
        <is>
          <t>A 16948-2022</t>
        </is>
      </c>
      <c r="B6391" s="1" t="n">
        <v>44676</v>
      </c>
      <c r="C6391" s="1" t="n">
        <v>46103</v>
      </c>
      <c r="D6391" t="inlineStr">
        <is>
          <t>KRONOBERGS LÄN</t>
        </is>
      </c>
      <c r="E6391" t="inlineStr">
        <is>
          <t>VÄXJÖ</t>
        </is>
      </c>
      <c r="F6391" t="inlineStr">
        <is>
          <t>Sveaskog</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28506-2022</t>
        </is>
      </c>
      <c r="B6392" s="1" t="n">
        <v>44748.32376157407</v>
      </c>
      <c r="C6392" s="1" t="n">
        <v>46103</v>
      </c>
      <c r="D6392" t="inlineStr">
        <is>
          <t>KRONOBERGS LÄN</t>
        </is>
      </c>
      <c r="E6392" t="inlineStr">
        <is>
          <t>TINGSRYD</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61558-2024</t>
        </is>
      </c>
      <c r="B6393" s="1" t="n">
        <v>45646.61111111111</v>
      </c>
      <c r="C6393" s="1" t="n">
        <v>46103</v>
      </c>
      <c r="D6393" t="inlineStr">
        <is>
          <t>KRONOBERGS LÄN</t>
        </is>
      </c>
      <c r="E6393" t="inlineStr">
        <is>
          <t>TINGSRYD</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32493-2023</t>
        </is>
      </c>
      <c r="B6394" s="1" t="n">
        <v>45121</v>
      </c>
      <c r="C6394" s="1" t="n">
        <v>46103</v>
      </c>
      <c r="D6394" t="inlineStr">
        <is>
          <t>KRONOBERGS LÄN</t>
        </is>
      </c>
      <c r="E6394" t="inlineStr">
        <is>
          <t>VÄXJÖ</t>
        </is>
      </c>
      <c r="G6394" t="n">
        <v>0.3</v>
      </c>
      <c r="H6394" t="n">
        <v>0</v>
      </c>
      <c r="I6394" t="n">
        <v>0</v>
      </c>
      <c r="J6394" t="n">
        <v>0</v>
      </c>
      <c r="K6394" t="n">
        <v>0</v>
      </c>
      <c r="L6394" t="n">
        <v>0</v>
      </c>
      <c r="M6394" t="n">
        <v>0</v>
      </c>
      <c r="N6394" t="n">
        <v>0</v>
      </c>
      <c r="O6394" t="n">
        <v>0</v>
      </c>
      <c r="P6394" t="n">
        <v>0</v>
      </c>
      <c r="Q6394" t="n">
        <v>0</v>
      </c>
      <c r="R6394" s="2" t="inlineStr"/>
    </row>
    <row r="6395" ht="15" customHeight="1">
      <c r="A6395" t="inlineStr">
        <is>
          <t>A 32495-2023</t>
        </is>
      </c>
      <c r="B6395" s="1" t="n">
        <v>45121</v>
      </c>
      <c r="C6395" s="1" t="n">
        <v>46103</v>
      </c>
      <c r="D6395" t="inlineStr">
        <is>
          <t>KRONOBERGS LÄN</t>
        </is>
      </c>
      <c r="E6395" t="inlineStr">
        <is>
          <t>VÄXJÖ</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32503-2023</t>
        </is>
      </c>
      <c r="B6396" s="1" t="n">
        <v>45121</v>
      </c>
      <c r="C6396" s="1" t="n">
        <v>46103</v>
      </c>
      <c r="D6396" t="inlineStr">
        <is>
          <t>KRONOBERGS LÄN</t>
        </is>
      </c>
      <c r="E6396" t="inlineStr">
        <is>
          <t>VÄXJÖ</t>
        </is>
      </c>
      <c r="G6396" t="n">
        <v>3.2</v>
      </c>
      <c r="H6396" t="n">
        <v>0</v>
      </c>
      <c r="I6396" t="n">
        <v>0</v>
      </c>
      <c r="J6396" t="n">
        <v>0</v>
      </c>
      <c r="K6396" t="n">
        <v>0</v>
      </c>
      <c r="L6396" t="n">
        <v>0</v>
      </c>
      <c r="M6396" t="n">
        <v>0</v>
      </c>
      <c r="N6396" t="n">
        <v>0</v>
      </c>
      <c r="O6396" t="n">
        <v>0</v>
      </c>
      <c r="P6396" t="n">
        <v>0</v>
      </c>
      <c r="Q6396" t="n">
        <v>0</v>
      </c>
      <c r="R6396" s="2" t="inlineStr"/>
    </row>
    <row r="6397" ht="15" customHeight="1">
      <c r="A6397" t="inlineStr">
        <is>
          <t>A 17350-2023</t>
        </is>
      </c>
      <c r="B6397" s="1" t="n">
        <v>45035.58962962963</v>
      </c>
      <c r="C6397" s="1" t="n">
        <v>46103</v>
      </c>
      <c r="D6397" t="inlineStr">
        <is>
          <t>KRONOBERGS LÄN</t>
        </is>
      </c>
      <c r="E6397" t="inlineStr">
        <is>
          <t>LESSEBO</t>
        </is>
      </c>
      <c r="G6397" t="n">
        <v>3.2</v>
      </c>
      <c r="H6397" t="n">
        <v>0</v>
      </c>
      <c r="I6397" t="n">
        <v>0</v>
      </c>
      <c r="J6397" t="n">
        <v>0</v>
      </c>
      <c r="K6397" t="n">
        <v>0</v>
      </c>
      <c r="L6397" t="n">
        <v>0</v>
      </c>
      <c r="M6397" t="n">
        <v>0</v>
      </c>
      <c r="N6397" t="n">
        <v>0</v>
      </c>
      <c r="O6397" t="n">
        <v>0</v>
      </c>
      <c r="P6397" t="n">
        <v>0</v>
      </c>
      <c r="Q6397" t="n">
        <v>0</v>
      </c>
      <c r="R6397" s="2" t="inlineStr"/>
    </row>
    <row r="6398" ht="15" customHeight="1">
      <c r="A6398" t="inlineStr">
        <is>
          <t>A 12299-2023</t>
        </is>
      </c>
      <c r="B6398" s="1" t="n">
        <v>44998</v>
      </c>
      <c r="C6398" s="1" t="n">
        <v>46103</v>
      </c>
      <c r="D6398" t="inlineStr">
        <is>
          <t>KRONOBERGS LÄN</t>
        </is>
      </c>
      <c r="E6398" t="inlineStr">
        <is>
          <t>ALVESTA</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12406-2023</t>
        </is>
      </c>
      <c r="B6399" s="1" t="n">
        <v>44999.50538194444</v>
      </c>
      <c r="C6399" s="1" t="n">
        <v>46103</v>
      </c>
      <c r="D6399" t="inlineStr">
        <is>
          <t>KRONOBERGS LÄN</t>
        </is>
      </c>
      <c r="E6399" t="inlineStr">
        <is>
          <t>LJUNGBY</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28740-2024</t>
        </is>
      </c>
      <c r="B6400" s="1" t="n">
        <v>45478.57016203704</v>
      </c>
      <c r="C6400" s="1" t="n">
        <v>46103</v>
      </c>
      <c r="D6400" t="inlineStr">
        <is>
          <t>KRONOBERGS LÄN</t>
        </is>
      </c>
      <c r="E6400" t="inlineStr">
        <is>
          <t>ALVESTA</t>
        </is>
      </c>
      <c r="G6400" t="n">
        <v>4</v>
      </c>
      <c r="H6400" t="n">
        <v>0</v>
      </c>
      <c r="I6400" t="n">
        <v>0</v>
      </c>
      <c r="J6400" t="n">
        <v>0</v>
      </c>
      <c r="K6400" t="n">
        <v>0</v>
      </c>
      <c r="L6400" t="n">
        <v>0</v>
      </c>
      <c r="M6400" t="n">
        <v>0</v>
      </c>
      <c r="N6400" t="n">
        <v>0</v>
      </c>
      <c r="O6400" t="n">
        <v>0</v>
      </c>
      <c r="P6400" t="n">
        <v>0</v>
      </c>
      <c r="Q6400" t="n">
        <v>0</v>
      </c>
      <c r="R6400" s="2" t="inlineStr"/>
    </row>
    <row r="6401" ht="15" customHeight="1">
      <c r="A6401" t="inlineStr">
        <is>
          <t>A 60609-2021</t>
        </is>
      </c>
      <c r="B6401" s="1" t="n">
        <v>44496.58679398148</v>
      </c>
      <c r="C6401" s="1" t="n">
        <v>46103</v>
      </c>
      <c r="D6401" t="inlineStr">
        <is>
          <t>KRONOBERGS LÄN</t>
        </is>
      </c>
      <c r="E6401" t="inlineStr">
        <is>
          <t>UPPVIDINGE</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21186-2024</t>
        </is>
      </c>
      <c r="B6402" s="1" t="n">
        <v>45440.48216435185</v>
      </c>
      <c r="C6402" s="1" t="n">
        <v>46103</v>
      </c>
      <c r="D6402" t="inlineStr">
        <is>
          <t>KRONOBERGS LÄN</t>
        </is>
      </c>
      <c r="E6402" t="inlineStr">
        <is>
          <t>VÄXJÖ</t>
        </is>
      </c>
      <c r="G6402" t="n">
        <v>4.3</v>
      </c>
      <c r="H6402" t="n">
        <v>0</v>
      </c>
      <c r="I6402" t="n">
        <v>0</v>
      </c>
      <c r="J6402" t="n">
        <v>0</v>
      </c>
      <c r="K6402" t="n">
        <v>0</v>
      </c>
      <c r="L6402" t="n">
        <v>0</v>
      </c>
      <c r="M6402" t="n">
        <v>0</v>
      </c>
      <c r="N6402" t="n">
        <v>0</v>
      </c>
      <c r="O6402" t="n">
        <v>0</v>
      </c>
      <c r="P6402" t="n">
        <v>0</v>
      </c>
      <c r="Q6402" t="n">
        <v>0</v>
      </c>
      <c r="R6402" s="2" t="inlineStr"/>
    </row>
    <row r="6403" ht="15" customHeight="1">
      <c r="A6403" t="inlineStr">
        <is>
          <t>A 8671-2025</t>
        </is>
      </c>
      <c r="B6403" s="1" t="n">
        <v>45712.42423611111</v>
      </c>
      <c r="C6403" s="1" t="n">
        <v>46103</v>
      </c>
      <c r="D6403" t="inlineStr">
        <is>
          <t>KRONOBERGS LÄN</t>
        </is>
      </c>
      <c r="E6403" t="inlineStr">
        <is>
          <t>ALVESTA</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61193-2024</t>
        </is>
      </c>
      <c r="B6404" s="1" t="n">
        <v>45645.6278587963</v>
      </c>
      <c r="C6404" s="1" t="n">
        <v>46103</v>
      </c>
      <c r="D6404" t="inlineStr">
        <is>
          <t>KRONOBERGS LÄN</t>
        </is>
      </c>
      <c r="E6404" t="inlineStr">
        <is>
          <t>VÄXJÖ</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48331-2022</t>
        </is>
      </c>
      <c r="B6405" s="1" t="n">
        <v>44858</v>
      </c>
      <c r="C6405" s="1" t="n">
        <v>46103</v>
      </c>
      <c r="D6405" t="inlineStr">
        <is>
          <t>KRONOBERGS LÄN</t>
        </is>
      </c>
      <c r="E6405" t="inlineStr">
        <is>
          <t>ÄLMHULT</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59544-2024</t>
        </is>
      </c>
      <c r="B6406" s="1" t="n">
        <v>45637</v>
      </c>
      <c r="C6406" s="1" t="n">
        <v>46103</v>
      </c>
      <c r="D6406" t="inlineStr">
        <is>
          <t>KRONOBERGS LÄN</t>
        </is>
      </c>
      <c r="E6406" t="inlineStr">
        <is>
          <t>LJUNGBY</t>
        </is>
      </c>
      <c r="G6406" t="n">
        <v>3.7</v>
      </c>
      <c r="H6406" t="n">
        <v>0</v>
      </c>
      <c r="I6406" t="n">
        <v>0</v>
      </c>
      <c r="J6406" t="n">
        <v>0</v>
      </c>
      <c r="K6406" t="n">
        <v>0</v>
      </c>
      <c r="L6406" t="n">
        <v>0</v>
      </c>
      <c r="M6406" t="n">
        <v>0</v>
      </c>
      <c r="N6406" t="n">
        <v>0</v>
      </c>
      <c r="O6406" t="n">
        <v>0</v>
      </c>
      <c r="P6406" t="n">
        <v>0</v>
      </c>
      <c r="Q6406" t="n">
        <v>0</v>
      </c>
      <c r="R6406" s="2" t="inlineStr"/>
    </row>
    <row r="6407" ht="15" customHeight="1">
      <c r="A6407" t="inlineStr">
        <is>
          <t>A 5352-2025</t>
        </is>
      </c>
      <c r="B6407" s="1" t="n">
        <v>45692.56483796296</v>
      </c>
      <c r="C6407" s="1" t="n">
        <v>46103</v>
      </c>
      <c r="D6407" t="inlineStr">
        <is>
          <t>KRONOBERGS LÄN</t>
        </is>
      </c>
      <c r="E6407" t="inlineStr">
        <is>
          <t>VÄXJÖ</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39091-2023</t>
        </is>
      </c>
      <c r="B6408" s="1" t="n">
        <v>45164</v>
      </c>
      <c r="C6408" s="1" t="n">
        <v>46103</v>
      </c>
      <c r="D6408" t="inlineStr">
        <is>
          <t>KRONOBERGS LÄN</t>
        </is>
      </c>
      <c r="E6408" t="inlineStr">
        <is>
          <t>LJUNGBY</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16200-2023</t>
        </is>
      </c>
      <c r="B6409" s="1" t="n">
        <v>45028</v>
      </c>
      <c r="C6409" s="1" t="n">
        <v>46103</v>
      </c>
      <c r="D6409" t="inlineStr">
        <is>
          <t>KRONOBERGS LÄN</t>
        </is>
      </c>
      <c r="E6409" t="inlineStr">
        <is>
          <t>VÄXJÖ</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50186-2024</t>
        </is>
      </c>
      <c r="B6410" s="1" t="n">
        <v>45600.47440972222</v>
      </c>
      <c r="C6410" s="1" t="n">
        <v>46103</v>
      </c>
      <c r="D6410" t="inlineStr">
        <is>
          <t>KRONOBERGS LÄN</t>
        </is>
      </c>
      <c r="E6410" t="inlineStr">
        <is>
          <t>UPPVIDINGE</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20840-2025</t>
        </is>
      </c>
      <c r="B6411" s="1" t="n">
        <v>45776.86851851852</v>
      </c>
      <c r="C6411" s="1" t="n">
        <v>46103</v>
      </c>
      <c r="D6411" t="inlineStr">
        <is>
          <t>KRONOBERGS LÄN</t>
        </is>
      </c>
      <c r="E6411" t="inlineStr">
        <is>
          <t>ÄLMHULT</t>
        </is>
      </c>
      <c r="G6411" t="n">
        <v>3.4</v>
      </c>
      <c r="H6411" t="n">
        <v>0</v>
      </c>
      <c r="I6411" t="n">
        <v>0</v>
      </c>
      <c r="J6411" t="n">
        <v>0</v>
      </c>
      <c r="K6411" t="n">
        <v>0</v>
      </c>
      <c r="L6411" t="n">
        <v>0</v>
      </c>
      <c r="M6411" t="n">
        <v>0</v>
      </c>
      <c r="N6411" t="n">
        <v>0</v>
      </c>
      <c r="O6411" t="n">
        <v>0</v>
      </c>
      <c r="P6411" t="n">
        <v>0</v>
      </c>
      <c r="Q6411" t="n">
        <v>0</v>
      </c>
      <c r="R6411" s="2" t="inlineStr"/>
    </row>
    <row r="6412" ht="15" customHeight="1">
      <c r="A6412" t="inlineStr">
        <is>
          <t>A 20852-2025</t>
        </is>
      </c>
      <c r="B6412" s="1" t="n">
        <v>45777.3215625</v>
      </c>
      <c r="C6412" s="1" t="n">
        <v>46103</v>
      </c>
      <c r="D6412" t="inlineStr">
        <is>
          <t>KRONOBERGS LÄN</t>
        </is>
      </c>
      <c r="E6412" t="inlineStr">
        <is>
          <t>LESSEBO</t>
        </is>
      </c>
      <c r="F6412" t="inlineStr">
        <is>
          <t>Sveaskog</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44743-2024</t>
        </is>
      </c>
      <c r="B6413" s="1" t="n">
        <v>45574.59706018519</v>
      </c>
      <c r="C6413" s="1" t="n">
        <v>46103</v>
      </c>
      <c r="D6413" t="inlineStr">
        <is>
          <t>KRONOBERGS LÄN</t>
        </is>
      </c>
      <c r="E6413" t="inlineStr">
        <is>
          <t>TINGSRYD</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39501-2024</t>
        </is>
      </c>
      <c r="B6414" s="1" t="n">
        <v>45551</v>
      </c>
      <c r="C6414" s="1" t="n">
        <v>46103</v>
      </c>
      <c r="D6414" t="inlineStr">
        <is>
          <t>KRONOBERGS LÄN</t>
        </is>
      </c>
      <c r="E6414" t="inlineStr">
        <is>
          <t>ALVESTA</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42087-2024</t>
        </is>
      </c>
      <c r="B6415" s="1" t="n">
        <v>45562.33819444444</v>
      </c>
      <c r="C6415" s="1" t="n">
        <v>46103</v>
      </c>
      <c r="D6415" t="inlineStr">
        <is>
          <t>KRONOBERGS LÄN</t>
        </is>
      </c>
      <c r="E6415" t="inlineStr">
        <is>
          <t>TINGSRYD</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20681-2025</t>
        </is>
      </c>
      <c r="B6416" s="1" t="n">
        <v>45776.44914351852</v>
      </c>
      <c r="C6416" s="1" t="n">
        <v>46103</v>
      </c>
      <c r="D6416" t="inlineStr">
        <is>
          <t>KRONOBERGS LÄN</t>
        </is>
      </c>
      <c r="E6416" t="inlineStr">
        <is>
          <t>LESSEBO</t>
        </is>
      </c>
      <c r="F6416" t="inlineStr">
        <is>
          <t>Sveaskog</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21008-2025</t>
        </is>
      </c>
      <c r="B6417" s="1" t="n">
        <v>45777.49614583333</v>
      </c>
      <c r="C6417" s="1" t="n">
        <v>46103</v>
      </c>
      <c r="D6417" t="inlineStr">
        <is>
          <t>KRONOBERGS LÄN</t>
        </is>
      </c>
      <c r="E6417" t="inlineStr">
        <is>
          <t>VÄXJÖ</t>
        </is>
      </c>
      <c r="F6417" t="inlineStr">
        <is>
          <t>Sveaskog</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53766-2024</t>
        </is>
      </c>
      <c r="B6418" s="1" t="n">
        <v>45615.52241898148</v>
      </c>
      <c r="C6418" s="1" t="n">
        <v>46103</v>
      </c>
      <c r="D6418" t="inlineStr">
        <is>
          <t>KRONOBERGS LÄN</t>
        </is>
      </c>
      <c r="E6418" t="inlineStr">
        <is>
          <t>TINGSRYD</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12917-2024</t>
        </is>
      </c>
      <c r="B6419" s="1" t="n">
        <v>45385.44060185185</v>
      </c>
      <c r="C6419" s="1" t="n">
        <v>46103</v>
      </c>
      <c r="D6419" t="inlineStr">
        <is>
          <t>KRONOBERGS LÄN</t>
        </is>
      </c>
      <c r="E6419" t="inlineStr">
        <is>
          <t>ALVESTA</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57206-2024</t>
        </is>
      </c>
      <c r="B6420" s="1" t="n">
        <v>45629</v>
      </c>
      <c r="C6420" s="1" t="n">
        <v>46103</v>
      </c>
      <c r="D6420" t="inlineStr">
        <is>
          <t>KRONOBERGS LÄN</t>
        </is>
      </c>
      <c r="E6420" t="inlineStr">
        <is>
          <t>LJUNGBY</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8702-2025</t>
        </is>
      </c>
      <c r="B6421" s="1" t="n">
        <v>45712.48501157408</v>
      </c>
      <c r="C6421" s="1" t="n">
        <v>46103</v>
      </c>
      <c r="D6421" t="inlineStr">
        <is>
          <t>KRONOBERGS LÄN</t>
        </is>
      </c>
      <c r="E6421" t="inlineStr">
        <is>
          <t>VÄXJÖ</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17936-2024</t>
        </is>
      </c>
      <c r="B6422" s="1" t="n">
        <v>45419.61716435185</v>
      </c>
      <c r="C6422" s="1" t="n">
        <v>46103</v>
      </c>
      <c r="D6422" t="inlineStr">
        <is>
          <t>KRONOBERGS LÄN</t>
        </is>
      </c>
      <c r="E6422" t="inlineStr">
        <is>
          <t>TINGSRYD</t>
        </is>
      </c>
      <c r="G6422" t="n">
        <v>3.5</v>
      </c>
      <c r="H6422" t="n">
        <v>0</v>
      </c>
      <c r="I6422" t="n">
        <v>0</v>
      </c>
      <c r="J6422" t="n">
        <v>0</v>
      </c>
      <c r="K6422" t="n">
        <v>0</v>
      </c>
      <c r="L6422" t="n">
        <v>0</v>
      </c>
      <c r="M6422" t="n">
        <v>0</v>
      </c>
      <c r="N6422" t="n">
        <v>0</v>
      </c>
      <c r="O6422" t="n">
        <v>0</v>
      </c>
      <c r="P6422" t="n">
        <v>0</v>
      </c>
      <c r="Q6422" t="n">
        <v>0</v>
      </c>
      <c r="R6422" s="2" t="inlineStr"/>
    </row>
    <row r="6423" ht="15" customHeight="1">
      <c r="A6423" t="inlineStr">
        <is>
          <t>A 21039-2025</t>
        </is>
      </c>
      <c r="B6423" s="1" t="n">
        <v>45777.54184027778</v>
      </c>
      <c r="C6423" s="1" t="n">
        <v>46103</v>
      </c>
      <c r="D6423" t="inlineStr">
        <is>
          <t>KRONOBERGS LÄN</t>
        </is>
      </c>
      <c r="E6423" t="inlineStr">
        <is>
          <t>TINGSRYD</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21042-2025</t>
        </is>
      </c>
      <c r="B6424" s="1" t="n">
        <v>45777.54693287037</v>
      </c>
      <c r="C6424" s="1" t="n">
        <v>46103</v>
      </c>
      <c r="D6424" t="inlineStr">
        <is>
          <t>KRONOBERGS LÄN</t>
        </is>
      </c>
      <c r="E6424" t="inlineStr">
        <is>
          <t>TINGSRYD</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21011-2025</t>
        </is>
      </c>
      <c r="B6425" s="1" t="n">
        <v>45777.49822916667</v>
      </c>
      <c r="C6425" s="1" t="n">
        <v>46103</v>
      </c>
      <c r="D6425" t="inlineStr">
        <is>
          <t>KRONOBERGS LÄN</t>
        </is>
      </c>
      <c r="E6425" t="inlineStr">
        <is>
          <t>VÄXJÖ</t>
        </is>
      </c>
      <c r="F6425" t="inlineStr">
        <is>
          <t>Sveaskog</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8374-2025</t>
        </is>
      </c>
      <c r="B6426" s="1" t="n">
        <v>45709.33226851852</v>
      </c>
      <c r="C6426" s="1" t="n">
        <v>46103</v>
      </c>
      <c r="D6426" t="inlineStr">
        <is>
          <t>KRONOBERGS LÄN</t>
        </is>
      </c>
      <c r="E6426" t="inlineStr">
        <is>
          <t>UPPVIDINGE</t>
        </is>
      </c>
      <c r="F6426" t="inlineStr">
        <is>
          <t>Sveaskog</t>
        </is>
      </c>
      <c r="G6426" t="n">
        <v>4.2</v>
      </c>
      <c r="H6426" t="n">
        <v>0</v>
      </c>
      <c r="I6426" t="n">
        <v>0</v>
      </c>
      <c r="J6426" t="n">
        <v>0</v>
      </c>
      <c r="K6426" t="n">
        <v>0</v>
      </c>
      <c r="L6426" t="n">
        <v>0</v>
      </c>
      <c r="M6426" t="n">
        <v>0</v>
      </c>
      <c r="N6426" t="n">
        <v>0</v>
      </c>
      <c r="O6426" t="n">
        <v>0</v>
      </c>
      <c r="P6426" t="n">
        <v>0</v>
      </c>
      <c r="Q6426" t="n">
        <v>0</v>
      </c>
      <c r="R6426" s="2" t="inlineStr"/>
    </row>
    <row r="6427" ht="15" customHeight="1">
      <c r="A6427" t="inlineStr">
        <is>
          <t>A 46576-2023</t>
        </is>
      </c>
      <c r="B6427" s="1" t="n">
        <v>45194</v>
      </c>
      <c r="C6427" s="1" t="n">
        <v>46103</v>
      </c>
      <c r="D6427" t="inlineStr">
        <is>
          <t>KRONOBERGS LÄN</t>
        </is>
      </c>
      <c r="E6427" t="inlineStr">
        <is>
          <t>VÄXJÖ</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39125-2023</t>
        </is>
      </c>
      <c r="B6428" s="1" t="n">
        <v>45165.69200231481</v>
      </c>
      <c r="C6428" s="1" t="n">
        <v>46103</v>
      </c>
      <c r="D6428" t="inlineStr">
        <is>
          <t>KRONOBERGS LÄN</t>
        </is>
      </c>
      <c r="E6428" t="inlineStr">
        <is>
          <t>VÄXJÖ</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50852-2024</t>
        </is>
      </c>
      <c r="B6429" s="1" t="n">
        <v>45601</v>
      </c>
      <c r="C6429" s="1" t="n">
        <v>46103</v>
      </c>
      <c r="D6429" t="inlineStr">
        <is>
          <t>KRONOBERGS LÄN</t>
        </is>
      </c>
      <c r="E6429" t="inlineStr">
        <is>
          <t>UPPVIDINGE</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32963-2024</t>
        </is>
      </c>
      <c r="B6430" s="1" t="n">
        <v>45517.38890046296</v>
      </c>
      <c r="C6430" s="1" t="n">
        <v>46103</v>
      </c>
      <c r="D6430" t="inlineStr">
        <is>
          <t>KRONOBERGS LÄN</t>
        </is>
      </c>
      <c r="E6430" t="inlineStr">
        <is>
          <t>UPPVIDINGE</t>
        </is>
      </c>
      <c r="G6430" t="n">
        <v>4.9</v>
      </c>
      <c r="H6430" t="n">
        <v>0</v>
      </c>
      <c r="I6430" t="n">
        <v>0</v>
      </c>
      <c r="J6430" t="n">
        <v>0</v>
      </c>
      <c r="K6430" t="n">
        <v>0</v>
      </c>
      <c r="L6430" t="n">
        <v>0</v>
      </c>
      <c r="M6430" t="n">
        <v>0</v>
      </c>
      <c r="N6430" t="n">
        <v>0</v>
      </c>
      <c r="O6430" t="n">
        <v>0</v>
      </c>
      <c r="P6430" t="n">
        <v>0</v>
      </c>
      <c r="Q6430" t="n">
        <v>0</v>
      </c>
      <c r="R6430" s="2" t="inlineStr"/>
    </row>
    <row r="6431" ht="15" customHeight="1">
      <c r="A6431" t="inlineStr">
        <is>
          <t>A 33326-2024</t>
        </is>
      </c>
      <c r="B6431" s="1" t="n">
        <v>45519</v>
      </c>
      <c r="C6431" s="1" t="n">
        <v>46103</v>
      </c>
      <c r="D6431" t="inlineStr">
        <is>
          <t>KRONOBERGS LÄN</t>
        </is>
      </c>
      <c r="E6431" t="inlineStr">
        <is>
          <t>TINGSRYD</t>
        </is>
      </c>
      <c r="G6431" t="n">
        <v>10.6</v>
      </c>
      <c r="H6431" t="n">
        <v>0</v>
      </c>
      <c r="I6431" t="n">
        <v>0</v>
      </c>
      <c r="J6431" t="n">
        <v>0</v>
      </c>
      <c r="K6431" t="n">
        <v>0</v>
      </c>
      <c r="L6431" t="n">
        <v>0</v>
      </c>
      <c r="M6431" t="n">
        <v>0</v>
      </c>
      <c r="N6431" t="n">
        <v>0</v>
      </c>
      <c r="O6431" t="n">
        <v>0</v>
      </c>
      <c r="P6431" t="n">
        <v>0</v>
      </c>
      <c r="Q6431" t="n">
        <v>0</v>
      </c>
      <c r="R6431" s="2" t="inlineStr"/>
    </row>
    <row r="6432" ht="15" customHeight="1">
      <c r="A6432" t="inlineStr">
        <is>
          <t>A 25589-2023</t>
        </is>
      </c>
      <c r="B6432" s="1" t="n">
        <v>45089.63065972222</v>
      </c>
      <c r="C6432" s="1" t="n">
        <v>46103</v>
      </c>
      <c r="D6432" t="inlineStr">
        <is>
          <t>KRONOBERGS LÄN</t>
        </is>
      </c>
      <c r="E6432" t="inlineStr">
        <is>
          <t>TINGSRYD</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20855-2025</t>
        </is>
      </c>
      <c r="B6433" s="1" t="n">
        <v>45777.32519675926</v>
      </c>
      <c r="C6433" s="1" t="n">
        <v>46103</v>
      </c>
      <c r="D6433" t="inlineStr">
        <is>
          <t>KRONOBERGS LÄN</t>
        </is>
      </c>
      <c r="E6433" t="inlineStr">
        <is>
          <t>LESSEBO</t>
        </is>
      </c>
      <c r="F6433" t="inlineStr">
        <is>
          <t>Sveaskog</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20856-2025</t>
        </is>
      </c>
      <c r="B6434" s="1" t="n">
        <v>45777.32569444444</v>
      </c>
      <c r="C6434" s="1" t="n">
        <v>46103</v>
      </c>
      <c r="D6434" t="inlineStr">
        <is>
          <t>KRONOBERGS LÄN</t>
        </is>
      </c>
      <c r="E6434" t="inlineStr">
        <is>
          <t>LESSEBO</t>
        </is>
      </c>
      <c r="F6434" t="inlineStr">
        <is>
          <t>Sveaskog</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20859-2025</t>
        </is>
      </c>
      <c r="B6435" s="1" t="n">
        <v>45777.32798611111</v>
      </c>
      <c r="C6435" s="1" t="n">
        <v>46103</v>
      </c>
      <c r="D6435" t="inlineStr">
        <is>
          <t>KRONOBERGS LÄN</t>
        </is>
      </c>
      <c r="E6435" t="inlineStr">
        <is>
          <t>LESSEBO</t>
        </is>
      </c>
      <c r="F6435" t="inlineStr">
        <is>
          <t>Sveaskog</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20877-2025</t>
        </is>
      </c>
      <c r="B6436" s="1" t="n">
        <v>45777.35261574074</v>
      </c>
      <c r="C6436" s="1" t="n">
        <v>46103</v>
      </c>
      <c r="D6436" t="inlineStr">
        <is>
          <t>KRONOBERGS LÄN</t>
        </is>
      </c>
      <c r="E6436" t="inlineStr">
        <is>
          <t>LESSEBO</t>
        </is>
      </c>
      <c r="F6436" t="inlineStr">
        <is>
          <t>Sveaskog</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63191-2023</t>
        </is>
      </c>
      <c r="B6437" s="1" t="n">
        <v>45273</v>
      </c>
      <c r="C6437" s="1" t="n">
        <v>46103</v>
      </c>
      <c r="D6437" t="inlineStr">
        <is>
          <t>KRONOBERGS LÄN</t>
        </is>
      </c>
      <c r="E6437" t="inlineStr">
        <is>
          <t>UPPVIDINGE</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63838-2023</t>
        </is>
      </c>
      <c r="B6438" s="1" t="n">
        <v>45278.46920138889</v>
      </c>
      <c r="C6438" s="1" t="n">
        <v>46103</v>
      </c>
      <c r="D6438" t="inlineStr">
        <is>
          <t>KRONOBERGS LÄN</t>
        </is>
      </c>
      <c r="E6438" t="inlineStr">
        <is>
          <t>TINGSRYD</t>
        </is>
      </c>
      <c r="G6438" t="n">
        <v>6.7</v>
      </c>
      <c r="H6438" t="n">
        <v>0</v>
      </c>
      <c r="I6438" t="n">
        <v>0</v>
      </c>
      <c r="J6438" t="n">
        <v>0</v>
      </c>
      <c r="K6438" t="n">
        <v>0</v>
      </c>
      <c r="L6438" t="n">
        <v>0</v>
      </c>
      <c r="M6438" t="n">
        <v>0</v>
      </c>
      <c r="N6438" t="n">
        <v>0</v>
      </c>
      <c r="O6438" t="n">
        <v>0</v>
      </c>
      <c r="P6438" t="n">
        <v>0</v>
      </c>
      <c r="Q6438" t="n">
        <v>0</v>
      </c>
      <c r="R6438" s="2" t="inlineStr"/>
    </row>
    <row r="6439" ht="15" customHeight="1">
      <c r="A6439" t="inlineStr">
        <is>
          <t>A 53487-2023</t>
        </is>
      </c>
      <c r="B6439" s="1" t="n">
        <v>45230.35402777778</v>
      </c>
      <c r="C6439" s="1" t="n">
        <v>46103</v>
      </c>
      <c r="D6439" t="inlineStr">
        <is>
          <t>KRONOBERGS LÄN</t>
        </is>
      </c>
      <c r="E6439" t="inlineStr">
        <is>
          <t>MARKARYD</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13875-2024</t>
        </is>
      </c>
      <c r="B6440" s="1" t="n">
        <v>45391.59185185185</v>
      </c>
      <c r="C6440" s="1" t="n">
        <v>46103</v>
      </c>
      <c r="D6440" t="inlineStr">
        <is>
          <t>KRONOBERGS LÄN</t>
        </is>
      </c>
      <c r="E6440" t="inlineStr">
        <is>
          <t>UPPVIDINGE</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32712-2024</t>
        </is>
      </c>
      <c r="B6441" s="1" t="n">
        <v>45516.37174768518</v>
      </c>
      <c r="C6441" s="1" t="n">
        <v>46103</v>
      </c>
      <c r="D6441" t="inlineStr">
        <is>
          <t>KRONOBERGS LÄN</t>
        </is>
      </c>
      <c r="E6441" t="inlineStr">
        <is>
          <t>UPPVIDINGE</t>
        </is>
      </c>
      <c r="G6441" t="n">
        <v>4.8</v>
      </c>
      <c r="H6441" t="n">
        <v>0</v>
      </c>
      <c r="I6441" t="n">
        <v>0</v>
      </c>
      <c r="J6441" t="n">
        <v>0</v>
      </c>
      <c r="K6441" t="n">
        <v>0</v>
      </c>
      <c r="L6441" t="n">
        <v>0</v>
      </c>
      <c r="M6441" t="n">
        <v>0</v>
      </c>
      <c r="N6441" t="n">
        <v>0</v>
      </c>
      <c r="O6441" t="n">
        <v>0</v>
      </c>
      <c r="P6441" t="n">
        <v>0</v>
      </c>
      <c r="Q6441" t="n">
        <v>0</v>
      </c>
      <c r="R6441" s="2" t="inlineStr"/>
    </row>
    <row r="6442" ht="15" customHeight="1">
      <c r="A6442" t="inlineStr">
        <is>
          <t>A 413-2025</t>
        </is>
      </c>
      <c r="B6442" s="1" t="n">
        <v>45663</v>
      </c>
      <c r="C6442" s="1" t="n">
        <v>46103</v>
      </c>
      <c r="D6442" t="inlineStr">
        <is>
          <t>KRONOBERGS LÄN</t>
        </is>
      </c>
      <c r="E6442" t="inlineStr">
        <is>
          <t>ÄLMHULT</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38895-2024</t>
        </is>
      </c>
      <c r="B6443" s="1" t="n">
        <v>45547.67628472222</v>
      </c>
      <c r="C6443" s="1" t="n">
        <v>46103</v>
      </c>
      <c r="D6443" t="inlineStr">
        <is>
          <t>KRONOBERGS LÄN</t>
        </is>
      </c>
      <c r="E6443" t="inlineStr">
        <is>
          <t>VÄXJÖ</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1563-2025</t>
        </is>
      </c>
      <c r="B6444" s="1" t="n">
        <v>45670</v>
      </c>
      <c r="C6444" s="1" t="n">
        <v>46103</v>
      </c>
      <c r="D6444" t="inlineStr">
        <is>
          <t>KRONOBERGS LÄN</t>
        </is>
      </c>
      <c r="E6444" t="inlineStr">
        <is>
          <t>TINGSRYD</t>
        </is>
      </c>
      <c r="G6444" t="n">
        <v>4.1</v>
      </c>
      <c r="H6444" t="n">
        <v>0</v>
      </c>
      <c r="I6444" t="n">
        <v>0</v>
      </c>
      <c r="J6444" t="n">
        <v>0</v>
      </c>
      <c r="K6444" t="n">
        <v>0</v>
      </c>
      <c r="L6444" t="n">
        <v>0</v>
      </c>
      <c r="M6444" t="n">
        <v>0</v>
      </c>
      <c r="N6444" t="n">
        <v>0</v>
      </c>
      <c r="O6444" t="n">
        <v>0</v>
      </c>
      <c r="P6444" t="n">
        <v>0</v>
      </c>
      <c r="Q6444" t="n">
        <v>0</v>
      </c>
      <c r="R6444" s="2" t="inlineStr"/>
    </row>
    <row r="6445" ht="15" customHeight="1">
      <c r="A6445" t="inlineStr">
        <is>
          <t>A 20607-2025</t>
        </is>
      </c>
      <c r="B6445" s="1" t="n">
        <v>45775.87377314815</v>
      </c>
      <c r="C6445" s="1" t="n">
        <v>46103</v>
      </c>
      <c r="D6445" t="inlineStr">
        <is>
          <t>KRONOBERGS LÄN</t>
        </is>
      </c>
      <c r="E6445" t="inlineStr">
        <is>
          <t>LJUNGBY</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36373-2024</t>
        </is>
      </c>
      <c r="B6446" s="1" t="n">
        <v>45534.67689814815</v>
      </c>
      <c r="C6446" s="1" t="n">
        <v>46103</v>
      </c>
      <c r="D6446" t="inlineStr">
        <is>
          <t>KRONOBERGS LÄN</t>
        </is>
      </c>
      <c r="E6446" t="inlineStr">
        <is>
          <t>LJUNGBY</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20608-2025</t>
        </is>
      </c>
      <c r="B6447" s="1" t="n">
        <v>45775.87576388889</v>
      </c>
      <c r="C6447" s="1" t="n">
        <v>46103</v>
      </c>
      <c r="D6447" t="inlineStr">
        <is>
          <t>KRONOBERGS LÄN</t>
        </is>
      </c>
      <c r="E6447" t="inlineStr">
        <is>
          <t>LJUNGBY</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51905-2024</t>
        </is>
      </c>
      <c r="B6448" s="1" t="n">
        <v>45607.59543981482</v>
      </c>
      <c r="C6448" s="1" t="n">
        <v>46103</v>
      </c>
      <c r="D6448" t="inlineStr">
        <is>
          <t>KRONOBERGS LÄN</t>
        </is>
      </c>
      <c r="E6448" t="inlineStr">
        <is>
          <t>MARKARYD</t>
        </is>
      </c>
      <c r="G6448" t="n">
        <v>4.3</v>
      </c>
      <c r="H6448" t="n">
        <v>0</v>
      </c>
      <c r="I6448" t="n">
        <v>0</v>
      </c>
      <c r="J6448" t="n">
        <v>0</v>
      </c>
      <c r="K6448" t="n">
        <v>0</v>
      </c>
      <c r="L6448" t="n">
        <v>0</v>
      </c>
      <c r="M6448" t="n">
        <v>0</v>
      </c>
      <c r="N6448" t="n">
        <v>0</v>
      </c>
      <c r="O6448" t="n">
        <v>0</v>
      </c>
      <c r="P6448" t="n">
        <v>0</v>
      </c>
      <c r="Q6448" t="n">
        <v>0</v>
      </c>
      <c r="R6448" s="2" t="inlineStr"/>
    </row>
    <row r="6449" ht="15" customHeight="1">
      <c r="A6449" t="inlineStr">
        <is>
          <t>A 21010-2025</t>
        </is>
      </c>
      <c r="B6449" s="1" t="n">
        <v>45777.49708333334</v>
      </c>
      <c r="C6449" s="1" t="n">
        <v>46103</v>
      </c>
      <c r="D6449" t="inlineStr">
        <is>
          <t>KRONOBERGS LÄN</t>
        </is>
      </c>
      <c r="E6449" t="inlineStr">
        <is>
          <t>VÄXJÖ</t>
        </is>
      </c>
      <c r="F6449" t="inlineStr">
        <is>
          <t>Sveaskog</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68387-2021</t>
        </is>
      </c>
      <c r="B6450" s="1" t="n">
        <v>44526</v>
      </c>
      <c r="C6450" s="1" t="n">
        <v>46103</v>
      </c>
      <c r="D6450" t="inlineStr">
        <is>
          <t>KRONOBERGS LÄN</t>
        </is>
      </c>
      <c r="E6450" t="inlineStr">
        <is>
          <t>UPPVIDINGE</t>
        </is>
      </c>
      <c r="F6450" t="inlineStr">
        <is>
          <t>Kyrkan</t>
        </is>
      </c>
      <c r="G6450" t="n">
        <v>10</v>
      </c>
      <c r="H6450" t="n">
        <v>0</v>
      </c>
      <c r="I6450" t="n">
        <v>0</v>
      </c>
      <c r="J6450" t="n">
        <v>0</v>
      </c>
      <c r="K6450" t="n">
        <v>0</v>
      </c>
      <c r="L6450" t="n">
        <v>0</v>
      </c>
      <c r="M6450" t="n">
        <v>0</v>
      </c>
      <c r="N6450" t="n">
        <v>0</v>
      </c>
      <c r="O6450" t="n">
        <v>0</v>
      </c>
      <c r="P6450" t="n">
        <v>0</v>
      </c>
      <c r="Q6450" t="n">
        <v>0</v>
      </c>
      <c r="R6450" s="2" t="inlineStr"/>
    </row>
    <row r="6451" ht="15" customHeight="1">
      <c r="A6451" t="inlineStr">
        <is>
          <t>A 21119-2025</t>
        </is>
      </c>
      <c r="B6451" s="1" t="n">
        <v>45777.73621527778</v>
      </c>
      <c r="C6451" s="1" t="n">
        <v>46103</v>
      </c>
      <c r="D6451" t="inlineStr">
        <is>
          <t>KRONOBERGS LÄN</t>
        </is>
      </c>
      <c r="E6451" t="inlineStr">
        <is>
          <t>LJUNGBY</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51990-2024</t>
        </is>
      </c>
      <c r="B6452" s="1" t="n">
        <v>45607.69770833333</v>
      </c>
      <c r="C6452" s="1" t="n">
        <v>46103</v>
      </c>
      <c r="D6452" t="inlineStr">
        <is>
          <t>KRONOBERGS LÄN</t>
        </is>
      </c>
      <c r="E6452" t="inlineStr">
        <is>
          <t>LESSEBO</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33526-2024</t>
        </is>
      </c>
      <c r="B6453" s="1" t="n">
        <v>45519.66887731481</v>
      </c>
      <c r="C6453" s="1" t="n">
        <v>46103</v>
      </c>
      <c r="D6453" t="inlineStr">
        <is>
          <t>KRONOBERGS LÄN</t>
        </is>
      </c>
      <c r="E6453" t="inlineStr">
        <is>
          <t>VÄXJÖ</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21115-2025</t>
        </is>
      </c>
      <c r="B6454" s="1" t="n">
        <v>45777.72737268519</v>
      </c>
      <c r="C6454" s="1" t="n">
        <v>46103</v>
      </c>
      <c r="D6454" t="inlineStr">
        <is>
          <t>KRONOBERGS LÄN</t>
        </is>
      </c>
      <c r="E6454" t="inlineStr">
        <is>
          <t>LJUNGBY</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8245-2025</t>
        </is>
      </c>
      <c r="B6455" s="1" t="n">
        <v>45708.48537037037</v>
      </c>
      <c r="C6455" s="1" t="n">
        <v>46103</v>
      </c>
      <c r="D6455" t="inlineStr">
        <is>
          <t>KRONOBERGS LÄN</t>
        </is>
      </c>
      <c r="E6455" t="inlineStr">
        <is>
          <t>LJUNGBY</t>
        </is>
      </c>
      <c r="G6455" t="n">
        <v>5.7</v>
      </c>
      <c r="H6455" t="n">
        <v>0</v>
      </c>
      <c r="I6455" t="n">
        <v>0</v>
      </c>
      <c r="J6455" t="n">
        <v>0</v>
      </c>
      <c r="K6455" t="n">
        <v>0</v>
      </c>
      <c r="L6455" t="n">
        <v>0</v>
      </c>
      <c r="M6455" t="n">
        <v>0</v>
      </c>
      <c r="N6455" t="n">
        <v>0</v>
      </c>
      <c r="O6455" t="n">
        <v>0</v>
      </c>
      <c r="P6455" t="n">
        <v>0</v>
      </c>
      <c r="Q6455" t="n">
        <v>0</v>
      </c>
      <c r="R6455" s="2" t="inlineStr"/>
    </row>
    <row r="6456" ht="15" customHeight="1">
      <c r="A6456" t="inlineStr">
        <is>
          <t>A 46111-2024</t>
        </is>
      </c>
      <c r="B6456" s="1" t="n">
        <v>45581.38583333333</v>
      </c>
      <c r="C6456" s="1" t="n">
        <v>46103</v>
      </c>
      <c r="D6456" t="inlineStr">
        <is>
          <t>KRONOBERGS LÄN</t>
        </is>
      </c>
      <c r="E6456" t="inlineStr">
        <is>
          <t>MARKARYD</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50798-2024</t>
        </is>
      </c>
      <c r="B6457" s="1" t="n">
        <v>45602.49121527778</v>
      </c>
      <c r="C6457" s="1" t="n">
        <v>46103</v>
      </c>
      <c r="D6457" t="inlineStr">
        <is>
          <t>KRONOBERGS LÄN</t>
        </is>
      </c>
      <c r="E6457" t="inlineStr">
        <is>
          <t>TINGSRYD</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31121-2023</t>
        </is>
      </c>
      <c r="B6458" s="1" t="n">
        <v>45113</v>
      </c>
      <c r="C6458" s="1" t="n">
        <v>46103</v>
      </c>
      <c r="D6458" t="inlineStr">
        <is>
          <t>KRONOBERGS LÄN</t>
        </is>
      </c>
      <c r="E6458" t="inlineStr">
        <is>
          <t>ALVESTA</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40264-2023</t>
        </is>
      </c>
      <c r="B6459" s="1" t="n">
        <v>45169.53290509259</v>
      </c>
      <c r="C6459" s="1" t="n">
        <v>46103</v>
      </c>
      <c r="D6459" t="inlineStr">
        <is>
          <t>KRONOBERGS LÄN</t>
        </is>
      </c>
      <c r="E6459" t="inlineStr">
        <is>
          <t>ÄLMHULT</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20860-2025</t>
        </is>
      </c>
      <c r="B6460" s="1" t="n">
        <v>45777.32888888889</v>
      </c>
      <c r="C6460" s="1" t="n">
        <v>46103</v>
      </c>
      <c r="D6460" t="inlineStr">
        <is>
          <t>KRONOBERGS LÄN</t>
        </is>
      </c>
      <c r="E6460" t="inlineStr">
        <is>
          <t>LESSEBO</t>
        </is>
      </c>
      <c r="F6460" t="inlineStr">
        <is>
          <t>Sveaskog</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41598-2024</t>
        </is>
      </c>
      <c r="B6461" s="1" t="n">
        <v>45560.5765625</v>
      </c>
      <c r="C6461" s="1" t="n">
        <v>46103</v>
      </c>
      <c r="D6461" t="inlineStr">
        <is>
          <t>KRONOBERGS LÄN</t>
        </is>
      </c>
      <c r="E6461" t="inlineStr">
        <is>
          <t>LESSEBO</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9676-2025</t>
        </is>
      </c>
      <c r="B6462" s="1" t="n">
        <v>45716.34217592593</v>
      </c>
      <c r="C6462" s="1" t="n">
        <v>46103</v>
      </c>
      <c r="D6462" t="inlineStr">
        <is>
          <t>KRONOBERGS LÄN</t>
        </is>
      </c>
      <c r="E6462" t="inlineStr">
        <is>
          <t>UPPVIDINGE</t>
        </is>
      </c>
      <c r="F6462" t="inlineStr">
        <is>
          <t>Sveaskog</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5368-2023</t>
        </is>
      </c>
      <c r="B6463" s="1" t="n">
        <v>44959</v>
      </c>
      <c r="C6463" s="1" t="n">
        <v>46103</v>
      </c>
      <c r="D6463" t="inlineStr">
        <is>
          <t>KRONOBERGS LÄN</t>
        </is>
      </c>
      <c r="E6463" t="inlineStr">
        <is>
          <t>LJUNGBY</t>
        </is>
      </c>
      <c r="F6463" t="inlineStr">
        <is>
          <t>Sveaskog</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6722-2025</t>
        </is>
      </c>
      <c r="B6464" s="1" t="n">
        <v>45700.57885416667</v>
      </c>
      <c r="C6464" s="1" t="n">
        <v>46103</v>
      </c>
      <c r="D6464" t="inlineStr">
        <is>
          <t>KRONOBERGS LÄN</t>
        </is>
      </c>
      <c r="E6464" t="inlineStr">
        <is>
          <t>ALVESTA</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9680-2025</t>
        </is>
      </c>
      <c r="B6465" s="1" t="n">
        <v>45716.34775462963</v>
      </c>
      <c r="C6465" s="1" t="n">
        <v>46103</v>
      </c>
      <c r="D6465" t="inlineStr">
        <is>
          <t>KRONOBERGS LÄN</t>
        </is>
      </c>
      <c r="E6465" t="inlineStr">
        <is>
          <t>UPPVIDINGE</t>
        </is>
      </c>
      <c r="F6465" t="inlineStr">
        <is>
          <t>Sveaskog</t>
        </is>
      </c>
      <c r="G6465" t="n">
        <v>2.9</v>
      </c>
      <c r="H6465" t="n">
        <v>0</v>
      </c>
      <c r="I6465" t="n">
        <v>0</v>
      </c>
      <c r="J6465" t="n">
        <v>0</v>
      </c>
      <c r="K6465" t="n">
        <v>0</v>
      </c>
      <c r="L6465" t="n">
        <v>0</v>
      </c>
      <c r="M6465" t="n">
        <v>0</v>
      </c>
      <c r="N6465" t="n">
        <v>0</v>
      </c>
      <c r="O6465" t="n">
        <v>0</v>
      </c>
      <c r="P6465" t="n">
        <v>0</v>
      </c>
      <c r="Q6465" t="n">
        <v>0</v>
      </c>
      <c r="R6465" s="2" t="inlineStr"/>
    </row>
    <row r="6466" ht="15" customHeight="1">
      <c r="A6466" t="inlineStr">
        <is>
          <t>A 21508-2025</t>
        </is>
      </c>
      <c r="B6466" s="1" t="n">
        <v>45782.62265046296</v>
      </c>
      <c r="C6466" s="1" t="n">
        <v>46103</v>
      </c>
      <c r="D6466" t="inlineStr">
        <is>
          <t>KRONOBERGS LÄN</t>
        </is>
      </c>
      <c r="E6466" t="inlineStr">
        <is>
          <t>TINGSRYD</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21297-2025</t>
        </is>
      </c>
      <c r="B6467" s="1" t="n">
        <v>45780.85372685185</v>
      </c>
      <c r="C6467" s="1" t="n">
        <v>46103</v>
      </c>
      <c r="D6467" t="inlineStr">
        <is>
          <t>KRONOBERGS LÄN</t>
        </is>
      </c>
      <c r="E6467" t="inlineStr">
        <is>
          <t>VÄXJÖ</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21298-2025</t>
        </is>
      </c>
      <c r="B6468" s="1" t="n">
        <v>45780.85699074074</v>
      </c>
      <c r="C6468" s="1" t="n">
        <v>46103</v>
      </c>
      <c r="D6468" t="inlineStr">
        <is>
          <t>KRONOBERGS LÄN</t>
        </is>
      </c>
      <c r="E6468" t="inlineStr">
        <is>
          <t>VÄXJÖ</t>
        </is>
      </c>
      <c r="G6468" t="n">
        <v>0.4</v>
      </c>
      <c r="H6468" t="n">
        <v>0</v>
      </c>
      <c r="I6468" t="n">
        <v>0</v>
      </c>
      <c r="J6468" t="n">
        <v>0</v>
      </c>
      <c r="K6468" t="n">
        <v>0</v>
      </c>
      <c r="L6468" t="n">
        <v>0</v>
      </c>
      <c r="M6468" t="n">
        <v>0</v>
      </c>
      <c r="N6468" t="n">
        <v>0</v>
      </c>
      <c r="O6468" t="n">
        <v>0</v>
      </c>
      <c r="P6468" t="n">
        <v>0</v>
      </c>
      <c r="Q6468" t="n">
        <v>0</v>
      </c>
      <c r="R6468" s="2" t="inlineStr"/>
    </row>
    <row r="6469" ht="15" customHeight="1">
      <c r="A6469" t="inlineStr">
        <is>
          <t>A 21300-2025</t>
        </is>
      </c>
      <c r="B6469" s="1" t="n">
        <v>45780.87196759259</v>
      </c>
      <c r="C6469" s="1" t="n">
        <v>46103</v>
      </c>
      <c r="D6469" t="inlineStr">
        <is>
          <t>KRONOBERGS LÄN</t>
        </is>
      </c>
      <c r="E6469" t="inlineStr">
        <is>
          <t>VÄXJÖ</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21809-2025</t>
        </is>
      </c>
      <c r="B6470" s="1" t="n">
        <v>45783.71136574074</v>
      </c>
      <c r="C6470" s="1" t="n">
        <v>46103</v>
      </c>
      <c r="D6470" t="inlineStr">
        <is>
          <t>KRONOBERGS LÄN</t>
        </is>
      </c>
      <c r="E6470" t="inlineStr">
        <is>
          <t>LJUNGBY</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9677-2025</t>
        </is>
      </c>
      <c r="B6471" s="1" t="n">
        <v>45716.34298611111</v>
      </c>
      <c r="C6471" s="1" t="n">
        <v>46103</v>
      </c>
      <c r="D6471" t="inlineStr">
        <is>
          <t>KRONOBERGS LÄN</t>
        </is>
      </c>
      <c r="E6471" t="inlineStr">
        <is>
          <t>UPPVIDINGE</t>
        </is>
      </c>
      <c r="F6471" t="inlineStr">
        <is>
          <t>Sveaskog</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39850-2024</t>
        </is>
      </c>
      <c r="B6472" s="1" t="n">
        <v>45553.43114583333</v>
      </c>
      <c r="C6472" s="1" t="n">
        <v>46103</v>
      </c>
      <c r="D6472" t="inlineStr">
        <is>
          <t>KRONOBERGS LÄN</t>
        </is>
      </c>
      <c r="E6472" t="inlineStr">
        <is>
          <t>TINGSRYD</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21674-2025</t>
        </is>
      </c>
      <c r="B6473" s="1" t="n">
        <v>45783.47896990741</v>
      </c>
      <c r="C6473" s="1" t="n">
        <v>46103</v>
      </c>
      <c r="D6473" t="inlineStr">
        <is>
          <t>KRONOBERGS LÄN</t>
        </is>
      </c>
      <c r="E6473" t="inlineStr">
        <is>
          <t>UPPVIDINGE</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21317-2025</t>
        </is>
      </c>
      <c r="B6474" s="1" t="n">
        <v>45782.33971064815</v>
      </c>
      <c r="C6474" s="1" t="n">
        <v>46103</v>
      </c>
      <c r="D6474" t="inlineStr">
        <is>
          <t>KRONOBERGS LÄN</t>
        </is>
      </c>
      <c r="E6474" t="inlineStr">
        <is>
          <t>LJUNGBY</t>
        </is>
      </c>
      <c r="F6474" t="inlineStr">
        <is>
          <t>Sveaskog</t>
        </is>
      </c>
      <c r="G6474" t="n">
        <v>3.3</v>
      </c>
      <c r="H6474" t="n">
        <v>0</v>
      </c>
      <c r="I6474" t="n">
        <v>0</v>
      </c>
      <c r="J6474" t="n">
        <v>0</v>
      </c>
      <c r="K6474" t="n">
        <v>0</v>
      </c>
      <c r="L6474" t="n">
        <v>0</v>
      </c>
      <c r="M6474" t="n">
        <v>0</v>
      </c>
      <c r="N6474" t="n">
        <v>0</v>
      </c>
      <c r="O6474" t="n">
        <v>0</v>
      </c>
      <c r="P6474" t="n">
        <v>0</v>
      </c>
      <c r="Q6474" t="n">
        <v>0</v>
      </c>
      <c r="R6474" s="2" t="inlineStr"/>
    </row>
    <row r="6475" ht="15" customHeight="1">
      <c r="A6475" t="inlineStr">
        <is>
          <t>A 21696-2025</t>
        </is>
      </c>
      <c r="B6475" s="1" t="n">
        <v>45783.50890046296</v>
      </c>
      <c r="C6475" s="1" t="n">
        <v>46103</v>
      </c>
      <c r="D6475" t="inlineStr">
        <is>
          <t>KRONOBERGS LÄN</t>
        </is>
      </c>
      <c r="E6475" t="inlineStr">
        <is>
          <t>MARKARYD</t>
        </is>
      </c>
      <c r="G6475" t="n">
        <v>3</v>
      </c>
      <c r="H6475" t="n">
        <v>0</v>
      </c>
      <c r="I6475" t="n">
        <v>0</v>
      </c>
      <c r="J6475" t="n">
        <v>0</v>
      </c>
      <c r="K6475" t="n">
        <v>0</v>
      </c>
      <c r="L6475" t="n">
        <v>0</v>
      </c>
      <c r="M6475" t="n">
        <v>0</v>
      </c>
      <c r="N6475" t="n">
        <v>0</v>
      </c>
      <c r="O6475" t="n">
        <v>0</v>
      </c>
      <c r="P6475" t="n">
        <v>0</v>
      </c>
      <c r="Q6475" t="n">
        <v>0</v>
      </c>
      <c r="R6475" s="2" t="inlineStr"/>
    </row>
    <row r="6476" ht="15" customHeight="1">
      <c r="A6476" t="inlineStr">
        <is>
          <t>A 21805-2025</t>
        </is>
      </c>
      <c r="B6476" s="1" t="n">
        <v>45783.7002662037</v>
      </c>
      <c r="C6476" s="1" t="n">
        <v>46103</v>
      </c>
      <c r="D6476" t="inlineStr">
        <is>
          <t>KRONOBERGS LÄN</t>
        </is>
      </c>
      <c r="E6476" t="inlineStr">
        <is>
          <t>LJUNGBY</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21819-2025</t>
        </is>
      </c>
      <c r="B6477" s="1" t="n">
        <v>45783.74034722222</v>
      </c>
      <c r="C6477" s="1" t="n">
        <v>46103</v>
      </c>
      <c r="D6477" t="inlineStr">
        <is>
          <t>KRONOBERGS LÄN</t>
        </is>
      </c>
      <c r="E6477" t="inlineStr">
        <is>
          <t>LJUNGBY</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61439-2024</t>
        </is>
      </c>
      <c r="B6478" s="1" t="n">
        <v>45646.46565972222</v>
      </c>
      <c r="C6478" s="1" t="n">
        <v>46103</v>
      </c>
      <c r="D6478" t="inlineStr">
        <is>
          <t>KRONOBERGS LÄN</t>
        </is>
      </c>
      <c r="E6478" t="inlineStr">
        <is>
          <t>LESSEBO</t>
        </is>
      </c>
      <c r="G6478" t="n">
        <v>4</v>
      </c>
      <c r="H6478" t="n">
        <v>0</v>
      </c>
      <c r="I6478" t="n">
        <v>0</v>
      </c>
      <c r="J6478" t="n">
        <v>0</v>
      </c>
      <c r="K6478" t="n">
        <v>0</v>
      </c>
      <c r="L6478" t="n">
        <v>0</v>
      </c>
      <c r="M6478" t="n">
        <v>0</v>
      </c>
      <c r="N6478" t="n">
        <v>0</v>
      </c>
      <c r="O6478" t="n">
        <v>0</v>
      </c>
      <c r="P6478" t="n">
        <v>0</v>
      </c>
      <c r="Q6478" t="n">
        <v>0</v>
      </c>
      <c r="R6478" s="2" t="inlineStr"/>
    </row>
    <row r="6479" ht="15" customHeight="1">
      <c r="A6479" t="inlineStr">
        <is>
          <t>A 28731-2024</t>
        </is>
      </c>
      <c r="B6479" s="1" t="n">
        <v>45478.56365740741</v>
      </c>
      <c r="C6479" s="1" t="n">
        <v>46103</v>
      </c>
      <c r="D6479" t="inlineStr">
        <is>
          <t>KRONOBERGS LÄN</t>
        </is>
      </c>
      <c r="E6479" t="inlineStr">
        <is>
          <t>VÄXJÖ</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15673-2023</t>
        </is>
      </c>
      <c r="B6480" s="1" t="n">
        <v>45021</v>
      </c>
      <c r="C6480" s="1" t="n">
        <v>46103</v>
      </c>
      <c r="D6480" t="inlineStr">
        <is>
          <t>KRONOBERGS LÄN</t>
        </is>
      </c>
      <c r="E6480" t="inlineStr">
        <is>
          <t>LJUNGBY</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21709-2025</t>
        </is>
      </c>
      <c r="B6481" s="1" t="n">
        <v>45783</v>
      </c>
      <c r="C6481" s="1" t="n">
        <v>46103</v>
      </c>
      <c r="D6481" t="inlineStr">
        <is>
          <t>KRONOBERGS LÄN</t>
        </is>
      </c>
      <c r="E6481" t="inlineStr">
        <is>
          <t>ALVESTA</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52501-2024</t>
        </is>
      </c>
      <c r="B6482" s="1" t="n">
        <v>45609.58574074074</v>
      </c>
      <c r="C6482" s="1" t="n">
        <v>46103</v>
      </c>
      <c r="D6482" t="inlineStr">
        <is>
          <t>KRONOBERGS LÄN</t>
        </is>
      </c>
      <c r="E6482" t="inlineStr">
        <is>
          <t>MARKARYD</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38519-2024</t>
        </is>
      </c>
      <c r="B6483" s="1" t="n">
        <v>45546</v>
      </c>
      <c r="C6483" s="1" t="n">
        <v>46103</v>
      </c>
      <c r="D6483" t="inlineStr">
        <is>
          <t>KRONOBERGS LÄN</t>
        </is>
      </c>
      <c r="E6483" t="inlineStr">
        <is>
          <t>VÄXJÖ</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54116-2024</t>
        </is>
      </c>
      <c r="B6484" s="1" t="n">
        <v>45616.56194444445</v>
      </c>
      <c r="C6484" s="1" t="n">
        <v>46103</v>
      </c>
      <c r="D6484" t="inlineStr">
        <is>
          <t>KRONOBERGS LÄN</t>
        </is>
      </c>
      <c r="E6484" t="inlineStr">
        <is>
          <t>ALVESTA</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56266-2024</t>
        </is>
      </c>
      <c r="B6485" s="1" t="n">
        <v>45624.65733796296</v>
      </c>
      <c r="C6485" s="1" t="n">
        <v>46103</v>
      </c>
      <c r="D6485" t="inlineStr">
        <is>
          <t>KRONOBERGS LÄN</t>
        </is>
      </c>
      <c r="E6485" t="inlineStr">
        <is>
          <t>ÄLMHULT</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21308-2025</t>
        </is>
      </c>
      <c r="B6486" s="1" t="n">
        <v>45781.41818287037</v>
      </c>
      <c r="C6486" s="1" t="n">
        <v>46103</v>
      </c>
      <c r="D6486" t="inlineStr">
        <is>
          <t>KRONOBERGS LÄN</t>
        </is>
      </c>
      <c r="E6486" t="inlineStr">
        <is>
          <t>ÄLMHULT</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21299-2025</t>
        </is>
      </c>
      <c r="B6487" s="1" t="n">
        <v>45780.86326388889</v>
      </c>
      <c r="C6487" s="1" t="n">
        <v>46103</v>
      </c>
      <c r="D6487" t="inlineStr">
        <is>
          <t>KRONOBERGS LÄN</t>
        </is>
      </c>
      <c r="E6487" t="inlineStr">
        <is>
          <t>VÄXJÖ</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21695-2025</t>
        </is>
      </c>
      <c r="B6488" s="1" t="n">
        <v>45783.50424768519</v>
      </c>
      <c r="C6488" s="1" t="n">
        <v>46103</v>
      </c>
      <c r="D6488" t="inlineStr">
        <is>
          <t>KRONOBERGS LÄN</t>
        </is>
      </c>
      <c r="E6488" t="inlineStr">
        <is>
          <t>VÄXJÖ</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59262-2024</t>
        </is>
      </c>
      <c r="B6489" s="1" t="n">
        <v>45637.60519675926</v>
      </c>
      <c r="C6489" s="1" t="n">
        <v>46103</v>
      </c>
      <c r="D6489" t="inlineStr">
        <is>
          <t>KRONOBERGS LÄN</t>
        </is>
      </c>
      <c r="E6489" t="inlineStr">
        <is>
          <t>MARKARYD</t>
        </is>
      </c>
      <c r="F6489" t="inlineStr">
        <is>
          <t>Övriga Aktiebolag</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21532-2025</t>
        </is>
      </c>
      <c r="B6490" s="1" t="n">
        <v>45782.65293981481</v>
      </c>
      <c r="C6490" s="1" t="n">
        <v>46103</v>
      </c>
      <c r="D6490" t="inlineStr">
        <is>
          <t>KRONOBERGS LÄN</t>
        </is>
      </c>
      <c r="E6490" t="inlineStr">
        <is>
          <t>VÄXJÖ</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21506-2025</t>
        </is>
      </c>
      <c r="B6491" s="1" t="n">
        <v>45782.61675925926</v>
      </c>
      <c r="C6491" s="1" t="n">
        <v>46103</v>
      </c>
      <c r="D6491" t="inlineStr">
        <is>
          <t>KRONOBERGS LÄN</t>
        </is>
      </c>
      <c r="E6491" t="inlineStr">
        <is>
          <t>TINGSRYD</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21526-2025</t>
        </is>
      </c>
      <c r="B6492" s="1" t="n">
        <v>45782.64549768518</v>
      </c>
      <c r="C6492" s="1" t="n">
        <v>46103</v>
      </c>
      <c r="D6492" t="inlineStr">
        <is>
          <t>KRONOBERGS LÄN</t>
        </is>
      </c>
      <c r="E6492" t="inlineStr">
        <is>
          <t>VÄXJÖ</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15749-2021</t>
        </is>
      </c>
      <c r="B6493" s="1" t="n">
        <v>44286.50398148148</v>
      </c>
      <c r="C6493" s="1" t="n">
        <v>46103</v>
      </c>
      <c r="D6493" t="inlineStr">
        <is>
          <t>KRONOBERGS LÄN</t>
        </is>
      </c>
      <c r="E6493" t="inlineStr">
        <is>
          <t>VÄXJÖ</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21301-2025</t>
        </is>
      </c>
      <c r="B6494" s="1" t="n">
        <v>45780.88527777778</v>
      </c>
      <c r="C6494" s="1" t="n">
        <v>46103</v>
      </c>
      <c r="D6494" t="inlineStr">
        <is>
          <t>KRONOBERGS LÄN</t>
        </is>
      </c>
      <c r="E6494" t="inlineStr">
        <is>
          <t>VÄXJÖ</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21306-2025</t>
        </is>
      </c>
      <c r="B6495" s="1" t="n">
        <v>45781.41056712963</v>
      </c>
      <c r="C6495" s="1" t="n">
        <v>46103</v>
      </c>
      <c r="D6495" t="inlineStr">
        <is>
          <t>KRONOBERGS LÄN</t>
        </is>
      </c>
      <c r="E6495" t="inlineStr">
        <is>
          <t>ÄLMHULT</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21807-2025</t>
        </is>
      </c>
      <c r="B6496" s="1" t="n">
        <v>45783.70811342593</v>
      </c>
      <c r="C6496" s="1" t="n">
        <v>46103</v>
      </c>
      <c r="D6496" t="inlineStr">
        <is>
          <t>KRONOBERGS LÄN</t>
        </is>
      </c>
      <c r="E6496" t="inlineStr">
        <is>
          <t>LJUNGBY</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21813-2025</t>
        </is>
      </c>
      <c r="B6497" s="1" t="n">
        <v>45783.71869212963</v>
      </c>
      <c r="C6497" s="1" t="n">
        <v>46103</v>
      </c>
      <c r="D6497" t="inlineStr">
        <is>
          <t>KRONOBERGS LÄN</t>
        </is>
      </c>
      <c r="E6497" t="inlineStr">
        <is>
          <t>LJUNGBY</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21816-2025</t>
        </is>
      </c>
      <c r="B6498" s="1" t="n">
        <v>45783.7308912037</v>
      </c>
      <c r="C6498" s="1" t="n">
        <v>46103</v>
      </c>
      <c r="D6498" t="inlineStr">
        <is>
          <t>KRONOBERGS LÄN</t>
        </is>
      </c>
      <c r="E6498" t="inlineStr">
        <is>
          <t>LJUNGBY</t>
        </is>
      </c>
      <c r="G6498" t="n">
        <v>0.3</v>
      </c>
      <c r="H6498" t="n">
        <v>0</v>
      </c>
      <c r="I6498" t="n">
        <v>0</v>
      </c>
      <c r="J6498" t="n">
        <v>0</v>
      </c>
      <c r="K6498" t="n">
        <v>0</v>
      </c>
      <c r="L6498" t="n">
        <v>0</v>
      </c>
      <c r="M6498" t="n">
        <v>0</v>
      </c>
      <c r="N6498" t="n">
        <v>0</v>
      </c>
      <c r="O6498" t="n">
        <v>0</v>
      </c>
      <c r="P6498" t="n">
        <v>0</v>
      </c>
      <c r="Q6498" t="n">
        <v>0</v>
      </c>
      <c r="R6498" s="2" t="inlineStr"/>
    </row>
    <row r="6499" ht="15" customHeight="1">
      <c r="A6499" t="inlineStr">
        <is>
          <t>A 16320-2024</t>
        </is>
      </c>
      <c r="B6499" s="1" t="n">
        <v>45407.46351851852</v>
      </c>
      <c r="C6499" s="1" t="n">
        <v>46103</v>
      </c>
      <c r="D6499" t="inlineStr">
        <is>
          <t>KRONOBERGS LÄN</t>
        </is>
      </c>
      <c r="E6499" t="inlineStr">
        <is>
          <t>ÄLMHULT</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38614-2024</t>
        </is>
      </c>
      <c r="B6500" s="1" t="n">
        <v>45546</v>
      </c>
      <c r="C6500" s="1" t="n">
        <v>46103</v>
      </c>
      <c r="D6500" t="inlineStr">
        <is>
          <t>KRONOBERGS LÄN</t>
        </is>
      </c>
      <c r="E6500" t="inlineStr">
        <is>
          <t>TINGSRYD</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32346-2024</t>
        </is>
      </c>
      <c r="B6501" s="1" t="n">
        <v>45512.53300925926</v>
      </c>
      <c r="C6501" s="1" t="n">
        <v>46103</v>
      </c>
      <c r="D6501" t="inlineStr">
        <is>
          <t>KRONOBERGS LÄN</t>
        </is>
      </c>
      <c r="E6501" t="inlineStr">
        <is>
          <t>LJUNGBY</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59269-2024</t>
        </is>
      </c>
      <c r="B6502" s="1" t="n">
        <v>45637.61474537037</v>
      </c>
      <c r="C6502" s="1" t="n">
        <v>46103</v>
      </c>
      <c r="D6502" t="inlineStr">
        <is>
          <t>KRONOBERGS LÄN</t>
        </is>
      </c>
      <c r="E6502" t="inlineStr">
        <is>
          <t>MARKARYD</t>
        </is>
      </c>
      <c r="F6502" t="inlineStr">
        <is>
          <t>Övriga Aktiebolag</t>
        </is>
      </c>
      <c r="G6502" t="n">
        <v>3.7</v>
      </c>
      <c r="H6502" t="n">
        <v>0</v>
      </c>
      <c r="I6502" t="n">
        <v>0</v>
      </c>
      <c r="J6502" t="n">
        <v>0</v>
      </c>
      <c r="K6502" t="n">
        <v>0</v>
      </c>
      <c r="L6502" t="n">
        <v>0</v>
      </c>
      <c r="M6502" t="n">
        <v>0</v>
      </c>
      <c r="N6502" t="n">
        <v>0</v>
      </c>
      <c r="O6502" t="n">
        <v>0</v>
      </c>
      <c r="P6502" t="n">
        <v>0</v>
      </c>
      <c r="Q6502" t="n">
        <v>0</v>
      </c>
      <c r="R6502" s="2" t="inlineStr"/>
    </row>
    <row r="6503" ht="15" customHeight="1">
      <c r="A6503" t="inlineStr">
        <is>
          <t>A 30322-2025</t>
        </is>
      </c>
      <c r="B6503" s="1" t="n">
        <v>45827.49856481481</v>
      </c>
      <c r="C6503" s="1" t="n">
        <v>46103</v>
      </c>
      <c r="D6503" t="inlineStr">
        <is>
          <t>KRONOBERGS LÄN</t>
        </is>
      </c>
      <c r="E6503" t="inlineStr">
        <is>
          <t>ÄLMHULT</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21913-2025</t>
        </is>
      </c>
      <c r="B6504" s="1" t="n">
        <v>45784.48793981481</v>
      </c>
      <c r="C6504" s="1" t="n">
        <v>46103</v>
      </c>
      <c r="D6504" t="inlineStr">
        <is>
          <t>KRONOBERGS LÄN</t>
        </is>
      </c>
      <c r="E6504" t="inlineStr">
        <is>
          <t>TINGSRYD</t>
        </is>
      </c>
      <c r="G6504" t="n">
        <v>3.1</v>
      </c>
      <c r="H6504" t="n">
        <v>0</v>
      </c>
      <c r="I6504" t="n">
        <v>0</v>
      </c>
      <c r="J6504" t="n">
        <v>0</v>
      </c>
      <c r="K6504" t="n">
        <v>0</v>
      </c>
      <c r="L6504" t="n">
        <v>0</v>
      </c>
      <c r="M6504" t="n">
        <v>0</v>
      </c>
      <c r="N6504" t="n">
        <v>0</v>
      </c>
      <c r="O6504" t="n">
        <v>0</v>
      </c>
      <c r="P6504" t="n">
        <v>0</v>
      </c>
      <c r="Q6504" t="n">
        <v>0</v>
      </c>
      <c r="R6504" s="2" t="inlineStr"/>
    </row>
    <row r="6505" ht="15" customHeight="1">
      <c r="A6505" t="inlineStr">
        <is>
          <t>A 22012-2025</t>
        </is>
      </c>
      <c r="B6505" s="1" t="n">
        <v>45784.74020833334</v>
      </c>
      <c r="C6505" s="1" t="n">
        <v>46103</v>
      </c>
      <c r="D6505" t="inlineStr">
        <is>
          <t>KRONOBERGS LÄN</t>
        </is>
      </c>
      <c r="E6505" t="inlineStr">
        <is>
          <t>LJUNGBY</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21951-2025</t>
        </is>
      </c>
      <c r="B6506" s="1" t="n">
        <v>45784.59821759259</v>
      </c>
      <c r="C6506" s="1" t="n">
        <v>46103</v>
      </c>
      <c r="D6506" t="inlineStr">
        <is>
          <t>KRONOBERGS LÄN</t>
        </is>
      </c>
      <c r="E6506" t="inlineStr">
        <is>
          <t>LESSEBO</t>
        </is>
      </c>
      <c r="F6506" t="inlineStr">
        <is>
          <t>Kommuner</t>
        </is>
      </c>
      <c r="G6506" t="n">
        <v>3.8</v>
      </c>
      <c r="H6506" t="n">
        <v>0</v>
      </c>
      <c r="I6506" t="n">
        <v>0</v>
      </c>
      <c r="J6506" t="n">
        <v>0</v>
      </c>
      <c r="K6506" t="n">
        <v>0</v>
      </c>
      <c r="L6506" t="n">
        <v>0</v>
      </c>
      <c r="M6506" t="n">
        <v>0</v>
      </c>
      <c r="N6506" t="n">
        <v>0</v>
      </c>
      <c r="O6506" t="n">
        <v>0</v>
      </c>
      <c r="P6506" t="n">
        <v>0</v>
      </c>
      <c r="Q6506" t="n">
        <v>0</v>
      </c>
      <c r="R6506" s="2" t="inlineStr"/>
    </row>
    <row r="6507" ht="15" customHeight="1">
      <c r="A6507" t="inlineStr">
        <is>
          <t>A 8543-2025</t>
        </is>
      </c>
      <c r="B6507" s="1" t="n">
        <v>45709.60627314815</v>
      </c>
      <c r="C6507" s="1" t="n">
        <v>46103</v>
      </c>
      <c r="D6507" t="inlineStr">
        <is>
          <t>KRONOBERGS LÄN</t>
        </is>
      </c>
      <c r="E6507" t="inlineStr">
        <is>
          <t>TINGSRYD</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22039-2025</t>
        </is>
      </c>
      <c r="B6508" s="1" t="n">
        <v>45785.32844907408</v>
      </c>
      <c r="C6508" s="1" t="n">
        <v>46103</v>
      </c>
      <c r="D6508" t="inlineStr">
        <is>
          <t>KRONOBERGS LÄN</t>
        </is>
      </c>
      <c r="E6508" t="inlineStr">
        <is>
          <t>TINGSRYD</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8251-2025</t>
        </is>
      </c>
      <c r="B6509" s="1" t="n">
        <v>45708.4921412037</v>
      </c>
      <c r="C6509" s="1" t="n">
        <v>46103</v>
      </c>
      <c r="D6509" t="inlineStr">
        <is>
          <t>KRONOBERGS LÄN</t>
        </is>
      </c>
      <c r="E6509" t="inlineStr">
        <is>
          <t>LJUNGBY</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21926-2025</t>
        </is>
      </c>
      <c r="B6510" s="1" t="n">
        <v>45784.54696759259</v>
      </c>
      <c r="C6510" s="1" t="n">
        <v>46103</v>
      </c>
      <c r="D6510" t="inlineStr">
        <is>
          <t>KRONOBERGS LÄN</t>
        </is>
      </c>
      <c r="E6510" t="inlineStr">
        <is>
          <t>MARKARYD</t>
        </is>
      </c>
      <c r="G6510" t="n">
        <v>3.2</v>
      </c>
      <c r="H6510" t="n">
        <v>0</v>
      </c>
      <c r="I6510" t="n">
        <v>0</v>
      </c>
      <c r="J6510" t="n">
        <v>0</v>
      </c>
      <c r="K6510" t="n">
        <v>0</v>
      </c>
      <c r="L6510" t="n">
        <v>0</v>
      </c>
      <c r="M6510" t="n">
        <v>0</v>
      </c>
      <c r="N6510" t="n">
        <v>0</v>
      </c>
      <c r="O6510" t="n">
        <v>0</v>
      </c>
      <c r="P6510" t="n">
        <v>0</v>
      </c>
      <c r="Q6510" t="n">
        <v>0</v>
      </c>
      <c r="R6510" s="2" t="inlineStr"/>
    </row>
    <row r="6511" ht="15" customHeight="1">
      <c r="A6511" t="inlineStr">
        <is>
          <t>A 16376-2024</t>
        </is>
      </c>
      <c r="B6511" s="1" t="n">
        <v>45407.60662037037</v>
      </c>
      <c r="C6511" s="1" t="n">
        <v>46103</v>
      </c>
      <c r="D6511" t="inlineStr">
        <is>
          <t>KRONOBERGS LÄN</t>
        </is>
      </c>
      <c r="E6511" t="inlineStr">
        <is>
          <t>ALVESTA</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52497-2024</t>
        </is>
      </c>
      <c r="B6512" s="1" t="n">
        <v>45609.57759259259</v>
      </c>
      <c r="C6512" s="1" t="n">
        <v>46103</v>
      </c>
      <c r="D6512" t="inlineStr">
        <is>
          <t>KRONOBERGS LÄN</t>
        </is>
      </c>
      <c r="E6512" t="inlineStr">
        <is>
          <t>MARKARYD</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52554-2024</t>
        </is>
      </c>
      <c r="B6513" s="1" t="n">
        <v>45609.64653935185</v>
      </c>
      <c r="C6513" s="1" t="n">
        <v>46103</v>
      </c>
      <c r="D6513" t="inlineStr">
        <is>
          <t>KRONOBERGS LÄN</t>
        </is>
      </c>
      <c r="E6513" t="inlineStr">
        <is>
          <t>MARKARYD</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21882-2025</t>
        </is>
      </c>
      <c r="B6514" s="1" t="n">
        <v>45784.41361111111</v>
      </c>
      <c r="C6514" s="1" t="n">
        <v>46103</v>
      </c>
      <c r="D6514" t="inlineStr">
        <is>
          <t>KRONOBERGS LÄN</t>
        </is>
      </c>
      <c r="E6514" t="inlineStr">
        <is>
          <t>ALVESTA</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21914-2025</t>
        </is>
      </c>
      <c r="B6515" s="1" t="n">
        <v>45784.4921412037</v>
      </c>
      <c r="C6515" s="1" t="n">
        <v>46103</v>
      </c>
      <c r="D6515" t="inlineStr">
        <is>
          <t>KRONOBERGS LÄN</t>
        </is>
      </c>
      <c r="E6515" t="inlineStr">
        <is>
          <t>TINGSRYD</t>
        </is>
      </c>
      <c r="G6515" t="n">
        <v>4.9</v>
      </c>
      <c r="H6515" t="n">
        <v>0</v>
      </c>
      <c r="I6515" t="n">
        <v>0</v>
      </c>
      <c r="J6515" t="n">
        <v>0</v>
      </c>
      <c r="K6515" t="n">
        <v>0</v>
      </c>
      <c r="L6515" t="n">
        <v>0</v>
      </c>
      <c r="M6515" t="n">
        <v>0</v>
      </c>
      <c r="N6515" t="n">
        <v>0</v>
      </c>
      <c r="O6515" t="n">
        <v>0</v>
      </c>
      <c r="P6515" t="n">
        <v>0</v>
      </c>
      <c r="Q6515" t="n">
        <v>0</v>
      </c>
      <c r="R6515" s="2" t="inlineStr"/>
    </row>
    <row r="6516" ht="15" customHeight="1">
      <c r="A6516" t="inlineStr">
        <is>
          <t>A 21923-2025</t>
        </is>
      </c>
      <c r="B6516" s="1" t="n">
        <v>45784.54361111111</v>
      </c>
      <c r="C6516" s="1" t="n">
        <v>46103</v>
      </c>
      <c r="D6516" t="inlineStr">
        <is>
          <t>KRONOBERGS LÄN</t>
        </is>
      </c>
      <c r="E6516" t="inlineStr">
        <is>
          <t>MARKARYD</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41824-2023</t>
        </is>
      </c>
      <c r="B6517" s="1" t="n">
        <v>45176.58252314815</v>
      </c>
      <c r="C6517" s="1" t="n">
        <v>46103</v>
      </c>
      <c r="D6517" t="inlineStr">
        <is>
          <t>KRONOBERGS LÄN</t>
        </is>
      </c>
      <c r="E6517" t="inlineStr">
        <is>
          <t>TINGSRYD</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22085-2025</t>
        </is>
      </c>
      <c r="B6518" s="1" t="n">
        <v>45785</v>
      </c>
      <c r="C6518" s="1" t="n">
        <v>46103</v>
      </c>
      <c r="D6518" t="inlineStr">
        <is>
          <t>KRONOBERGS LÄN</t>
        </is>
      </c>
      <c r="E6518" t="inlineStr">
        <is>
          <t>MARKARYD</t>
        </is>
      </c>
      <c r="G6518" t="n">
        <v>6.9</v>
      </c>
      <c r="H6518" t="n">
        <v>0</v>
      </c>
      <c r="I6518" t="n">
        <v>0</v>
      </c>
      <c r="J6518" t="n">
        <v>0</v>
      </c>
      <c r="K6518" t="n">
        <v>0</v>
      </c>
      <c r="L6518" t="n">
        <v>0</v>
      </c>
      <c r="M6518" t="n">
        <v>0</v>
      </c>
      <c r="N6518" t="n">
        <v>0</v>
      </c>
      <c r="O6518" t="n">
        <v>0</v>
      </c>
      <c r="P6518" t="n">
        <v>0</v>
      </c>
      <c r="Q6518" t="n">
        <v>0</v>
      </c>
      <c r="R6518" s="2" t="inlineStr"/>
    </row>
    <row r="6519" ht="15" customHeight="1">
      <c r="A6519" t="inlineStr">
        <is>
          <t>A 56799-2024</t>
        </is>
      </c>
      <c r="B6519" s="1" t="n">
        <v>45628.46613425926</v>
      </c>
      <c r="C6519" s="1" t="n">
        <v>46103</v>
      </c>
      <c r="D6519" t="inlineStr">
        <is>
          <t>KRONOBERGS LÄN</t>
        </is>
      </c>
      <c r="E6519" t="inlineStr">
        <is>
          <t>LJUNGBY</t>
        </is>
      </c>
      <c r="G6519" t="n">
        <v>3.2</v>
      </c>
      <c r="H6519" t="n">
        <v>0</v>
      </c>
      <c r="I6519" t="n">
        <v>0</v>
      </c>
      <c r="J6519" t="n">
        <v>0</v>
      </c>
      <c r="K6519" t="n">
        <v>0</v>
      </c>
      <c r="L6519" t="n">
        <v>0</v>
      </c>
      <c r="M6519" t="n">
        <v>0</v>
      </c>
      <c r="N6519" t="n">
        <v>0</v>
      </c>
      <c r="O6519" t="n">
        <v>0</v>
      </c>
      <c r="P6519" t="n">
        <v>0</v>
      </c>
      <c r="Q6519" t="n">
        <v>0</v>
      </c>
      <c r="R6519" s="2" t="inlineStr"/>
    </row>
    <row r="6520" ht="15" customHeight="1">
      <c r="A6520" t="inlineStr">
        <is>
          <t>A 36235-2024</t>
        </is>
      </c>
      <c r="B6520" s="1" t="n">
        <v>45534.49916666667</v>
      </c>
      <c r="C6520" s="1" t="n">
        <v>46103</v>
      </c>
      <c r="D6520" t="inlineStr">
        <is>
          <t>KRONOBERGS LÄN</t>
        </is>
      </c>
      <c r="E6520" t="inlineStr">
        <is>
          <t>VÄXJÖ</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22137-2025</t>
        </is>
      </c>
      <c r="B6521" s="1" t="n">
        <v>45785.54833333333</v>
      </c>
      <c r="C6521" s="1" t="n">
        <v>46103</v>
      </c>
      <c r="D6521" t="inlineStr">
        <is>
          <t>KRONOBERGS LÄN</t>
        </is>
      </c>
      <c r="E6521" t="inlineStr">
        <is>
          <t>TINGSRYD</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21931-2025</t>
        </is>
      </c>
      <c r="B6522" s="1" t="n">
        <v>45784.56236111111</v>
      </c>
      <c r="C6522" s="1" t="n">
        <v>46103</v>
      </c>
      <c r="D6522" t="inlineStr">
        <is>
          <t>KRONOBERGS LÄN</t>
        </is>
      </c>
      <c r="E6522" t="inlineStr">
        <is>
          <t>VÄXJÖ</t>
        </is>
      </c>
      <c r="F6522" t="inlineStr">
        <is>
          <t>Kommuner</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21917-2025</t>
        </is>
      </c>
      <c r="B6523" s="1" t="n">
        <v>45784.5059837963</v>
      </c>
      <c r="C6523" s="1" t="n">
        <v>46103</v>
      </c>
      <c r="D6523" t="inlineStr">
        <is>
          <t>KRONOBERGS LÄN</t>
        </is>
      </c>
      <c r="E6523" t="inlineStr">
        <is>
          <t>LESSEBO</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38148-2023</t>
        </is>
      </c>
      <c r="B6524" s="1" t="n">
        <v>45161</v>
      </c>
      <c r="C6524" s="1" t="n">
        <v>46103</v>
      </c>
      <c r="D6524" t="inlineStr">
        <is>
          <t>KRONOBERGS LÄN</t>
        </is>
      </c>
      <c r="E6524" t="inlineStr">
        <is>
          <t>LJUNGBY</t>
        </is>
      </c>
      <c r="G6524" t="n">
        <v>2.9</v>
      </c>
      <c r="H6524" t="n">
        <v>0</v>
      </c>
      <c r="I6524" t="n">
        <v>0</v>
      </c>
      <c r="J6524" t="n">
        <v>0</v>
      </c>
      <c r="K6524" t="n">
        <v>0</v>
      </c>
      <c r="L6524" t="n">
        <v>0</v>
      </c>
      <c r="M6524" t="n">
        <v>0</v>
      </c>
      <c r="N6524" t="n">
        <v>0</v>
      </c>
      <c r="O6524" t="n">
        <v>0</v>
      </c>
      <c r="P6524" t="n">
        <v>0</v>
      </c>
      <c r="Q6524" t="n">
        <v>0</v>
      </c>
      <c r="R6524" s="2" t="inlineStr"/>
    </row>
    <row r="6525">
      <c r="A6525" t="inlineStr">
        <is>
          <t>A 13020-2025</t>
        </is>
      </c>
      <c r="B6525" s="1" t="n">
        <v>45734.55042824074</v>
      </c>
      <c r="C6525" s="1" t="n">
        <v>46103</v>
      </c>
      <c r="D6525" t="inlineStr">
        <is>
          <t>KRONOBERGS LÄN</t>
        </is>
      </c>
      <c r="E6525" t="inlineStr">
        <is>
          <t>LJUNGBY</t>
        </is>
      </c>
      <c r="G6525" t="n">
        <v>1.3</v>
      </c>
      <c r="H6525" t="n">
        <v>0</v>
      </c>
      <c r="I6525" t="n">
        <v>0</v>
      </c>
      <c r="J6525" t="n">
        <v>0</v>
      </c>
      <c r="K6525" t="n">
        <v>0</v>
      </c>
      <c r="L6525" t="n">
        <v>0</v>
      </c>
      <c r="M6525" t="n">
        <v>0</v>
      </c>
      <c r="N6525" t="n">
        <v>0</v>
      </c>
      <c r="O6525" t="n">
        <v>0</v>
      </c>
      <c r="P6525" t="n">
        <v>0</v>
      </c>
      <c r="Q6525" t="n">
        <v>0</v>
      </c>
      <c r="R65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2026-03-22T11:34:13Z</dcterms:created>
  <dcterms:modified xmlns:dcterms="http://purl.org/dc/terms/" xmlns:xsi="http://www.w3.org/2001/XMLSchema-instance" xsi:type="dcterms:W3CDTF">2026-03-22T11:34:19Z</dcterms:modified>
</cp:coreProperties>
</file>